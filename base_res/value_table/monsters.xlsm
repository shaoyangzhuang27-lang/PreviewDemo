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F7A8054-FC36-4B53-984E-E0AF56D578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onsters" sheetId="1" r:id="rId1"/>
  </sheets>
  <definedNames>
    <definedName name="_xlnm._FilterDatabase" localSheetId="0" hidden="1">monsters!$A$3:$BP$907</definedName>
  </definedNames>
  <calcPr calcId="191029"/>
</workbook>
</file>

<file path=xl/calcChain.xml><?xml version="1.0" encoding="utf-8"?>
<calcChain xmlns="http://schemas.openxmlformats.org/spreadsheetml/2006/main">
  <c r="AP862" i="1" l="1"/>
  <c r="AO862" i="1"/>
  <c r="AN862" i="1"/>
  <c r="AH862" i="1" s="1"/>
  <c r="AL862" i="1" s="1"/>
  <c r="AM862" i="1" s="1"/>
  <c r="AK862" i="1"/>
  <c r="AJ862" i="1"/>
  <c r="AI862" i="1"/>
  <c r="AF862" i="1"/>
  <c r="L862" i="1"/>
  <c r="J862" i="1"/>
  <c r="A862" i="1"/>
  <c r="K862" i="1" l="1"/>
  <c r="AD862" i="1" s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" i="1"/>
  <c r="AW6" i="1"/>
  <c r="AJ232" i="1" l="1"/>
  <c r="A861" i="1" l="1"/>
  <c r="BC92" i="1" l="1"/>
  <c r="AP861" i="1" l="1"/>
  <c r="J861" i="1" s="1"/>
  <c r="AN861" i="1"/>
  <c r="AI861" i="1" s="1"/>
  <c r="AF861" i="1"/>
  <c r="K861" i="1" l="1"/>
  <c r="AD861" i="1" s="1"/>
  <c r="AH861" i="1"/>
  <c r="AL861" i="1" s="1"/>
  <c r="AM861" i="1" s="1"/>
  <c r="A860" i="1" l="1"/>
  <c r="AP860" i="1"/>
  <c r="AN860" i="1"/>
  <c r="AI860" i="1" s="1"/>
  <c r="AF86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00" i="1"/>
  <c r="AP859" i="1"/>
  <c r="J859" i="1" s="1"/>
  <c r="AN859" i="1"/>
  <c r="AI859" i="1" s="1"/>
  <c r="O859" i="1" s="1"/>
  <c r="AF859" i="1"/>
  <c r="AP858" i="1"/>
  <c r="J858" i="1" s="1"/>
  <c r="AN858" i="1"/>
  <c r="AI858" i="1" s="1"/>
  <c r="O858" i="1" s="1"/>
  <c r="AF858" i="1"/>
  <c r="AP857" i="1"/>
  <c r="J857" i="1" s="1"/>
  <c r="AN857" i="1"/>
  <c r="AI857" i="1" s="1"/>
  <c r="O857" i="1" s="1"/>
  <c r="AF857" i="1"/>
  <c r="AP856" i="1"/>
  <c r="J856" i="1" s="1"/>
  <c r="AN856" i="1"/>
  <c r="AF856" i="1"/>
  <c r="AP855" i="1"/>
  <c r="J855" i="1" s="1"/>
  <c r="AN855" i="1"/>
  <c r="K855" i="1" s="1"/>
  <c r="AF855" i="1"/>
  <c r="AP854" i="1"/>
  <c r="J854" i="1" s="1"/>
  <c r="AN854" i="1"/>
  <c r="AI854" i="1" s="1"/>
  <c r="O854" i="1" s="1"/>
  <c r="AF854" i="1"/>
  <c r="AP853" i="1"/>
  <c r="J853" i="1" s="1"/>
  <c r="AN853" i="1"/>
  <c r="AH853" i="1" s="1"/>
  <c r="AF853" i="1"/>
  <c r="AP852" i="1"/>
  <c r="J852" i="1" s="1"/>
  <c r="AN852" i="1"/>
  <c r="K852" i="1" s="1"/>
  <c r="AF852" i="1"/>
  <c r="AP851" i="1"/>
  <c r="J851" i="1" s="1"/>
  <c r="AN851" i="1"/>
  <c r="K851" i="1" s="1"/>
  <c r="AF851" i="1"/>
  <c r="AP850" i="1"/>
  <c r="J850" i="1" s="1"/>
  <c r="AN850" i="1"/>
  <c r="AI850" i="1" s="1"/>
  <c r="O850" i="1" s="1"/>
  <c r="AF850" i="1"/>
  <c r="AP849" i="1"/>
  <c r="J849" i="1" s="1"/>
  <c r="AN849" i="1"/>
  <c r="AH849" i="1" s="1"/>
  <c r="AF849" i="1"/>
  <c r="AP848" i="1"/>
  <c r="J848" i="1" s="1"/>
  <c r="AN848" i="1"/>
  <c r="K848" i="1" s="1"/>
  <c r="AF848" i="1"/>
  <c r="AP847" i="1"/>
  <c r="J847" i="1" s="1"/>
  <c r="AN847" i="1"/>
  <c r="AI847" i="1" s="1"/>
  <c r="O847" i="1" s="1"/>
  <c r="AF847" i="1"/>
  <c r="AP846" i="1"/>
  <c r="J846" i="1" s="1"/>
  <c r="AN846" i="1"/>
  <c r="AI846" i="1" s="1"/>
  <c r="O846" i="1" s="1"/>
  <c r="AF846" i="1"/>
  <c r="AP845" i="1"/>
  <c r="J845" i="1" s="1"/>
  <c r="AN845" i="1"/>
  <c r="K845" i="1" s="1"/>
  <c r="AF845" i="1"/>
  <c r="AP844" i="1"/>
  <c r="J844" i="1" s="1"/>
  <c r="AN844" i="1"/>
  <c r="K844" i="1" s="1"/>
  <c r="AF844" i="1"/>
  <c r="AP843" i="1"/>
  <c r="J843" i="1" s="1"/>
  <c r="AN843" i="1"/>
  <c r="AI843" i="1" s="1"/>
  <c r="O843" i="1" s="1"/>
  <c r="AF843" i="1"/>
  <c r="AP842" i="1"/>
  <c r="J842" i="1" s="1"/>
  <c r="AN842" i="1"/>
  <c r="AH842" i="1" s="1"/>
  <c r="AL842" i="1" s="1"/>
  <c r="AF842" i="1"/>
  <c r="AP841" i="1"/>
  <c r="J841" i="1" s="1"/>
  <c r="AN841" i="1"/>
  <c r="AF841" i="1"/>
  <c r="AP840" i="1"/>
  <c r="J840" i="1" s="1"/>
  <c r="AN840" i="1"/>
  <c r="K840" i="1" s="1"/>
  <c r="AF840" i="1"/>
  <c r="AP839" i="1"/>
  <c r="J839" i="1" s="1"/>
  <c r="AN839" i="1"/>
  <c r="K839" i="1" s="1"/>
  <c r="AF839" i="1"/>
  <c r="AP838" i="1"/>
  <c r="J838" i="1" s="1"/>
  <c r="AN838" i="1"/>
  <c r="AF838" i="1"/>
  <c r="AP837" i="1"/>
  <c r="J837" i="1" s="1"/>
  <c r="AN837" i="1"/>
  <c r="AF837" i="1"/>
  <c r="AP836" i="1"/>
  <c r="J836" i="1" s="1"/>
  <c r="AN836" i="1"/>
  <c r="AF836" i="1"/>
  <c r="AP835" i="1"/>
  <c r="J835" i="1" s="1"/>
  <c r="AN835" i="1"/>
  <c r="AI835" i="1" s="1"/>
  <c r="O835" i="1" s="1"/>
  <c r="AF835" i="1"/>
  <c r="AP834" i="1"/>
  <c r="J834" i="1" s="1"/>
  <c r="AN834" i="1"/>
  <c r="AF834" i="1"/>
  <c r="AP833" i="1"/>
  <c r="J833" i="1" s="1"/>
  <c r="AN833" i="1"/>
  <c r="K833" i="1" s="1"/>
  <c r="AF833" i="1"/>
  <c r="AP832" i="1"/>
  <c r="J832" i="1" s="1"/>
  <c r="AN832" i="1"/>
  <c r="AI832" i="1" s="1"/>
  <c r="O832" i="1" s="1"/>
  <c r="AF832" i="1"/>
  <c r="AP831" i="1"/>
  <c r="J831" i="1" s="1"/>
  <c r="AN831" i="1"/>
  <c r="AI831" i="1" s="1"/>
  <c r="O831" i="1" s="1"/>
  <c r="AF831" i="1"/>
  <c r="AP830" i="1"/>
  <c r="J830" i="1" s="1"/>
  <c r="AN830" i="1"/>
  <c r="AI830" i="1" s="1"/>
  <c r="O830" i="1" s="1"/>
  <c r="AF830" i="1"/>
  <c r="AP829" i="1"/>
  <c r="J829" i="1" s="1"/>
  <c r="AN829" i="1"/>
  <c r="AI829" i="1" s="1"/>
  <c r="O829" i="1" s="1"/>
  <c r="AF829" i="1"/>
  <c r="AP828" i="1"/>
  <c r="J828" i="1" s="1"/>
  <c r="AN828" i="1"/>
  <c r="AF828" i="1"/>
  <c r="AP827" i="1"/>
  <c r="J827" i="1" s="1"/>
  <c r="AN827" i="1"/>
  <c r="AH827" i="1" s="1"/>
  <c r="AF827" i="1"/>
  <c r="AP826" i="1"/>
  <c r="J826" i="1" s="1"/>
  <c r="AN826" i="1"/>
  <c r="AI826" i="1" s="1"/>
  <c r="O826" i="1" s="1"/>
  <c r="AF826" i="1"/>
  <c r="AP825" i="1"/>
  <c r="J825" i="1" s="1"/>
  <c r="AN825" i="1"/>
  <c r="AI825" i="1" s="1"/>
  <c r="O825" i="1" s="1"/>
  <c r="AF825" i="1"/>
  <c r="AP824" i="1"/>
  <c r="J824" i="1" s="1"/>
  <c r="AN824" i="1"/>
  <c r="K824" i="1" s="1"/>
  <c r="AF824" i="1"/>
  <c r="AP823" i="1"/>
  <c r="J823" i="1" s="1"/>
  <c r="AN823" i="1"/>
  <c r="AH823" i="1" s="1"/>
  <c r="AF823" i="1"/>
  <c r="AP822" i="1"/>
  <c r="J822" i="1" s="1"/>
  <c r="AN822" i="1"/>
  <c r="AF822" i="1"/>
  <c r="AP821" i="1"/>
  <c r="J821" i="1" s="1"/>
  <c r="AN821" i="1"/>
  <c r="AI821" i="1" s="1"/>
  <c r="O821" i="1" s="1"/>
  <c r="AF821" i="1"/>
  <c r="AP820" i="1"/>
  <c r="J820" i="1" s="1"/>
  <c r="AN820" i="1"/>
  <c r="AI820" i="1" s="1"/>
  <c r="O820" i="1" s="1"/>
  <c r="AF820" i="1"/>
  <c r="AP819" i="1"/>
  <c r="J819" i="1" s="1"/>
  <c r="AN819" i="1"/>
  <c r="AH819" i="1" s="1"/>
  <c r="AL819" i="1" s="1"/>
  <c r="R819" i="1" s="1"/>
  <c r="AF819" i="1"/>
  <c r="AP818" i="1"/>
  <c r="J818" i="1" s="1"/>
  <c r="AN818" i="1"/>
  <c r="AH818" i="1" s="1"/>
  <c r="AF818" i="1"/>
  <c r="AP817" i="1"/>
  <c r="J817" i="1" s="1"/>
  <c r="AN817" i="1"/>
  <c r="AF817" i="1"/>
  <c r="AP816" i="1"/>
  <c r="J816" i="1" s="1"/>
  <c r="AN816" i="1"/>
  <c r="K816" i="1" s="1"/>
  <c r="AF816" i="1"/>
  <c r="AP815" i="1"/>
  <c r="J815" i="1" s="1"/>
  <c r="AN815" i="1"/>
  <c r="AI815" i="1" s="1"/>
  <c r="O815" i="1" s="1"/>
  <c r="AF815" i="1"/>
  <c r="AP814" i="1"/>
  <c r="J814" i="1" s="1"/>
  <c r="AN814" i="1"/>
  <c r="AH814" i="1" s="1"/>
  <c r="AF814" i="1"/>
  <c r="AP813" i="1"/>
  <c r="J813" i="1" s="1"/>
  <c r="AN813" i="1"/>
  <c r="AF813" i="1"/>
  <c r="AP812" i="1"/>
  <c r="J812" i="1" s="1"/>
  <c r="AN812" i="1"/>
  <c r="AH812" i="1" s="1"/>
  <c r="N812" i="1" s="1"/>
  <c r="AF812" i="1"/>
  <c r="AP811" i="1"/>
  <c r="J811" i="1" s="1"/>
  <c r="AN811" i="1"/>
  <c r="AI811" i="1" s="1"/>
  <c r="O811" i="1" s="1"/>
  <c r="AF811" i="1"/>
  <c r="AP810" i="1"/>
  <c r="J810" i="1" s="1"/>
  <c r="AN810" i="1"/>
  <c r="AF810" i="1"/>
  <c r="AP809" i="1"/>
  <c r="J809" i="1" s="1"/>
  <c r="AN809" i="1"/>
  <c r="AI809" i="1" s="1"/>
  <c r="O809" i="1" s="1"/>
  <c r="AF809" i="1"/>
  <c r="AP808" i="1"/>
  <c r="J808" i="1" s="1"/>
  <c r="AN808" i="1"/>
  <c r="K808" i="1" s="1"/>
  <c r="AF808" i="1"/>
  <c r="AP807" i="1"/>
  <c r="J807" i="1" s="1"/>
  <c r="AN807" i="1"/>
  <c r="AH807" i="1" s="1"/>
  <c r="AF807" i="1"/>
  <c r="AP806" i="1"/>
  <c r="J806" i="1" s="1"/>
  <c r="AN806" i="1"/>
  <c r="AH806" i="1" s="1"/>
  <c r="AF806" i="1"/>
  <c r="AP805" i="1"/>
  <c r="J805" i="1" s="1"/>
  <c r="AN805" i="1"/>
  <c r="AI805" i="1" s="1"/>
  <c r="O805" i="1" s="1"/>
  <c r="AF805" i="1"/>
  <c r="AP804" i="1"/>
  <c r="J804" i="1" s="1"/>
  <c r="AN804" i="1"/>
  <c r="AH804" i="1" s="1"/>
  <c r="AF804" i="1"/>
  <c r="AP803" i="1"/>
  <c r="J803" i="1" s="1"/>
  <c r="AN803" i="1"/>
  <c r="AI803" i="1" s="1"/>
  <c r="O803" i="1" s="1"/>
  <c r="AF803" i="1"/>
  <c r="AP802" i="1"/>
  <c r="J802" i="1" s="1"/>
  <c r="AN802" i="1"/>
  <c r="AI802" i="1" s="1"/>
  <c r="O802" i="1" s="1"/>
  <c r="AF802" i="1"/>
  <c r="AP801" i="1"/>
  <c r="J801" i="1" s="1"/>
  <c r="AN801" i="1"/>
  <c r="AI801" i="1" s="1"/>
  <c r="O801" i="1" s="1"/>
  <c r="AF801" i="1"/>
  <c r="AP800" i="1"/>
  <c r="J800" i="1" s="1"/>
  <c r="AN800" i="1"/>
  <c r="AF800" i="1"/>
  <c r="AH846" i="1" l="1"/>
  <c r="AH805" i="1"/>
  <c r="AL805" i="1" s="1"/>
  <c r="AH860" i="1"/>
  <c r="AL860" i="1" s="1"/>
  <c r="AM860" i="1" s="1"/>
  <c r="AH857" i="1"/>
  <c r="AL857" i="1" s="1"/>
  <c r="AM857" i="1" s="1"/>
  <c r="S857" i="1" s="1"/>
  <c r="AI807" i="1"/>
  <c r="O807" i="1" s="1"/>
  <c r="AH808" i="1"/>
  <c r="AL808" i="1" s="1"/>
  <c r="AH815" i="1"/>
  <c r="AL815" i="1" s="1"/>
  <c r="R815" i="1" s="1"/>
  <c r="K819" i="1"/>
  <c r="K815" i="1"/>
  <c r="AI804" i="1"/>
  <c r="O804" i="1" s="1"/>
  <c r="AI808" i="1"/>
  <c r="O808" i="1" s="1"/>
  <c r="K835" i="1"/>
  <c r="AH850" i="1"/>
  <c r="AL850" i="1" s="1"/>
  <c r="R850" i="1" s="1"/>
  <c r="AI855" i="1"/>
  <c r="O855" i="1" s="1"/>
  <c r="K831" i="1"/>
  <c r="K853" i="1"/>
  <c r="AH802" i="1"/>
  <c r="AL802" i="1" s="1"/>
  <c r="AM802" i="1" s="1"/>
  <c r="S802" i="1" s="1"/>
  <c r="AI814" i="1"/>
  <c r="O814" i="1" s="1"/>
  <c r="AI819" i="1"/>
  <c r="O819" i="1" s="1"/>
  <c r="AH829" i="1"/>
  <c r="N829" i="1" s="1"/>
  <c r="AH830" i="1"/>
  <c r="AL830" i="1" s="1"/>
  <c r="AM830" i="1" s="1"/>
  <c r="S830" i="1" s="1"/>
  <c r="K832" i="1"/>
  <c r="AH851" i="1"/>
  <c r="AL851" i="1" s="1"/>
  <c r="R851" i="1" s="1"/>
  <c r="K860" i="1"/>
  <c r="AD860" i="1" s="1"/>
  <c r="AH811" i="1"/>
  <c r="AL811" i="1" s="1"/>
  <c r="AI812" i="1"/>
  <c r="O812" i="1" s="1"/>
  <c r="AI827" i="1"/>
  <c r="O827" i="1" s="1"/>
  <c r="AH831" i="1"/>
  <c r="N831" i="1" s="1"/>
  <c r="AI851" i="1"/>
  <c r="O851" i="1" s="1"/>
  <c r="AI853" i="1"/>
  <c r="O853" i="1" s="1"/>
  <c r="K809" i="1"/>
  <c r="K812" i="1"/>
  <c r="K818" i="1"/>
  <c r="K825" i="1"/>
  <c r="K814" i="1"/>
  <c r="AH816" i="1"/>
  <c r="AL816" i="1" s="1"/>
  <c r="R816" i="1" s="1"/>
  <c r="AH821" i="1"/>
  <c r="N821" i="1" s="1"/>
  <c r="K826" i="1"/>
  <c r="K827" i="1"/>
  <c r="K829" i="1"/>
  <c r="AH835" i="1"/>
  <c r="AL835" i="1" s="1"/>
  <c r="R835" i="1" s="1"/>
  <c r="K854" i="1"/>
  <c r="K823" i="1"/>
  <c r="K802" i="1"/>
  <c r="K804" i="1"/>
  <c r="K807" i="1"/>
  <c r="AH809" i="1"/>
  <c r="N809" i="1" s="1"/>
  <c r="AI816" i="1"/>
  <c r="O816" i="1" s="1"/>
  <c r="AI818" i="1"/>
  <c r="O818" i="1" s="1"/>
  <c r="N819" i="1"/>
  <c r="K821" i="1"/>
  <c r="AI823" i="1"/>
  <c r="O823" i="1" s="1"/>
  <c r="AH825" i="1"/>
  <c r="N825" i="1" s="1"/>
  <c r="K830" i="1"/>
  <c r="K857" i="1"/>
  <c r="AH858" i="1"/>
  <c r="AL858" i="1" s="1"/>
  <c r="AM858" i="1" s="1"/>
  <c r="S858" i="1" s="1"/>
  <c r="K859" i="1"/>
  <c r="K846" i="1"/>
  <c r="K849" i="1"/>
  <c r="K850" i="1"/>
  <c r="AH854" i="1"/>
  <c r="AL854" i="1" s="1"/>
  <c r="AM854" i="1" s="1"/>
  <c r="S854" i="1" s="1"/>
  <c r="AH855" i="1"/>
  <c r="AL855" i="1" s="1"/>
  <c r="R855" i="1" s="1"/>
  <c r="K858" i="1"/>
  <c r="N805" i="1"/>
  <c r="N842" i="1"/>
  <c r="N808" i="1"/>
  <c r="N851" i="1"/>
  <c r="AI813" i="1"/>
  <c r="O813" i="1" s="1"/>
  <c r="AH813" i="1"/>
  <c r="AI817" i="1"/>
  <c r="O817" i="1" s="1"/>
  <c r="AH817" i="1"/>
  <c r="N817" i="1" s="1"/>
  <c r="K817" i="1"/>
  <c r="AI822" i="1"/>
  <c r="O822" i="1" s="1"/>
  <c r="AH822" i="1"/>
  <c r="K822" i="1"/>
  <c r="AI834" i="1"/>
  <c r="O834" i="1" s="1"/>
  <c r="K834" i="1"/>
  <c r="AH834" i="1"/>
  <c r="AL834" i="1" s="1"/>
  <c r="AI836" i="1"/>
  <c r="O836" i="1" s="1"/>
  <c r="AH836" i="1"/>
  <c r="K836" i="1"/>
  <c r="AH837" i="1"/>
  <c r="N837" i="1" s="1"/>
  <c r="AI837" i="1"/>
  <c r="O837" i="1" s="1"/>
  <c r="K837" i="1"/>
  <c r="AH841" i="1"/>
  <c r="AL841" i="1" s="1"/>
  <c r="K841" i="1"/>
  <c r="AI841" i="1"/>
  <c r="O841" i="1" s="1"/>
  <c r="AH800" i="1"/>
  <c r="N800" i="1" s="1"/>
  <c r="AI800" i="1"/>
  <c r="O800" i="1" s="1"/>
  <c r="K800" i="1"/>
  <c r="K813" i="1"/>
  <c r="K811" i="1"/>
  <c r="AH801" i="1"/>
  <c r="AL801" i="1" s="1"/>
  <c r="AM801" i="1" s="1"/>
  <c r="S801" i="1" s="1"/>
  <c r="K801" i="1"/>
  <c r="AH810" i="1"/>
  <c r="AL810" i="1" s="1"/>
  <c r="AI810" i="1"/>
  <c r="O810" i="1" s="1"/>
  <c r="K810" i="1"/>
  <c r="AI839" i="1"/>
  <c r="O839" i="1" s="1"/>
  <c r="AH839" i="1"/>
  <c r="N830" i="1"/>
  <c r="AH833" i="1"/>
  <c r="N833" i="1" s="1"/>
  <c r="AI833" i="1"/>
  <c r="O833" i="1" s="1"/>
  <c r="AI838" i="1"/>
  <c r="O838" i="1" s="1"/>
  <c r="AH838" i="1"/>
  <c r="AM819" i="1"/>
  <c r="S819" i="1" s="1"/>
  <c r="K820" i="1"/>
  <c r="AH820" i="1"/>
  <c r="AL820" i="1" s="1"/>
  <c r="AM820" i="1" s="1"/>
  <c r="S820" i="1" s="1"/>
  <c r="AI828" i="1"/>
  <c r="O828" i="1" s="1"/>
  <c r="AH828" i="1"/>
  <c r="AL828" i="1" s="1"/>
  <c r="AM828" i="1" s="1"/>
  <c r="S828" i="1" s="1"/>
  <c r="K828" i="1"/>
  <c r="K838" i="1"/>
  <c r="AI842" i="1"/>
  <c r="O842" i="1" s="1"/>
  <c r="K842" i="1"/>
  <c r="K843" i="1"/>
  <c r="AH843" i="1"/>
  <c r="K847" i="1"/>
  <c r="AH847" i="1"/>
  <c r="AI849" i="1"/>
  <c r="O849" i="1" s="1"/>
  <c r="AH826" i="1"/>
  <c r="AL826" i="1" s="1"/>
  <c r="AH832" i="1"/>
  <c r="AL832" i="1" s="1"/>
  <c r="AH845" i="1"/>
  <c r="N845" i="1" s="1"/>
  <c r="AI845" i="1"/>
  <c r="O845" i="1" s="1"/>
  <c r="AI856" i="1"/>
  <c r="O856" i="1" s="1"/>
  <c r="K856" i="1"/>
  <c r="AH859" i="1"/>
  <c r="AM805" i="1"/>
  <c r="S805" i="1" s="1"/>
  <c r="R805" i="1"/>
  <c r="AM808" i="1"/>
  <c r="S808" i="1" s="1"/>
  <c r="R808" i="1"/>
  <c r="AL807" i="1"/>
  <c r="N807" i="1"/>
  <c r="AL804" i="1"/>
  <c r="N804" i="1"/>
  <c r="AI848" i="1"/>
  <c r="O848" i="1" s="1"/>
  <c r="AH848" i="1"/>
  <c r="K806" i="1"/>
  <c r="AL849" i="1"/>
  <c r="N849" i="1"/>
  <c r="AI806" i="1"/>
  <c r="O806" i="1" s="1"/>
  <c r="AL812" i="1"/>
  <c r="AL818" i="1"/>
  <c r="N818" i="1"/>
  <c r="AH803" i="1"/>
  <c r="K805" i="1"/>
  <c r="AL846" i="1"/>
  <c r="N846" i="1"/>
  <c r="K803" i="1"/>
  <c r="AL806" i="1"/>
  <c r="N806" i="1"/>
  <c r="AL814" i="1"/>
  <c r="N814" i="1"/>
  <c r="AI824" i="1"/>
  <c r="O824" i="1" s="1"/>
  <c r="AH824" i="1"/>
  <c r="AM842" i="1"/>
  <c r="S842" i="1" s="1"/>
  <c r="R842" i="1"/>
  <c r="AL827" i="1"/>
  <c r="N827" i="1"/>
  <c r="AI844" i="1"/>
  <c r="O844" i="1" s="1"/>
  <c r="AH844" i="1"/>
  <c r="AI840" i="1"/>
  <c r="O840" i="1" s="1"/>
  <c r="AH840" i="1"/>
  <c r="AL823" i="1"/>
  <c r="N823" i="1"/>
  <c r="AI852" i="1"/>
  <c r="O852" i="1" s="1"/>
  <c r="AH852" i="1"/>
  <c r="AL853" i="1"/>
  <c r="N853" i="1"/>
  <c r="AH856" i="1"/>
  <c r="A427" i="1"/>
  <c r="AF427" i="1"/>
  <c r="AN427" i="1"/>
  <c r="AH427" i="1" s="1"/>
  <c r="AP427" i="1"/>
  <c r="J427" i="1" s="1"/>
  <c r="A428" i="1"/>
  <c r="AF428" i="1"/>
  <c r="AN428" i="1"/>
  <c r="AH428" i="1" s="1"/>
  <c r="AP428" i="1"/>
  <c r="J428" i="1" s="1"/>
  <c r="A429" i="1"/>
  <c r="AF429" i="1"/>
  <c r="AN429" i="1"/>
  <c r="AP429" i="1"/>
  <c r="J429" i="1" s="1"/>
  <c r="A430" i="1"/>
  <c r="AF430" i="1"/>
  <c r="AN430" i="1"/>
  <c r="AI430" i="1" s="1"/>
  <c r="O430" i="1" s="1"/>
  <c r="AP430" i="1"/>
  <c r="J430" i="1" s="1"/>
  <c r="A431" i="1"/>
  <c r="AF431" i="1"/>
  <c r="AN431" i="1"/>
  <c r="AH431" i="1" s="1"/>
  <c r="AP431" i="1"/>
  <c r="J431" i="1" s="1"/>
  <c r="A432" i="1"/>
  <c r="AF432" i="1"/>
  <c r="AN432" i="1"/>
  <c r="AH432" i="1" s="1"/>
  <c r="AP432" i="1"/>
  <c r="J432" i="1" s="1"/>
  <c r="A433" i="1"/>
  <c r="AF433" i="1"/>
  <c r="AN433" i="1"/>
  <c r="K433" i="1" s="1"/>
  <c r="AP433" i="1"/>
  <c r="J433" i="1" s="1"/>
  <c r="A434" i="1"/>
  <c r="AF434" i="1"/>
  <c r="AN434" i="1"/>
  <c r="AI434" i="1" s="1"/>
  <c r="O434" i="1" s="1"/>
  <c r="AP434" i="1"/>
  <c r="J434" i="1" s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P426" i="1"/>
  <c r="J426" i="1" s="1"/>
  <c r="AN426" i="1"/>
  <c r="AH426" i="1" s="1"/>
  <c r="AL426" i="1" s="1"/>
  <c r="AP425" i="1"/>
  <c r="J425" i="1" s="1"/>
  <c r="AN425" i="1"/>
  <c r="AI425" i="1" s="1"/>
  <c r="O425" i="1" s="1"/>
  <c r="AP424" i="1"/>
  <c r="J424" i="1" s="1"/>
  <c r="AN424" i="1"/>
  <c r="AH424" i="1" s="1"/>
  <c r="AP423" i="1"/>
  <c r="J423" i="1" s="1"/>
  <c r="AN423" i="1"/>
  <c r="AI423" i="1" s="1"/>
  <c r="O423" i="1" s="1"/>
  <c r="AP422" i="1"/>
  <c r="J422" i="1" s="1"/>
  <c r="AN422" i="1"/>
  <c r="AP421" i="1"/>
  <c r="J421" i="1" s="1"/>
  <c r="AN421" i="1"/>
  <c r="AP420" i="1"/>
  <c r="J420" i="1" s="1"/>
  <c r="AN420" i="1"/>
  <c r="AI420" i="1" s="1"/>
  <c r="O420" i="1" s="1"/>
  <c r="AP419" i="1"/>
  <c r="J419" i="1" s="1"/>
  <c r="AN419" i="1"/>
  <c r="AI419" i="1" s="1"/>
  <c r="O419" i="1" s="1"/>
  <c r="AP418" i="1"/>
  <c r="J418" i="1" s="1"/>
  <c r="AN418" i="1"/>
  <c r="AP417" i="1"/>
  <c r="J417" i="1" s="1"/>
  <c r="AN417" i="1"/>
  <c r="AI417" i="1" s="1"/>
  <c r="O417" i="1" s="1"/>
  <c r="AP416" i="1"/>
  <c r="J416" i="1" s="1"/>
  <c r="AN416" i="1"/>
  <c r="K416" i="1" s="1"/>
  <c r="AP415" i="1"/>
  <c r="J415" i="1" s="1"/>
  <c r="AN415" i="1"/>
  <c r="AP414" i="1"/>
  <c r="J414" i="1" s="1"/>
  <c r="AN414" i="1"/>
  <c r="K414" i="1" s="1"/>
  <c r="AP413" i="1"/>
  <c r="J413" i="1" s="1"/>
  <c r="AN413" i="1"/>
  <c r="AI413" i="1" s="1"/>
  <c r="O413" i="1" s="1"/>
  <c r="AP412" i="1"/>
  <c r="J412" i="1" s="1"/>
  <c r="AN412" i="1"/>
  <c r="AP411" i="1"/>
  <c r="J411" i="1" s="1"/>
  <c r="AN411" i="1"/>
  <c r="AP410" i="1"/>
  <c r="J410" i="1" s="1"/>
  <c r="AN410" i="1"/>
  <c r="AI410" i="1" s="1"/>
  <c r="O410" i="1" s="1"/>
  <c r="AP409" i="1"/>
  <c r="J409" i="1" s="1"/>
  <c r="AN409" i="1"/>
  <c r="AP408" i="1"/>
  <c r="J408" i="1" s="1"/>
  <c r="AN408" i="1"/>
  <c r="AH408" i="1" s="1"/>
  <c r="AL408" i="1" s="1"/>
  <c r="AP407" i="1"/>
  <c r="J407" i="1" s="1"/>
  <c r="AN407" i="1"/>
  <c r="AH407" i="1" s="1"/>
  <c r="AL407" i="1" s="1"/>
  <c r="R407" i="1" s="1"/>
  <c r="AP406" i="1"/>
  <c r="J406" i="1" s="1"/>
  <c r="AN406" i="1"/>
  <c r="AP405" i="1"/>
  <c r="J405" i="1" s="1"/>
  <c r="AN405" i="1"/>
  <c r="K405" i="1" s="1"/>
  <c r="AP404" i="1"/>
  <c r="J404" i="1" s="1"/>
  <c r="AN404" i="1"/>
  <c r="AP403" i="1"/>
  <c r="J403" i="1" s="1"/>
  <c r="AN403" i="1"/>
  <c r="AH403" i="1" s="1"/>
  <c r="AP402" i="1"/>
  <c r="J402" i="1" s="1"/>
  <c r="AN402" i="1"/>
  <c r="AI402" i="1" s="1"/>
  <c r="O402" i="1" s="1"/>
  <c r="AP401" i="1"/>
  <c r="J401" i="1" s="1"/>
  <c r="AN401" i="1"/>
  <c r="AI401" i="1" s="1"/>
  <c r="O401" i="1" s="1"/>
  <c r="AP400" i="1"/>
  <c r="J400" i="1" s="1"/>
  <c r="AN400" i="1"/>
  <c r="AH400" i="1" s="1"/>
  <c r="AL400" i="1" s="1"/>
  <c r="R400" i="1" s="1"/>
  <c r="AP399" i="1"/>
  <c r="J399" i="1" s="1"/>
  <c r="AN399" i="1"/>
  <c r="AP398" i="1"/>
  <c r="J398" i="1" s="1"/>
  <c r="AN398" i="1"/>
  <c r="AI398" i="1" s="1"/>
  <c r="O398" i="1" s="1"/>
  <c r="AP397" i="1"/>
  <c r="J397" i="1" s="1"/>
  <c r="AN397" i="1"/>
  <c r="AI397" i="1" s="1"/>
  <c r="O397" i="1" s="1"/>
  <c r="AP396" i="1"/>
  <c r="J396" i="1" s="1"/>
  <c r="AN396" i="1"/>
  <c r="AP395" i="1"/>
  <c r="J395" i="1" s="1"/>
  <c r="AN395" i="1"/>
  <c r="AP394" i="1"/>
  <c r="J394" i="1" s="1"/>
  <c r="AN394" i="1"/>
  <c r="AP393" i="1"/>
  <c r="J393" i="1" s="1"/>
  <c r="AN393" i="1"/>
  <c r="K393" i="1" s="1"/>
  <c r="AP392" i="1"/>
  <c r="J392" i="1" s="1"/>
  <c r="AN392" i="1"/>
  <c r="AP391" i="1"/>
  <c r="J391" i="1" s="1"/>
  <c r="AN391" i="1"/>
  <c r="K391" i="1" s="1"/>
  <c r="AP390" i="1"/>
  <c r="J390" i="1" s="1"/>
  <c r="AN390" i="1"/>
  <c r="AI390" i="1" s="1"/>
  <c r="O390" i="1" s="1"/>
  <c r="AP389" i="1"/>
  <c r="J389" i="1" s="1"/>
  <c r="AN389" i="1"/>
  <c r="AI389" i="1" s="1"/>
  <c r="O389" i="1" s="1"/>
  <c r="AP388" i="1"/>
  <c r="J388" i="1" s="1"/>
  <c r="AN388" i="1"/>
  <c r="AI388" i="1" s="1"/>
  <c r="O388" i="1" s="1"/>
  <c r="AP387" i="1"/>
  <c r="J387" i="1" s="1"/>
  <c r="AN387" i="1"/>
  <c r="AI387" i="1" s="1"/>
  <c r="O387" i="1" s="1"/>
  <c r="AP386" i="1"/>
  <c r="J386" i="1" s="1"/>
  <c r="AN386" i="1"/>
  <c r="AI386" i="1" s="1"/>
  <c r="O386" i="1" s="1"/>
  <c r="AP385" i="1"/>
  <c r="J385" i="1" s="1"/>
  <c r="AN385" i="1"/>
  <c r="AI385" i="1" s="1"/>
  <c r="O385" i="1" s="1"/>
  <c r="AP384" i="1"/>
  <c r="J384" i="1" s="1"/>
  <c r="AN384" i="1"/>
  <c r="AP383" i="1"/>
  <c r="J383" i="1" s="1"/>
  <c r="AN383" i="1"/>
  <c r="AP382" i="1"/>
  <c r="J382" i="1" s="1"/>
  <c r="AN382" i="1"/>
  <c r="AI382" i="1" s="1"/>
  <c r="O382" i="1" s="1"/>
  <c r="AP381" i="1"/>
  <c r="J381" i="1" s="1"/>
  <c r="AN381" i="1"/>
  <c r="AI381" i="1" s="1"/>
  <c r="O381" i="1" s="1"/>
  <c r="AP380" i="1"/>
  <c r="J380" i="1" s="1"/>
  <c r="AN380" i="1"/>
  <c r="AP379" i="1"/>
  <c r="J379" i="1" s="1"/>
  <c r="AN379" i="1"/>
  <c r="AH379" i="1" s="1"/>
  <c r="AP378" i="1"/>
  <c r="J378" i="1" s="1"/>
  <c r="AN378" i="1"/>
  <c r="AH378" i="1" s="1"/>
  <c r="AP377" i="1"/>
  <c r="J377" i="1" s="1"/>
  <c r="AN377" i="1"/>
  <c r="AI377" i="1" s="1"/>
  <c r="O377" i="1" s="1"/>
  <c r="AP376" i="1"/>
  <c r="J376" i="1" s="1"/>
  <c r="AN376" i="1"/>
  <c r="AP375" i="1"/>
  <c r="J375" i="1" s="1"/>
  <c r="AN375" i="1"/>
  <c r="AH375" i="1" s="1"/>
  <c r="AL375" i="1" s="1"/>
  <c r="AP374" i="1"/>
  <c r="J374" i="1" s="1"/>
  <c r="AN374" i="1"/>
  <c r="AI374" i="1" s="1"/>
  <c r="O374" i="1" s="1"/>
  <c r="AP373" i="1"/>
  <c r="J373" i="1" s="1"/>
  <c r="AN373" i="1"/>
  <c r="AP372" i="1"/>
  <c r="J372" i="1" s="1"/>
  <c r="AN372" i="1"/>
  <c r="AP371" i="1"/>
  <c r="J371" i="1" s="1"/>
  <c r="AN371" i="1"/>
  <c r="AP370" i="1"/>
  <c r="J370" i="1" s="1"/>
  <c r="AN370" i="1"/>
  <c r="AP369" i="1"/>
  <c r="J369" i="1" s="1"/>
  <c r="AN369" i="1"/>
  <c r="AP368" i="1"/>
  <c r="J368" i="1" s="1"/>
  <c r="AN368" i="1"/>
  <c r="AP367" i="1"/>
  <c r="J367" i="1" s="1"/>
  <c r="AN367" i="1"/>
  <c r="AP366" i="1"/>
  <c r="J366" i="1" s="1"/>
  <c r="AN366" i="1"/>
  <c r="AI366" i="1" s="1"/>
  <c r="O366" i="1" s="1"/>
  <c r="AP365" i="1"/>
  <c r="J365" i="1" s="1"/>
  <c r="AN365" i="1"/>
  <c r="AP364" i="1"/>
  <c r="J364" i="1" s="1"/>
  <c r="AN364" i="1"/>
  <c r="AP363" i="1"/>
  <c r="J363" i="1" s="1"/>
  <c r="AN363" i="1"/>
  <c r="AH363" i="1" s="1"/>
  <c r="AL363" i="1" s="1"/>
  <c r="AP362" i="1"/>
  <c r="J362" i="1" s="1"/>
  <c r="AN362" i="1"/>
  <c r="AI362" i="1" s="1"/>
  <c r="O362" i="1" s="1"/>
  <c r="AP361" i="1"/>
  <c r="J361" i="1" s="1"/>
  <c r="AN361" i="1"/>
  <c r="AI361" i="1" s="1"/>
  <c r="O361" i="1" s="1"/>
  <c r="AP360" i="1"/>
  <c r="J360" i="1" s="1"/>
  <c r="AN360" i="1"/>
  <c r="K360" i="1" s="1"/>
  <c r="AP359" i="1"/>
  <c r="J359" i="1" s="1"/>
  <c r="AN359" i="1"/>
  <c r="AP358" i="1"/>
  <c r="J358" i="1" s="1"/>
  <c r="AN358" i="1"/>
  <c r="AP357" i="1"/>
  <c r="J357" i="1" s="1"/>
  <c r="AN357" i="1"/>
  <c r="AI357" i="1" s="1"/>
  <c r="O357" i="1" s="1"/>
  <c r="AP356" i="1"/>
  <c r="J356" i="1" s="1"/>
  <c r="AN356" i="1"/>
  <c r="AP355" i="1"/>
  <c r="J355" i="1" s="1"/>
  <c r="AN355" i="1"/>
  <c r="AI355" i="1" s="1"/>
  <c r="O355" i="1" s="1"/>
  <c r="AP354" i="1"/>
  <c r="J354" i="1" s="1"/>
  <c r="AN354" i="1"/>
  <c r="AI354" i="1" s="1"/>
  <c r="O354" i="1" s="1"/>
  <c r="AP353" i="1"/>
  <c r="J353" i="1" s="1"/>
  <c r="AN353" i="1"/>
  <c r="AI353" i="1" s="1"/>
  <c r="O353" i="1" s="1"/>
  <c r="AP352" i="1"/>
  <c r="J352" i="1" s="1"/>
  <c r="AN352" i="1"/>
  <c r="AH352" i="1" s="1"/>
  <c r="AP351" i="1"/>
  <c r="J351" i="1" s="1"/>
  <c r="AN351" i="1"/>
  <c r="AH351" i="1" s="1"/>
  <c r="AP350" i="1"/>
  <c r="J350" i="1" s="1"/>
  <c r="AN350" i="1"/>
  <c r="AP349" i="1"/>
  <c r="J349" i="1" s="1"/>
  <c r="AN349" i="1"/>
  <c r="AH349" i="1" s="1"/>
  <c r="AP348" i="1"/>
  <c r="J348" i="1" s="1"/>
  <c r="AN348" i="1"/>
  <c r="AP347" i="1"/>
  <c r="J347" i="1" s="1"/>
  <c r="AN347" i="1"/>
  <c r="AI347" i="1" s="1"/>
  <c r="O347" i="1" s="1"/>
  <c r="AP346" i="1"/>
  <c r="J346" i="1" s="1"/>
  <c r="AN346" i="1"/>
  <c r="AI346" i="1" s="1"/>
  <c r="O346" i="1" s="1"/>
  <c r="AP345" i="1"/>
  <c r="J345" i="1" s="1"/>
  <c r="AN345" i="1"/>
  <c r="AP344" i="1"/>
  <c r="J344" i="1" s="1"/>
  <c r="AN344" i="1"/>
  <c r="AP343" i="1"/>
  <c r="J343" i="1" s="1"/>
  <c r="AN343" i="1"/>
  <c r="AP342" i="1"/>
  <c r="J342" i="1" s="1"/>
  <c r="AN342" i="1"/>
  <c r="AP341" i="1"/>
  <c r="J341" i="1" s="1"/>
  <c r="AN341" i="1"/>
  <c r="AI341" i="1" s="1"/>
  <c r="O341" i="1" s="1"/>
  <c r="AP340" i="1"/>
  <c r="J340" i="1" s="1"/>
  <c r="AN340" i="1"/>
  <c r="AI340" i="1" s="1"/>
  <c r="O340" i="1" s="1"/>
  <c r="AP339" i="1"/>
  <c r="J339" i="1" s="1"/>
  <c r="AN339" i="1"/>
  <c r="AP338" i="1"/>
  <c r="J338" i="1" s="1"/>
  <c r="AN338" i="1"/>
  <c r="AP337" i="1"/>
  <c r="J337" i="1" s="1"/>
  <c r="AN337" i="1"/>
  <c r="AP336" i="1"/>
  <c r="J336" i="1" s="1"/>
  <c r="AN336" i="1"/>
  <c r="AI336" i="1" s="1"/>
  <c r="O336" i="1" s="1"/>
  <c r="AP335" i="1"/>
  <c r="J335" i="1" s="1"/>
  <c r="AN335" i="1"/>
  <c r="AP334" i="1"/>
  <c r="J334" i="1" s="1"/>
  <c r="AN334" i="1"/>
  <c r="AI334" i="1" s="1"/>
  <c r="O334" i="1" s="1"/>
  <c r="AP333" i="1"/>
  <c r="J333" i="1" s="1"/>
  <c r="AN333" i="1"/>
  <c r="AI333" i="1" s="1"/>
  <c r="O333" i="1" s="1"/>
  <c r="AP332" i="1"/>
  <c r="J332" i="1" s="1"/>
  <c r="AN332" i="1"/>
  <c r="AP331" i="1"/>
  <c r="J331" i="1" s="1"/>
  <c r="AN331" i="1"/>
  <c r="AP330" i="1"/>
  <c r="J330" i="1" s="1"/>
  <c r="AN330" i="1"/>
  <c r="AH330" i="1" s="1"/>
  <c r="AP329" i="1"/>
  <c r="J329" i="1" s="1"/>
  <c r="AN329" i="1"/>
  <c r="AP328" i="1"/>
  <c r="J328" i="1" s="1"/>
  <c r="AN328" i="1"/>
  <c r="AH328" i="1" s="1"/>
  <c r="AP327" i="1"/>
  <c r="J327" i="1" s="1"/>
  <c r="AN327" i="1"/>
  <c r="AP326" i="1"/>
  <c r="J326" i="1" s="1"/>
  <c r="AN326" i="1"/>
  <c r="AP325" i="1"/>
  <c r="J325" i="1" s="1"/>
  <c r="AN325" i="1"/>
  <c r="AP324" i="1"/>
  <c r="J324" i="1" s="1"/>
  <c r="AN324" i="1"/>
  <c r="AH324" i="1" s="1"/>
  <c r="AP323" i="1"/>
  <c r="J323" i="1" s="1"/>
  <c r="AN323" i="1"/>
  <c r="AH323" i="1" s="1"/>
  <c r="AP322" i="1"/>
  <c r="J322" i="1" s="1"/>
  <c r="AN322" i="1"/>
  <c r="AH322" i="1" s="1"/>
  <c r="AP321" i="1"/>
  <c r="J321" i="1" s="1"/>
  <c r="AN321" i="1"/>
  <c r="AI321" i="1" s="1"/>
  <c r="O321" i="1" s="1"/>
  <c r="AP320" i="1"/>
  <c r="J320" i="1" s="1"/>
  <c r="AN320" i="1"/>
  <c r="AH320" i="1" s="1"/>
  <c r="AP319" i="1"/>
  <c r="J319" i="1" s="1"/>
  <c r="AN319" i="1"/>
  <c r="AH319" i="1" s="1"/>
  <c r="AP318" i="1"/>
  <c r="J318" i="1" s="1"/>
  <c r="AN318" i="1"/>
  <c r="AP317" i="1"/>
  <c r="J317" i="1" s="1"/>
  <c r="AN317" i="1"/>
  <c r="AH317" i="1" s="1"/>
  <c r="AP316" i="1"/>
  <c r="J316" i="1" s="1"/>
  <c r="AN316" i="1"/>
  <c r="AH316" i="1" s="1"/>
  <c r="AP315" i="1"/>
  <c r="J315" i="1" s="1"/>
  <c r="AN315" i="1"/>
  <c r="AP314" i="1"/>
  <c r="J314" i="1" s="1"/>
  <c r="AN314" i="1"/>
  <c r="AP313" i="1"/>
  <c r="J313" i="1" s="1"/>
  <c r="AN313" i="1"/>
  <c r="AH313" i="1" s="1"/>
  <c r="AL313" i="1" s="1"/>
  <c r="AP312" i="1"/>
  <c r="J312" i="1" s="1"/>
  <c r="AN312" i="1"/>
  <c r="AI312" i="1" s="1"/>
  <c r="O312" i="1" s="1"/>
  <c r="AP311" i="1"/>
  <c r="J311" i="1" s="1"/>
  <c r="AN311" i="1"/>
  <c r="AI311" i="1" s="1"/>
  <c r="O311" i="1" s="1"/>
  <c r="AP310" i="1"/>
  <c r="J310" i="1" s="1"/>
  <c r="AN310" i="1"/>
  <c r="AI310" i="1" s="1"/>
  <c r="O310" i="1" s="1"/>
  <c r="AP309" i="1"/>
  <c r="J309" i="1" s="1"/>
  <c r="AN309" i="1"/>
  <c r="AP308" i="1"/>
  <c r="J308" i="1" s="1"/>
  <c r="AN308" i="1"/>
  <c r="K308" i="1" s="1"/>
  <c r="AP307" i="1"/>
  <c r="J307" i="1" s="1"/>
  <c r="AN307" i="1"/>
  <c r="AI307" i="1" s="1"/>
  <c r="O307" i="1" s="1"/>
  <c r="AP306" i="1"/>
  <c r="J306" i="1" s="1"/>
  <c r="AN306" i="1"/>
  <c r="K306" i="1" s="1"/>
  <c r="AP305" i="1"/>
  <c r="J305" i="1" s="1"/>
  <c r="AN305" i="1"/>
  <c r="AH305" i="1" s="1"/>
  <c r="AP304" i="1"/>
  <c r="J304" i="1" s="1"/>
  <c r="AN304" i="1"/>
  <c r="AH304" i="1" s="1"/>
  <c r="AP303" i="1"/>
  <c r="J303" i="1" s="1"/>
  <c r="AN303" i="1"/>
  <c r="AH303" i="1" s="1"/>
  <c r="AP302" i="1"/>
  <c r="J302" i="1" s="1"/>
  <c r="AN302" i="1"/>
  <c r="AH302" i="1" s="1"/>
  <c r="AP301" i="1"/>
  <c r="J301" i="1" s="1"/>
  <c r="AN301" i="1"/>
  <c r="AH301" i="1" s="1"/>
  <c r="AP300" i="1"/>
  <c r="J300" i="1" s="1"/>
  <c r="AN300" i="1"/>
  <c r="AH300" i="1" s="1"/>
  <c r="AP299" i="1"/>
  <c r="J299" i="1" s="1"/>
  <c r="AN299" i="1"/>
  <c r="AP298" i="1"/>
  <c r="J298" i="1" s="1"/>
  <c r="AN298" i="1"/>
  <c r="AH298" i="1" s="1"/>
  <c r="AP297" i="1"/>
  <c r="J297" i="1" s="1"/>
  <c r="AN297" i="1"/>
  <c r="AH297" i="1" s="1"/>
  <c r="AP296" i="1"/>
  <c r="J296" i="1" s="1"/>
  <c r="AN296" i="1"/>
  <c r="AH296" i="1" s="1"/>
  <c r="AP295" i="1"/>
  <c r="J295" i="1" s="1"/>
  <c r="AN295" i="1"/>
  <c r="AH295" i="1" s="1"/>
  <c r="AP294" i="1"/>
  <c r="J294" i="1" s="1"/>
  <c r="AN294" i="1"/>
  <c r="AP293" i="1"/>
  <c r="J293" i="1" s="1"/>
  <c r="AN293" i="1"/>
  <c r="AH293" i="1" s="1"/>
  <c r="AP292" i="1"/>
  <c r="J292" i="1" s="1"/>
  <c r="AN292" i="1"/>
  <c r="AP291" i="1"/>
  <c r="J291" i="1" s="1"/>
  <c r="AN291" i="1"/>
  <c r="AH291" i="1" s="1"/>
  <c r="AP290" i="1"/>
  <c r="J290" i="1" s="1"/>
  <c r="AN290" i="1"/>
  <c r="AP289" i="1"/>
  <c r="J289" i="1" s="1"/>
  <c r="AN289" i="1"/>
  <c r="AH289" i="1" s="1"/>
  <c r="AP288" i="1"/>
  <c r="J288" i="1" s="1"/>
  <c r="AN288" i="1"/>
  <c r="AH288" i="1" s="1"/>
  <c r="AL288" i="1" s="1"/>
  <c r="AM288" i="1" s="1"/>
  <c r="S288" i="1" s="1"/>
  <c r="AP287" i="1"/>
  <c r="J287" i="1" s="1"/>
  <c r="AN287" i="1"/>
  <c r="AP286" i="1"/>
  <c r="J286" i="1" s="1"/>
  <c r="AN286" i="1"/>
  <c r="AP285" i="1"/>
  <c r="J285" i="1" s="1"/>
  <c r="AN285" i="1"/>
  <c r="AI285" i="1" s="1"/>
  <c r="O285" i="1" s="1"/>
  <c r="AP284" i="1"/>
  <c r="J284" i="1" s="1"/>
  <c r="AN284" i="1"/>
  <c r="AP283" i="1"/>
  <c r="J283" i="1" s="1"/>
  <c r="AN283" i="1"/>
  <c r="AP282" i="1"/>
  <c r="J282" i="1" s="1"/>
  <c r="AN282" i="1"/>
  <c r="K282" i="1" s="1"/>
  <c r="AP281" i="1"/>
  <c r="J281" i="1" s="1"/>
  <c r="AN281" i="1"/>
  <c r="K281" i="1" s="1"/>
  <c r="AP280" i="1"/>
  <c r="J280" i="1" s="1"/>
  <c r="AN280" i="1"/>
  <c r="AP279" i="1"/>
  <c r="J279" i="1" s="1"/>
  <c r="AN279" i="1"/>
  <c r="AI279" i="1" s="1"/>
  <c r="O279" i="1" s="1"/>
  <c r="AP278" i="1"/>
  <c r="J278" i="1" s="1"/>
  <c r="AN278" i="1"/>
  <c r="AH278" i="1" s="1"/>
  <c r="AL278" i="1" s="1"/>
  <c r="R278" i="1" s="1"/>
  <c r="A278" i="1"/>
  <c r="BP385" i="1"/>
  <c r="AP277" i="1"/>
  <c r="J277" i="1" s="1"/>
  <c r="AN277" i="1"/>
  <c r="K277" i="1" s="1"/>
  <c r="A277" i="1"/>
  <c r="BP384" i="1"/>
  <c r="AP276" i="1"/>
  <c r="J276" i="1" s="1"/>
  <c r="AN276" i="1"/>
  <c r="A276" i="1"/>
  <c r="BP383" i="1"/>
  <c r="AP275" i="1"/>
  <c r="J275" i="1" s="1"/>
  <c r="AN275" i="1"/>
  <c r="K275" i="1" s="1"/>
  <c r="A275" i="1"/>
  <c r="AP274" i="1"/>
  <c r="J274" i="1" s="1"/>
  <c r="AN274" i="1"/>
  <c r="AI274" i="1" s="1"/>
  <c r="O274" i="1" s="1"/>
  <c r="A274" i="1"/>
  <c r="BP381" i="1"/>
  <c r="AP273" i="1"/>
  <c r="J273" i="1" s="1"/>
  <c r="AN273" i="1"/>
  <c r="A273" i="1"/>
  <c r="BP380" i="1"/>
  <c r="AP272" i="1"/>
  <c r="J272" i="1" s="1"/>
  <c r="AN272" i="1"/>
  <c r="K272" i="1" s="1"/>
  <c r="A272" i="1"/>
  <c r="BP379" i="1"/>
  <c r="AP271" i="1"/>
  <c r="J271" i="1" s="1"/>
  <c r="AN271" i="1"/>
  <c r="AI271" i="1" s="1"/>
  <c r="O271" i="1" s="1"/>
  <c r="A271" i="1"/>
  <c r="AP270" i="1"/>
  <c r="J270" i="1" s="1"/>
  <c r="AN270" i="1"/>
  <c r="A270" i="1"/>
  <c r="AP269" i="1"/>
  <c r="J269" i="1" s="1"/>
  <c r="AN269" i="1"/>
  <c r="AH269" i="1" s="1"/>
  <c r="AL269" i="1" s="1"/>
  <c r="AM269" i="1" s="1"/>
  <c r="S269" i="1" s="1"/>
  <c r="A269" i="1"/>
  <c r="BP376" i="1"/>
  <c r="AP268" i="1"/>
  <c r="J268" i="1" s="1"/>
  <c r="AN268" i="1"/>
  <c r="K268" i="1" s="1"/>
  <c r="A268" i="1"/>
  <c r="BP375" i="1"/>
  <c r="AP267" i="1"/>
  <c r="J267" i="1" s="1"/>
  <c r="AN267" i="1"/>
  <c r="AI267" i="1" s="1"/>
  <c r="O267" i="1" s="1"/>
  <c r="A267" i="1"/>
  <c r="BP374" i="1"/>
  <c r="AP266" i="1"/>
  <c r="J266" i="1" s="1"/>
  <c r="AN266" i="1"/>
  <c r="K266" i="1" s="1"/>
  <c r="A266" i="1"/>
  <c r="BP373" i="1"/>
  <c r="AP265" i="1"/>
  <c r="J265" i="1" s="1"/>
  <c r="AN265" i="1"/>
  <c r="AH265" i="1" s="1"/>
  <c r="A265" i="1"/>
  <c r="BP372" i="1"/>
  <c r="AP264" i="1"/>
  <c r="J264" i="1" s="1"/>
  <c r="AN264" i="1"/>
  <c r="K264" i="1" s="1"/>
  <c r="A264" i="1"/>
  <c r="BP371" i="1"/>
  <c r="AP263" i="1"/>
  <c r="J263" i="1" s="1"/>
  <c r="AN263" i="1"/>
  <c r="A263" i="1"/>
  <c r="BP370" i="1"/>
  <c r="AP262" i="1"/>
  <c r="J262" i="1" s="1"/>
  <c r="AN262" i="1"/>
  <c r="A262" i="1"/>
  <c r="BP369" i="1"/>
  <c r="AP261" i="1"/>
  <c r="J261" i="1" s="1"/>
  <c r="AN261" i="1"/>
  <c r="A261" i="1"/>
  <c r="BP368" i="1"/>
  <c r="AP260" i="1"/>
  <c r="J260" i="1" s="1"/>
  <c r="AN260" i="1"/>
  <c r="K260" i="1" s="1"/>
  <c r="A260" i="1"/>
  <c r="BP367" i="1"/>
  <c r="AP259" i="1"/>
  <c r="J259" i="1" s="1"/>
  <c r="AN259" i="1"/>
  <c r="AH259" i="1" s="1"/>
  <c r="N259" i="1" s="1"/>
  <c r="A259" i="1"/>
  <c r="BP366" i="1"/>
  <c r="AP258" i="1"/>
  <c r="J258" i="1" s="1"/>
  <c r="AN258" i="1"/>
  <c r="K258" i="1" s="1"/>
  <c r="A258" i="1"/>
  <c r="BP365" i="1"/>
  <c r="AP257" i="1"/>
  <c r="J257" i="1" s="1"/>
  <c r="AN257" i="1"/>
  <c r="AI257" i="1" s="1"/>
  <c r="O257" i="1" s="1"/>
  <c r="A257" i="1"/>
  <c r="BP364" i="1"/>
  <c r="AP256" i="1"/>
  <c r="J256" i="1" s="1"/>
  <c r="AN256" i="1"/>
  <c r="K256" i="1" s="1"/>
  <c r="A256" i="1"/>
  <c r="BP363" i="1"/>
  <c r="AP255" i="1"/>
  <c r="J255" i="1" s="1"/>
  <c r="AN255" i="1"/>
  <c r="AH255" i="1" s="1"/>
  <c r="AL255" i="1" s="1"/>
  <c r="A255" i="1"/>
  <c r="BP362" i="1"/>
  <c r="AP254" i="1"/>
  <c r="J254" i="1" s="1"/>
  <c r="AN254" i="1"/>
  <c r="A254" i="1"/>
  <c r="BP361" i="1"/>
  <c r="AP253" i="1"/>
  <c r="J253" i="1" s="1"/>
  <c r="AN253" i="1"/>
  <c r="A253" i="1"/>
  <c r="BP360" i="1"/>
  <c r="AP252" i="1"/>
  <c r="J252" i="1" s="1"/>
  <c r="AN252" i="1"/>
  <c r="K252" i="1" s="1"/>
  <c r="A252" i="1"/>
  <c r="BP359" i="1"/>
  <c r="AP251" i="1"/>
  <c r="J251" i="1" s="1"/>
  <c r="AN251" i="1"/>
  <c r="AI251" i="1" s="1"/>
  <c r="O251" i="1" s="1"/>
  <c r="A251" i="1"/>
  <c r="BP358" i="1"/>
  <c r="AP250" i="1"/>
  <c r="J250" i="1" s="1"/>
  <c r="AN250" i="1"/>
  <c r="K250" i="1" s="1"/>
  <c r="A250" i="1"/>
  <c r="BP357" i="1"/>
  <c r="AP249" i="1"/>
  <c r="J249" i="1" s="1"/>
  <c r="AN249" i="1"/>
  <c r="A249" i="1"/>
  <c r="BP356" i="1"/>
  <c r="AP248" i="1"/>
  <c r="J248" i="1" s="1"/>
  <c r="AN248" i="1"/>
  <c r="K248" i="1" s="1"/>
  <c r="A248" i="1"/>
  <c r="BP355" i="1"/>
  <c r="AP247" i="1"/>
  <c r="J247" i="1" s="1"/>
  <c r="AN247" i="1"/>
  <c r="A247" i="1"/>
  <c r="BP354" i="1"/>
  <c r="AP246" i="1"/>
  <c r="J246" i="1" s="1"/>
  <c r="AN246" i="1"/>
  <c r="AH246" i="1" s="1"/>
  <c r="AL246" i="1" s="1"/>
  <c r="AM246" i="1" s="1"/>
  <c r="S246" i="1" s="1"/>
  <c r="A246" i="1"/>
  <c r="BP353" i="1"/>
  <c r="AP245" i="1"/>
  <c r="J245" i="1" s="1"/>
  <c r="AN245" i="1"/>
  <c r="AI245" i="1" s="1"/>
  <c r="O245" i="1" s="1"/>
  <c r="A245" i="1"/>
  <c r="BP352" i="1"/>
  <c r="AP244" i="1"/>
  <c r="J244" i="1" s="1"/>
  <c r="AN244" i="1"/>
  <c r="AI244" i="1" s="1"/>
  <c r="O244" i="1" s="1"/>
  <c r="A244" i="1"/>
  <c r="BP351" i="1"/>
  <c r="AP243" i="1"/>
  <c r="J243" i="1" s="1"/>
  <c r="AN243" i="1"/>
  <c r="A243" i="1"/>
  <c r="BP350" i="1"/>
  <c r="AP242" i="1"/>
  <c r="J242" i="1" s="1"/>
  <c r="AN242" i="1"/>
  <c r="K242" i="1" s="1"/>
  <c r="A242" i="1"/>
  <c r="AP241" i="1"/>
  <c r="J241" i="1" s="1"/>
  <c r="AN241" i="1"/>
  <c r="AH241" i="1" s="1"/>
  <c r="AL241" i="1" s="1"/>
  <c r="R241" i="1" s="1"/>
  <c r="A241" i="1"/>
  <c r="BP348" i="1"/>
  <c r="AP240" i="1"/>
  <c r="J240" i="1" s="1"/>
  <c r="AN240" i="1"/>
  <c r="K240" i="1" s="1"/>
  <c r="A240" i="1"/>
  <c r="BP347" i="1"/>
  <c r="AP239" i="1"/>
  <c r="J239" i="1" s="1"/>
  <c r="AN239" i="1"/>
  <c r="AH239" i="1" s="1"/>
  <c r="AL239" i="1" s="1"/>
  <c r="A239" i="1"/>
  <c r="BP346" i="1"/>
  <c r="AP238" i="1"/>
  <c r="J238" i="1" s="1"/>
  <c r="AN238" i="1"/>
  <c r="K238" i="1" s="1"/>
  <c r="A238" i="1"/>
  <c r="AP237" i="1"/>
  <c r="J237" i="1" s="1"/>
  <c r="AN237" i="1"/>
  <c r="A237" i="1"/>
  <c r="BP344" i="1"/>
  <c r="AP236" i="1"/>
  <c r="J236" i="1" s="1"/>
  <c r="AN236" i="1"/>
  <c r="AH236" i="1" s="1"/>
  <c r="A236" i="1"/>
  <c r="BP343" i="1"/>
  <c r="AP235" i="1"/>
  <c r="J235" i="1" s="1"/>
  <c r="AN235" i="1"/>
  <c r="A235" i="1"/>
  <c r="BP342" i="1"/>
  <c r="AP234" i="1"/>
  <c r="J234" i="1" s="1"/>
  <c r="AN234" i="1"/>
  <c r="A234" i="1"/>
  <c r="AP233" i="1"/>
  <c r="J233" i="1" s="1"/>
  <c r="AN233" i="1"/>
  <c r="AH233" i="1" s="1"/>
  <c r="AL233" i="1" s="1"/>
  <c r="AM233" i="1" s="1"/>
  <c r="S233" i="1" s="1"/>
  <c r="A233" i="1"/>
  <c r="AP232" i="1"/>
  <c r="J232" i="1" s="1"/>
  <c r="AN232" i="1"/>
  <c r="A232" i="1"/>
  <c r="BP339" i="1"/>
  <c r="AP231" i="1"/>
  <c r="J231" i="1" s="1"/>
  <c r="AN231" i="1"/>
  <c r="K231" i="1" s="1"/>
  <c r="A231" i="1"/>
  <c r="BP338" i="1"/>
  <c r="AP230" i="1"/>
  <c r="J230" i="1" s="1"/>
  <c r="AN230" i="1"/>
  <c r="A230" i="1"/>
  <c r="BP337" i="1"/>
  <c r="AP229" i="1"/>
  <c r="J229" i="1" s="1"/>
  <c r="AN229" i="1"/>
  <c r="K229" i="1" s="1"/>
  <c r="A229" i="1"/>
  <c r="BP336" i="1"/>
  <c r="AP228" i="1"/>
  <c r="J228" i="1" s="1"/>
  <c r="AN228" i="1"/>
  <c r="AH228" i="1" s="1"/>
  <c r="AL228" i="1" s="1"/>
  <c r="A228" i="1"/>
  <c r="BP335" i="1"/>
  <c r="AP227" i="1"/>
  <c r="J227" i="1" s="1"/>
  <c r="AN227" i="1"/>
  <c r="K227" i="1" s="1"/>
  <c r="A227" i="1"/>
  <c r="BP334" i="1"/>
  <c r="AP226" i="1"/>
  <c r="J226" i="1" s="1"/>
  <c r="AN226" i="1"/>
  <c r="AI226" i="1" s="1"/>
  <c r="O226" i="1" s="1"/>
  <c r="A226" i="1"/>
  <c r="BP333" i="1"/>
  <c r="AP225" i="1"/>
  <c r="J225" i="1" s="1"/>
  <c r="AN225" i="1"/>
  <c r="K225" i="1" s="1"/>
  <c r="A225" i="1"/>
  <c r="BP332" i="1"/>
  <c r="AP224" i="1"/>
  <c r="J224" i="1" s="1"/>
  <c r="AN224" i="1"/>
  <c r="AI224" i="1" s="1"/>
  <c r="O224" i="1" s="1"/>
  <c r="A224" i="1"/>
  <c r="BP331" i="1"/>
  <c r="AP223" i="1"/>
  <c r="J223" i="1" s="1"/>
  <c r="AN223" i="1"/>
  <c r="K223" i="1" s="1"/>
  <c r="A223" i="1"/>
  <c r="BP330" i="1"/>
  <c r="AP222" i="1"/>
  <c r="J222" i="1" s="1"/>
  <c r="AN222" i="1"/>
  <c r="K222" i="1" s="1"/>
  <c r="A222" i="1"/>
  <c r="BP329" i="1"/>
  <c r="AP221" i="1"/>
  <c r="J221" i="1" s="1"/>
  <c r="AN221" i="1"/>
  <c r="K221" i="1" s="1"/>
  <c r="A221" i="1"/>
  <c r="BP328" i="1"/>
  <c r="AP220" i="1"/>
  <c r="J220" i="1" s="1"/>
  <c r="AN220" i="1"/>
  <c r="K220" i="1" s="1"/>
  <c r="A220" i="1"/>
  <c r="BP327" i="1"/>
  <c r="AP219" i="1"/>
  <c r="J219" i="1" s="1"/>
  <c r="AN219" i="1"/>
  <c r="K219" i="1" s="1"/>
  <c r="A219" i="1"/>
  <c r="BP326" i="1"/>
  <c r="AP218" i="1"/>
  <c r="J218" i="1" s="1"/>
  <c r="AN218" i="1"/>
  <c r="A218" i="1"/>
  <c r="BP325" i="1"/>
  <c r="AP217" i="1"/>
  <c r="J217" i="1" s="1"/>
  <c r="AN217" i="1"/>
  <c r="A217" i="1"/>
  <c r="BP324" i="1"/>
  <c r="AP216" i="1"/>
  <c r="J216" i="1" s="1"/>
  <c r="AN216" i="1"/>
  <c r="AI216" i="1" s="1"/>
  <c r="O216" i="1" s="1"/>
  <c r="A216" i="1"/>
  <c r="BP323" i="1"/>
  <c r="AP215" i="1"/>
  <c r="J215" i="1" s="1"/>
  <c r="AN215" i="1"/>
  <c r="AI215" i="1" s="1"/>
  <c r="O215" i="1" s="1"/>
  <c r="A215" i="1"/>
  <c r="BP322" i="1"/>
  <c r="AP214" i="1"/>
  <c r="J214" i="1" s="1"/>
  <c r="AN214" i="1"/>
  <c r="A214" i="1"/>
  <c r="BP321" i="1"/>
  <c r="AP213" i="1"/>
  <c r="J213" i="1" s="1"/>
  <c r="AN213" i="1"/>
  <c r="A213" i="1"/>
  <c r="BP320" i="1"/>
  <c r="AP212" i="1"/>
  <c r="J212" i="1" s="1"/>
  <c r="AN212" i="1"/>
  <c r="AI212" i="1" s="1"/>
  <c r="O212" i="1" s="1"/>
  <c r="A212" i="1"/>
  <c r="BP319" i="1"/>
  <c r="AP211" i="1"/>
  <c r="J211" i="1" s="1"/>
  <c r="AN211" i="1"/>
  <c r="AH211" i="1" s="1"/>
  <c r="A211" i="1"/>
  <c r="BP318" i="1"/>
  <c r="AP210" i="1"/>
  <c r="J210" i="1" s="1"/>
  <c r="AN210" i="1"/>
  <c r="AH210" i="1" s="1"/>
  <c r="AL210" i="1" s="1"/>
  <c r="A210" i="1"/>
  <c r="BP317" i="1"/>
  <c r="AP209" i="1"/>
  <c r="J209" i="1" s="1"/>
  <c r="AN209" i="1"/>
  <c r="AH209" i="1" s="1"/>
  <c r="AL209" i="1" s="1"/>
  <c r="R209" i="1" s="1"/>
  <c r="A209" i="1"/>
  <c r="BP316" i="1"/>
  <c r="AP208" i="1"/>
  <c r="J208" i="1" s="1"/>
  <c r="AN208" i="1"/>
  <c r="A208" i="1"/>
  <c r="BP315" i="1"/>
  <c r="AP207" i="1"/>
  <c r="J207" i="1" s="1"/>
  <c r="AN207" i="1"/>
  <c r="A207" i="1"/>
  <c r="BP314" i="1"/>
  <c r="AP206" i="1"/>
  <c r="J206" i="1" s="1"/>
  <c r="AN206" i="1"/>
  <c r="AH206" i="1" s="1"/>
  <c r="A206" i="1"/>
  <c r="BP313" i="1"/>
  <c r="AP205" i="1"/>
  <c r="J205" i="1" s="1"/>
  <c r="AN205" i="1"/>
  <c r="AI205" i="1" s="1"/>
  <c r="O205" i="1" s="1"/>
  <c r="A205" i="1"/>
  <c r="AP204" i="1"/>
  <c r="J204" i="1" s="1"/>
  <c r="AN204" i="1"/>
  <c r="K204" i="1" s="1"/>
  <c r="A204" i="1"/>
  <c r="BP311" i="1"/>
  <c r="AP203" i="1"/>
  <c r="J203" i="1" s="1"/>
  <c r="AN203" i="1"/>
  <c r="K203" i="1" s="1"/>
  <c r="A203" i="1"/>
  <c r="BP310" i="1"/>
  <c r="AP202" i="1"/>
  <c r="J202" i="1" s="1"/>
  <c r="AN202" i="1"/>
  <c r="AI202" i="1" s="1"/>
  <c r="O202" i="1" s="1"/>
  <c r="A202" i="1"/>
  <c r="BP309" i="1"/>
  <c r="AP201" i="1"/>
  <c r="J201" i="1" s="1"/>
  <c r="AN201" i="1"/>
  <c r="K201" i="1" s="1"/>
  <c r="A201" i="1"/>
  <c r="AP200" i="1"/>
  <c r="J200" i="1" s="1"/>
  <c r="AN200" i="1"/>
  <c r="AI200" i="1" s="1"/>
  <c r="O200" i="1" s="1"/>
  <c r="A200" i="1"/>
  <c r="BP307" i="1"/>
  <c r="AP199" i="1"/>
  <c r="J199" i="1" s="1"/>
  <c r="AN199" i="1"/>
  <c r="AI199" i="1" s="1"/>
  <c r="O199" i="1" s="1"/>
  <c r="A199" i="1"/>
  <c r="BP306" i="1"/>
  <c r="AP198" i="1"/>
  <c r="J198" i="1" s="1"/>
  <c r="AN198" i="1"/>
  <c r="K198" i="1" s="1"/>
  <c r="A198" i="1"/>
  <c r="BP305" i="1"/>
  <c r="AP197" i="1"/>
  <c r="J197" i="1" s="1"/>
  <c r="AN197" i="1"/>
  <c r="AI197" i="1" s="1"/>
  <c r="O197" i="1" s="1"/>
  <c r="A197" i="1"/>
  <c r="AP196" i="1"/>
  <c r="J196" i="1" s="1"/>
  <c r="AN196" i="1"/>
  <c r="AH196" i="1" s="1"/>
  <c r="AL196" i="1" s="1"/>
  <c r="AM196" i="1" s="1"/>
  <c r="S196" i="1" s="1"/>
  <c r="A196" i="1"/>
  <c r="AP195" i="1"/>
  <c r="J195" i="1" s="1"/>
  <c r="AN195" i="1"/>
  <c r="AH195" i="1" s="1"/>
  <c r="AL195" i="1" s="1"/>
  <c r="AM195" i="1" s="1"/>
  <c r="S195" i="1" s="1"/>
  <c r="A195" i="1"/>
  <c r="BP302" i="1"/>
  <c r="AP194" i="1"/>
  <c r="J194" i="1" s="1"/>
  <c r="AN194" i="1"/>
  <c r="K194" i="1" s="1"/>
  <c r="A194" i="1"/>
  <c r="BP301" i="1"/>
  <c r="AP193" i="1"/>
  <c r="J193" i="1" s="1"/>
  <c r="AN193" i="1"/>
  <c r="AI193" i="1" s="1"/>
  <c r="O193" i="1" s="1"/>
  <c r="A193" i="1"/>
  <c r="BP300" i="1"/>
  <c r="AP192" i="1"/>
  <c r="J192" i="1" s="1"/>
  <c r="AN192" i="1"/>
  <c r="K192" i="1" s="1"/>
  <c r="A192" i="1"/>
  <c r="BP299" i="1"/>
  <c r="AP191" i="1"/>
  <c r="J191" i="1" s="1"/>
  <c r="AN191" i="1"/>
  <c r="AI191" i="1" s="1"/>
  <c r="O191" i="1" s="1"/>
  <c r="A191" i="1"/>
  <c r="BP298" i="1"/>
  <c r="AP190" i="1"/>
  <c r="J190" i="1" s="1"/>
  <c r="AN190" i="1"/>
  <c r="K190" i="1" s="1"/>
  <c r="A190" i="1"/>
  <c r="BP297" i="1"/>
  <c r="AP189" i="1"/>
  <c r="J189" i="1" s="1"/>
  <c r="AN189" i="1"/>
  <c r="AI189" i="1" s="1"/>
  <c r="O189" i="1" s="1"/>
  <c r="A189" i="1"/>
  <c r="BP296" i="1"/>
  <c r="AP188" i="1"/>
  <c r="J188" i="1" s="1"/>
  <c r="AN188" i="1"/>
  <c r="K188" i="1" s="1"/>
  <c r="A188" i="1"/>
  <c r="BP295" i="1"/>
  <c r="AP187" i="1"/>
  <c r="J187" i="1" s="1"/>
  <c r="AN187" i="1"/>
  <c r="AI187" i="1" s="1"/>
  <c r="O187" i="1" s="1"/>
  <c r="A187" i="1"/>
  <c r="BP294" i="1"/>
  <c r="AP186" i="1"/>
  <c r="J186" i="1" s="1"/>
  <c r="AN186" i="1"/>
  <c r="K186" i="1" s="1"/>
  <c r="A186" i="1"/>
  <c r="BP293" i="1"/>
  <c r="AP185" i="1"/>
  <c r="J185" i="1" s="1"/>
  <c r="AN185" i="1"/>
  <c r="K185" i="1" s="1"/>
  <c r="A185" i="1"/>
  <c r="BP292" i="1"/>
  <c r="AP184" i="1"/>
  <c r="J184" i="1" s="1"/>
  <c r="AN184" i="1"/>
  <c r="A184" i="1"/>
  <c r="BP291" i="1"/>
  <c r="AP183" i="1"/>
  <c r="J183" i="1" s="1"/>
  <c r="AN183" i="1"/>
  <c r="A183" i="1"/>
  <c r="BP290" i="1"/>
  <c r="AP182" i="1"/>
  <c r="J182" i="1" s="1"/>
  <c r="AN182" i="1"/>
  <c r="K182" i="1" s="1"/>
  <c r="A182" i="1"/>
  <c r="BP289" i="1"/>
  <c r="AP181" i="1"/>
  <c r="J181" i="1" s="1"/>
  <c r="AN181" i="1"/>
  <c r="AI181" i="1" s="1"/>
  <c r="O181" i="1" s="1"/>
  <c r="A181" i="1"/>
  <c r="BP288" i="1"/>
  <c r="AP180" i="1"/>
  <c r="J180" i="1" s="1"/>
  <c r="AN180" i="1"/>
  <c r="K180" i="1" s="1"/>
  <c r="A180" i="1"/>
  <c r="BP287" i="1"/>
  <c r="AP179" i="1"/>
  <c r="J179" i="1" s="1"/>
  <c r="AN179" i="1"/>
  <c r="A179" i="1"/>
  <c r="BP286" i="1"/>
  <c r="AP178" i="1"/>
  <c r="J178" i="1" s="1"/>
  <c r="AN178" i="1"/>
  <c r="K178" i="1" s="1"/>
  <c r="A178" i="1"/>
  <c r="BP285" i="1"/>
  <c r="AP177" i="1"/>
  <c r="J177" i="1" s="1"/>
  <c r="AN177" i="1"/>
  <c r="AI177" i="1" s="1"/>
  <c r="O177" i="1" s="1"/>
  <c r="A177" i="1"/>
  <c r="BP284" i="1"/>
  <c r="AP176" i="1"/>
  <c r="J176" i="1" s="1"/>
  <c r="AN176" i="1"/>
  <c r="K176" i="1" s="1"/>
  <c r="A176" i="1"/>
  <c r="BP283" i="1"/>
  <c r="AP175" i="1"/>
  <c r="J175" i="1" s="1"/>
  <c r="AN175" i="1"/>
  <c r="AI175" i="1" s="1"/>
  <c r="O175" i="1" s="1"/>
  <c r="A175" i="1"/>
  <c r="BP282" i="1"/>
  <c r="AP174" i="1"/>
  <c r="J174" i="1" s="1"/>
  <c r="AN174" i="1"/>
  <c r="A174" i="1"/>
  <c r="BP281" i="1"/>
  <c r="AP173" i="1"/>
  <c r="J173" i="1" s="1"/>
  <c r="AN173" i="1"/>
  <c r="AI173" i="1" s="1"/>
  <c r="O173" i="1" s="1"/>
  <c r="A173" i="1"/>
  <c r="BP280" i="1"/>
  <c r="AP172" i="1"/>
  <c r="J172" i="1" s="1"/>
  <c r="AN172" i="1"/>
  <c r="AH172" i="1" s="1"/>
  <c r="AL172" i="1" s="1"/>
  <c r="A172" i="1"/>
  <c r="BP279" i="1"/>
  <c r="AP171" i="1"/>
  <c r="J171" i="1" s="1"/>
  <c r="AN171" i="1"/>
  <c r="A171" i="1"/>
  <c r="BP278" i="1"/>
  <c r="AP170" i="1"/>
  <c r="J170" i="1" s="1"/>
  <c r="AN170" i="1"/>
  <c r="K170" i="1" s="1"/>
  <c r="A170" i="1"/>
  <c r="BP277" i="1"/>
  <c r="AP169" i="1"/>
  <c r="J169" i="1" s="1"/>
  <c r="AN169" i="1"/>
  <c r="AI169" i="1" s="1"/>
  <c r="O169" i="1" s="1"/>
  <c r="A169" i="1"/>
  <c r="BP276" i="1"/>
  <c r="AP168" i="1"/>
  <c r="J168" i="1" s="1"/>
  <c r="AN168" i="1"/>
  <c r="AI168" i="1" s="1"/>
  <c r="O168" i="1" s="1"/>
  <c r="A168" i="1"/>
  <c r="AP167" i="1"/>
  <c r="J167" i="1" s="1"/>
  <c r="AN167" i="1"/>
  <c r="AI167" i="1" s="1"/>
  <c r="O167" i="1" s="1"/>
  <c r="AP166" i="1"/>
  <c r="J166" i="1" s="1"/>
  <c r="AN166" i="1"/>
  <c r="K166" i="1" s="1"/>
  <c r="AP165" i="1"/>
  <c r="J165" i="1" s="1"/>
  <c r="AN165" i="1"/>
  <c r="K165" i="1" s="1"/>
  <c r="AP164" i="1"/>
  <c r="J164" i="1" s="1"/>
  <c r="AN164" i="1"/>
  <c r="K164" i="1" s="1"/>
  <c r="AP163" i="1"/>
  <c r="J163" i="1" s="1"/>
  <c r="AN163" i="1"/>
  <c r="AP162" i="1"/>
  <c r="J162" i="1" s="1"/>
  <c r="AN162" i="1"/>
  <c r="AP161" i="1"/>
  <c r="J161" i="1" s="1"/>
  <c r="AN161" i="1"/>
  <c r="K161" i="1" s="1"/>
  <c r="AP160" i="1"/>
  <c r="J160" i="1" s="1"/>
  <c r="AN160" i="1"/>
  <c r="AP159" i="1"/>
  <c r="J159" i="1" s="1"/>
  <c r="AN159" i="1"/>
  <c r="AP158" i="1"/>
  <c r="J158" i="1" s="1"/>
  <c r="AN158" i="1"/>
  <c r="AI158" i="1" s="1"/>
  <c r="O158" i="1" s="1"/>
  <c r="AP157" i="1"/>
  <c r="J157" i="1" s="1"/>
  <c r="AN157" i="1"/>
  <c r="AI157" i="1" s="1"/>
  <c r="O157" i="1" s="1"/>
  <c r="AP156" i="1"/>
  <c r="J156" i="1" s="1"/>
  <c r="AN156" i="1"/>
  <c r="AH156" i="1" s="1"/>
  <c r="AL156" i="1" s="1"/>
  <c r="AP155" i="1"/>
  <c r="J155" i="1" s="1"/>
  <c r="AN155" i="1"/>
  <c r="AI155" i="1" s="1"/>
  <c r="O155" i="1" s="1"/>
  <c r="AP154" i="1"/>
  <c r="J154" i="1" s="1"/>
  <c r="AN154" i="1"/>
  <c r="AI154" i="1" s="1"/>
  <c r="O154" i="1" s="1"/>
  <c r="AP153" i="1"/>
  <c r="J153" i="1" s="1"/>
  <c r="AN153" i="1"/>
  <c r="AI153" i="1" s="1"/>
  <c r="O153" i="1" s="1"/>
  <c r="AP152" i="1"/>
  <c r="J152" i="1" s="1"/>
  <c r="AN152" i="1"/>
  <c r="AH152" i="1" s="1"/>
  <c r="AL152" i="1" s="1"/>
  <c r="AP151" i="1"/>
  <c r="J151" i="1" s="1"/>
  <c r="AN151" i="1"/>
  <c r="AH151" i="1" s="1"/>
  <c r="AL151" i="1" s="1"/>
  <c r="AP150" i="1"/>
  <c r="J150" i="1" s="1"/>
  <c r="AN150" i="1"/>
  <c r="K150" i="1" s="1"/>
  <c r="AP149" i="1"/>
  <c r="J149" i="1" s="1"/>
  <c r="AN149" i="1"/>
  <c r="K149" i="1" s="1"/>
  <c r="AP148" i="1"/>
  <c r="J148" i="1" s="1"/>
  <c r="AN148" i="1"/>
  <c r="K148" i="1" s="1"/>
  <c r="AP147" i="1"/>
  <c r="J147" i="1" s="1"/>
  <c r="AN147" i="1"/>
  <c r="K147" i="1" s="1"/>
  <c r="AP146" i="1"/>
  <c r="J146" i="1" s="1"/>
  <c r="AN146" i="1"/>
  <c r="K146" i="1" s="1"/>
  <c r="AP145" i="1"/>
  <c r="J145" i="1" s="1"/>
  <c r="AN145" i="1"/>
  <c r="K145" i="1" s="1"/>
  <c r="AP144" i="1"/>
  <c r="J144" i="1" s="1"/>
  <c r="AN144" i="1"/>
  <c r="K144" i="1" s="1"/>
  <c r="AP143" i="1"/>
  <c r="J143" i="1" s="1"/>
  <c r="AN143" i="1"/>
  <c r="K143" i="1" s="1"/>
  <c r="AP142" i="1"/>
  <c r="J142" i="1" s="1"/>
  <c r="AN142" i="1"/>
  <c r="K142" i="1" s="1"/>
  <c r="AP141" i="1"/>
  <c r="J141" i="1" s="1"/>
  <c r="AN141" i="1"/>
  <c r="K141" i="1" s="1"/>
  <c r="AP140" i="1"/>
  <c r="J140" i="1" s="1"/>
  <c r="AN140" i="1"/>
  <c r="K140" i="1" s="1"/>
  <c r="AP139" i="1"/>
  <c r="J139" i="1" s="1"/>
  <c r="AN139" i="1"/>
  <c r="AI139" i="1" s="1"/>
  <c r="O139" i="1" s="1"/>
  <c r="AP138" i="1"/>
  <c r="J138" i="1" s="1"/>
  <c r="AN138" i="1"/>
  <c r="K138" i="1" s="1"/>
  <c r="AP137" i="1"/>
  <c r="J137" i="1" s="1"/>
  <c r="AN137" i="1"/>
  <c r="K137" i="1" s="1"/>
  <c r="AP136" i="1"/>
  <c r="J136" i="1" s="1"/>
  <c r="AN136" i="1"/>
  <c r="AP135" i="1"/>
  <c r="J135" i="1" s="1"/>
  <c r="AN135" i="1"/>
  <c r="K135" i="1" s="1"/>
  <c r="AP134" i="1"/>
  <c r="J134" i="1" s="1"/>
  <c r="AN134" i="1"/>
  <c r="AP133" i="1"/>
  <c r="J133" i="1" s="1"/>
  <c r="AN133" i="1"/>
  <c r="K133" i="1" s="1"/>
  <c r="AP132" i="1"/>
  <c r="J132" i="1" s="1"/>
  <c r="AN132" i="1"/>
  <c r="K132" i="1" s="1"/>
  <c r="AP131" i="1"/>
  <c r="J131" i="1" s="1"/>
  <c r="AN131" i="1"/>
  <c r="K131" i="1" s="1"/>
  <c r="AN126" i="1"/>
  <c r="AH126" i="1" s="1"/>
  <c r="AP126" i="1"/>
  <c r="J126" i="1" s="1"/>
  <c r="AN127" i="1"/>
  <c r="AH127" i="1" s="1"/>
  <c r="AP127" i="1"/>
  <c r="J127" i="1" s="1"/>
  <c r="AN128" i="1"/>
  <c r="AH128" i="1" s="1"/>
  <c r="AP128" i="1"/>
  <c r="J128" i="1" s="1"/>
  <c r="AN129" i="1"/>
  <c r="AI129" i="1" s="1"/>
  <c r="O129" i="1" s="1"/>
  <c r="AP129" i="1"/>
  <c r="J129" i="1" s="1"/>
  <c r="AN130" i="1"/>
  <c r="AH130" i="1" s="1"/>
  <c r="AP130" i="1"/>
  <c r="J130" i="1" s="1"/>
  <c r="A126" i="1"/>
  <c r="A127" i="1"/>
  <c r="A128" i="1"/>
  <c r="A129" i="1"/>
  <c r="A130" i="1"/>
  <c r="AN121" i="1"/>
  <c r="AP121" i="1"/>
  <c r="J121" i="1" s="1"/>
  <c r="AN122" i="1"/>
  <c r="AH122" i="1" s="1"/>
  <c r="AL122" i="1" s="1"/>
  <c r="AM122" i="1" s="1"/>
  <c r="S122" i="1" s="1"/>
  <c r="AP122" i="1"/>
  <c r="J122" i="1" s="1"/>
  <c r="A121" i="1"/>
  <c r="A122" i="1"/>
  <c r="N857" i="1" l="1"/>
  <c r="R857" i="1"/>
  <c r="AM815" i="1"/>
  <c r="S815" i="1" s="1"/>
  <c r="N815" i="1"/>
  <c r="AL837" i="1"/>
  <c r="R837" i="1" s="1"/>
  <c r="N826" i="1"/>
  <c r="R828" i="1"/>
  <c r="N811" i="1"/>
  <c r="AM851" i="1"/>
  <c r="S851" i="1" s="1"/>
  <c r="AL800" i="1"/>
  <c r="R800" i="1" s="1"/>
  <c r="AL809" i="1"/>
  <c r="AM809" i="1" s="1"/>
  <c r="S809" i="1" s="1"/>
  <c r="N850" i="1"/>
  <c r="AM850" i="1"/>
  <c r="S850" i="1" s="1"/>
  <c r="N841" i="1"/>
  <c r="AL833" i="1"/>
  <c r="R833" i="1" s="1"/>
  <c r="N802" i="1"/>
  <c r="R801" i="1"/>
  <c r="AL831" i="1"/>
  <c r="R831" i="1" s="1"/>
  <c r="N828" i="1"/>
  <c r="N801" i="1"/>
  <c r="AH267" i="1"/>
  <c r="N267" i="1" s="1"/>
  <c r="AI291" i="1"/>
  <c r="O291" i="1" s="1"/>
  <c r="AL829" i="1"/>
  <c r="R829" i="1" s="1"/>
  <c r="AM811" i="1"/>
  <c r="S811" i="1" s="1"/>
  <c r="R811" i="1"/>
  <c r="AL821" i="1"/>
  <c r="AM821" i="1" s="1"/>
  <c r="S821" i="1" s="1"/>
  <c r="AL825" i="1"/>
  <c r="R825" i="1" s="1"/>
  <c r="R854" i="1"/>
  <c r="R858" i="1"/>
  <c r="N834" i="1"/>
  <c r="AM816" i="1"/>
  <c r="S816" i="1" s="1"/>
  <c r="R802" i="1"/>
  <c r="N835" i="1"/>
  <c r="N858" i="1"/>
  <c r="AH310" i="1"/>
  <c r="AL310" i="1" s="1"/>
  <c r="AM310" i="1" s="1"/>
  <c r="S310" i="1" s="1"/>
  <c r="N816" i="1"/>
  <c r="AL817" i="1"/>
  <c r="AM817" i="1" s="1"/>
  <c r="S817" i="1" s="1"/>
  <c r="AM835" i="1"/>
  <c r="S835" i="1" s="1"/>
  <c r="N832" i="1"/>
  <c r="N855" i="1"/>
  <c r="N810" i="1"/>
  <c r="N854" i="1"/>
  <c r="AL845" i="1"/>
  <c r="AM845" i="1" s="1"/>
  <c r="S845" i="1" s="1"/>
  <c r="R830" i="1"/>
  <c r="AL813" i="1"/>
  <c r="N813" i="1"/>
  <c r="AL843" i="1"/>
  <c r="N843" i="1"/>
  <c r="AL838" i="1"/>
  <c r="N838" i="1"/>
  <c r="AL839" i="1"/>
  <c r="N839" i="1"/>
  <c r="AI236" i="1"/>
  <c r="O236" i="1" s="1"/>
  <c r="AI313" i="1"/>
  <c r="O313" i="1" s="1"/>
  <c r="AH401" i="1"/>
  <c r="AL401" i="1" s="1"/>
  <c r="R401" i="1" s="1"/>
  <c r="AM855" i="1"/>
  <c r="S855" i="1" s="1"/>
  <c r="AL859" i="1"/>
  <c r="N859" i="1"/>
  <c r="AL836" i="1"/>
  <c r="N836" i="1"/>
  <c r="N820" i="1"/>
  <c r="R820" i="1"/>
  <c r="AL847" i="1"/>
  <c r="N847" i="1"/>
  <c r="K210" i="1"/>
  <c r="AI293" i="1"/>
  <c r="O293" i="1" s="1"/>
  <c r="AH341" i="1"/>
  <c r="AL341" i="1" s="1"/>
  <c r="AM341" i="1" s="1"/>
  <c r="S341" i="1" s="1"/>
  <c r="AL822" i="1"/>
  <c r="N822" i="1"/>
  <c r="AL852" i="1"/>
  <c r="N852" i="1"/>
  <c r="R823" i="1"/>
  <c r="AM823" i="1"/>
  <c r="S823" i="1" s="1"/>
  <c r="R841" i="1"/>
  <c r="AM841" i="1"/>
  <c r="S841" i="1" s="1"/>
  <c r="AL844" i="1"/>
  <c r="N844" i="1"/>
  <c r="R827" i="1"/>
  <c r="AM827" i="1"/>
  <c r="S827" i="1" s="1"/>
  <c r="R814" i="1"/>
  <c r="AM814" i="1"/>
  <c r="S814" i="1" s="1"/>
  <c r="AM846" i="1"/>
  <c r="S846" i="1" s="1"/>
  <c r="R846" i="1"/>
  <c r="R810" i="1"/>
  <c r="AM810" i="1"/>
  <c r="S810" i="1" s="1"/>
  <c r="AM812" i="1"/>
  <c r="S812" i="1" s="1"/>
  <c r="R812" i="1"/>
  <c r="AM834" i="1"/>
  <c r="S834" i="1" s="1"/>
  <c r="R834" i="1"/>
  <c r="AM826" i="1"/>
  <c r="S826" i="1" s="1"/>
  <c r="R826" i="1"/>
  <c r="R804" i="1"/>
  <c r="AM804" i="1"/>
  <c r="S804" i="1" s="1"/>
  <c r="R807" i="1"/>
  <c r="AM807" i="1"/>
  <c r="S807" i="1" s="1"/>
  <c r="AL856" i="1"/>
  <c r="N856" i="1"/>
  <c r="AL840" i="1"/>
  <c r="N840" i="1"/>
  <c r="R849" i="1"/>
  <c r="AM849" i="1"/>
  <c r="S849" i="1" s="1"/>
  <c r="AL848" i="1"/>
  <c r="N848" i="1"/>
  <c r="AL824" i="1"/>
  <c r="N824" i="1"/>
  <c r="R806" i="1"/>
  <c r="AM806" i="1"/>
  <c r="S806" i="1" s="1"/>
  <c r="AM832" i="1"/>
  <c r="S832" i="1" s="1"/>
  <c r="R832" i="1"/>
  <c r="R853" i="1"/>
  <c r="AM853" i="1"/>
  <c r="S853" i="1" s="1"/>
  <c r="AM825" i="1"/>
  <c r="S825" i="1" s="1"/>
  <c r="AL803" i="1"/>
  <c r="N803" i="1"/>
  <c r="R818" i="1"/>
  <c r="AM818" i="1"/>
  <c r="S818" i="1" s="1"/>
  <c r="AI331" i="1"/>
  <c r="O331" i="1" s="1"/>
  <c r="K331" i="1"/>
  <c r="AI183" i="1"/>
  <c r="O183" i="1" s="1"/>
  <c r="AH183" i="1"/>
  <c r="AL183" i="1" s="1"/>
  <c r="AM183" i="1" s="1"/>
  <c r="S183" i="1" s="1"/>
  <c r="K263" i="1"/>
  <c r="AI263" i="1"/>
  <c r="O263" i="1" s="1"/>
  <c r="K168" i="1"/>
  <c r="AI210" i="1"/>
  <c r="O210" i="1" s="1"/>
  <c r="AI255" i="1"/>
  <c r="O255" i="1" s="1"/>
  <c r="K279" i="1"/>
  <c r="AI303" i="1"/>
  <c r="O303" i="1" s="1"/>
  <c r="AH336" i="1"/>
  <c r="AL336" i="1" s="1"/>
  <c r="AM336" i="1" s="1"/>
  <c r="S336" i="1" s="1"/>
  <c r="AI433" i="1"/>
  <c r="O433" i="1" s="1"/>
  <c r="AH168" i="1"/>
  <c r="AL168" i="1" s="1"/>
  <c r="R168" i="1" s="1"/>
  <c r="K236" i="1"/>
  <c r="AH251" i="1"/>
  <c r="N251" i="1" s="1"/>
  <c r="AI265" i="1"/>
  <c r="O265" i="1" s="1"/>
  <c r="K271" i="1"/>
  <c r="AM278" i="1"/>
  <c r="S278" i="1" s="1"/>
  <c r="AH279" i="1"/>
  <c r="AL279" i="1" s="1"/>
  <c r="AM279" i="1" s="1"/>
  <c r="S279" i="1" s="1"/>
  <c r="AI305" i="1"/>
  <c r="O305" i="1" s="1"/>
  <c r="AI317" i="1"/>
  <c r="O317" i="1" s="1"/>
  <c r="AI330" i="1"/>
  <c r="O330" i="1" s="1"/>
  <c r="AH331" i="1"/>
  <c r="AL331" i="1" s="1"/>
  <c r="AM331" i="1" s="1"/>
  <c r="S331" i="1" s="1"/>
  <c r="K420" i="1"/>
  <c r="K181" i="1"/>
  <c r="AH271" i="1"/>
  <c r="N271" i="1" s="1"/>
  <c r="K413" i="1"/>
  <c r="AH181" i="1"/>
  <c r="AL181" i="1" s="1"/>
  <c r="AM181" i="1" s="1"/>
  <c r="S181" i="1" s="1"/>
  <c r="AH224" i="1"/>
  <c r="AL224" i="1" s="1"/>
  <c r="R224" i="1" s="1"/>
  <c r="K244" i="1"/>
  <c r="AH263" i="1"/>
  <c r="AL263" i="1" s="1"/>
  <c r="AM263" i="1" s="1"/>
  <c r="S263" i="1" s="1"/>
  <c r="AI289" i="1"/>
  <c r="O289" i="1" s="1"/>
  <c r="AI295" i="1"/>
  <c r="O295" i="1" s="1"/>
  <c r="K341" i="1"/>
  <c r="K387" i="1"/>
  <c r="K398" i="1"/>
  <c r="AI407" i="1"/>
  <c r="O407" i="1" s="1"/>
  <c r="AH413" i="1"/>
  <c r="AL413" i="1" s="1"/>
  <c r="R413" i="1" s="1"/>
  <c r="K429" i="1"/>
  <c r="AI429" i="1"/>
  <c r="O429" i="1" s="1"/>
  <c r="AH434" i="1"/>
  <c r="AH430" i="1"/>
  <c r="N428" i="1"/>
  <c r="AL428" i="1"/>
  <c r="N432" i="1"/>
  <c r="AL432" i="1"/>
  <c r="N431" i="1"/>
  <c r="AL431" i="1"/>
  <c r="N427" i="1"/>
  <c r="AL427" i="1"/>
  <c r="K432" i="1"/>
  <c r="K428" i="1"/>
  <c r="AH433" i="1"/>
  <c r="AI432" i="1"/>
  <c r="O432" i="1" s="1"/>
  <c r="K431" i="1"/>
  <c r="AH429" i="1"/>
  <c r="AI428" i="1"/>
  <c r="O428" i="1" s="1"/>
  <c r="K427" i="1"/>
  <c r="K434" i="1"/>
  <c r="AI431" i="1"/>
  <c r="O431" i="1" s="1"/>
  <c r="K430" i="1"/>
  <c r="AI427" i="1"/>
  <c r="O427" i="1" s="1"/>
  <c r="K183" i="1"/>
  <c r="AH205" i="1"/>
  <c r="N205" i="1" s="1"/>
  <c r="AI239" i="1"/>
  <c r="O239" i="1" s="1"/>
  <c r="K363" i="1"/>
  <c r="K366" i="1"/>
  <c r="AI170" i="1"/>
  <c r="O170" i="1" s="1"/>
  <c r="K255" i="1"/>
  <c r="K319" i="1"/>
  <c r="K320" i="1"/>
  <c r="K333" i="1"/>
  <c r="AH334" i="1"/>
  <c r="N334" i="1" s="1"/>
  <c r="AH362" i="1"/>
  <c r="AL362" i="1" s="1"/>
  <c r="AM362" i="1" s="1"/>
  <c r="S362" i="1" s="1"/>
  <c r="AI363" i="1"/>
  <c r="O363" i="1" s="1"/>
  <c r="AH366" i="1"/>
  <c r="AL366" i="1" s="1"/>
  <c r="AM366" i="1" s="1"/>
  <c r="S366" i="1" s="1"/>
  <c r="AI375" i="1"/>
  <c r="O375" i="1" s="1"/>
  <c r="K378" i="1"/>
  <c r="K379" i="1"/>
  <c r="K389" i="1"/>
  <c r="AH191" i="1"/>
  <c r="AL191" i="1" s="1"/>
  <c r="AM191" i="1" s="1"/>
  <c r="S191" i="1" s="1"/>
  <c r="AI196" i="1"/>
  <c r="O196" i="1" s="1"/>
  <c r="AI206" i="1"/>
  <c r="O206" i="1" s="1"/>
  <c r="K212" i="1"/>
  <c r="K224" i="1"/>
  <c r="K265" i="1"/>
  <c r="K293" i="1"/>
  <c r="AI297" i="1"/>
  <c r="O297" i="1" s="1"/>
  <c r="AI319" i="1"/>
  <c r="O319" i="1" s="1"/>
  <c r="AI328" i="1"/>
  <c r="O328" i="1" s="1"/>
  <c r="AH333" i="1"/>
  <c r="N333" i="1" s="1"/>
  <c r="K336" i="1"/>
  <c r="AH377" i="1"/>
  <c r="AL377" i="1" s="1"/>
  <c r="R377" i="1" s="1"/>
  <c r="AI378" i="1"/>
  <c r="O378" i="1" s="1"/>
  <c r="K388" i="1"/>
  <c r="AH389" i="1"/>
  <c r="AL389" i="1" s="1"/>
  <c r="AM389" i="1" s="1"/>
  <c r="S389" i="1" s="1"/>
  <c r="K285" i="1"/>
  <c r="K402" i="1"/>
  <c r="K410" i="1"/>
  <c r="K197" i="1"/>
  <c r="K211" i="1"/>
  <c r="N233" i="1"/>
  <c r="AH244" i="1"/>
  <c r="AL244" i="1" s="1"/>
  <c r="R244" i="1" s="1"/>
  <c r="K324" i="1"/>
  <c r="K361" i="1"/>
  <c r="K374" i="1"/>
  <c r="AH405" i="1"/>
  <c r="AL405" i="1" s="1"/>
  <c r="R405" i="1" s="1"/>
  <c r="K425" i="1"/>
  <c r="AH139" i="1"/>
  <c r="N139" i="1" s="1"/>
  <c r="K157" i="1"/>
  <c r="AH158" i="1"/>
  <c r="N158" i="1" s="1"/>
  <c r="K187" i="1"/>
  <c r="AH200" i="1"/>
  <c r="AH212" i="1"/>
  <c r="AL212" i="1" s="1"/>
  <c r="AM212" i="1" s="1"/>
  <c r="S212" i="1" s="1"/>
  <c r="AH226" i="1"/>
  <c r="AL226" i="1" s="1"/>
  <c r="R226" i="1" s="1"/>
  <c r="AI233" i="1"/>
  <c r="O233" i="1" s="1"/>
  <c r="K239" i="1"/>
  <c r="AH274" i="1"/>
  <c r="N274" i="1" s="1"/>
  <c r="AH285" i="1"/>
  <c r="AL285" i="1" s="1"/>
  <c r="R285" i="1" s="1"/>
  <c r="AI301" i="1"/>
  <c r="O301" i="1" s="1"/>
  <c r="AH307" i="1"/>
  <c r="N307" i="1" s="1"/>
  <c r="K313" i="1"/>
  <c r="AI320" i="1"/>
  <c r="O320" i="1" s="1"/>
  <c r="AI322" i="1"/>
  <c r="O322" i="1" s="1"/>
  <c r="AI323" i="1"/>
  <c r="O323" i="1" s="1"/>
  <c r="AH340" i="1"/>
  <c r="AL340" i="1" s="1"/>
  <c r="AM340" i="1" s="1"/>
  <c r="S340" i="1" s="1"/>
  <c r="AH346" i="1"/>
  <c r="AL346" i="1" s="1"/>
  <c r="AM346" i="1" s="1"/>
  <c r="S346" i="1" s="1"/>
  <c r="AH347" i="1"/>
  <c r="AL347" i="1" s="1"/>
  <c r="AM347" i="1" s="1"/>
  <c r="S347" i="1" s="1"/>
  <c r="AI349" i="1"/>
  <c r="O349" i="1" s="1"/>
  <c r="K353" i="1"/>
  <c r="K354" i="1"/>
  <c r="K355" i="1"/>
  <c r="K357" i="1"/>
  <c r="K362" i="1"/>
  <c r="N375" i="1"/>
  <c r="K377" i="1"/>
  <c r="K382" i="1"/>
  <c r="AH398" i="1"/>
  <c r="N398" i="1" s="1"/>
  <c r="K401" i="1"/>
  <c r="AH402" i="1"/>
  <c r="AL402" i="1" s="1"/>
  <c r="R402" i="1" s="1"/>
  <c r="AI405" i="1"/>
  <c r="O405" i="1" s="1"/>
  <c r="N407" i="1"/>
  <c r="AH410" i="1"/>
  <c r="AL410" i="1" s="1"/>
  <c r="R410" i="1" s="1"/>
  <c r="AH423" i="1"/>
  <c r="N423" i="1" s="1"/>
  <c r="K226" i="1"/>
  <c r="AI211" i="1"/>
  <c r="O211" i="1" s="1"/>
  <c r="AI269" i="1"/>
  <c r="O269" i="1" s="1"/>
  <c r="AH312" i="1"/>
  <c r="N312" i="1" s="1"/>
  <c r="AI324" i="1"/>
  <c r="O324" i="1" s="1"/>
  <c r="AI351" i="1"/>
  <c r="O351" i="1" s="1"/>
  <c r="AH361" i="1"/>
  <c r="AL361" i="1" s="1"/>
  <c r="AH374" i="1"/>
  <c r="AL374" i="1" s="1"/>
  <c r="AI379" i="1"/>
  <c r="O379" i="1" s="1"/>
  <c r="AH425" i="1"/>
  <c r="N425" i="1" s="1"/>
  <c r="AI218" i="1"/>
  <c r="O218" i="1" s="1"/>
  <c r="K218" i="1"/>
  <c r="AH318" i="1"/>
  <c r="AL318" i="1" s="1"/>
  <c r="AI318" i="1"/>
  <c r="O318" i="1" s="1"/>
  <c r="AI342" i="1"/>
  <c r="O342" i="1" s="1"/>
  <c r="AH342" i="1"/>
  <c r="N342" i="1" s="1"/>
  <c r="K342" i="1"/>
  <c r="AI409" i="1"/>
  <c r="O409" i="1" s="1"/>
  <c r="AH409" i="1"/>
  <c r="AL409" i="1" s="1"/>
  <c r="R409" i="1" s="1"/>
  <c r="K409" i="1"/>
  <c r="K175" i="1"/>
  <c r="K177" i="1"/>
  <c r="AI207" i="1"/>
  <c r="O207" i="1" s="1"/>
  <c r="AH207" i="1"/>
  <c r="AL207" i="1" s="1"/>
  <c r="AM207" i="1" s="1"/>
  <c r="S207" i="1" s="1"/>
  <c r="AI214" i="1"/>
  <c r="O214" i="1" s="1"/>
  <c r="AH214" i="1"/>
  <c r="AL214" i="1" s="1"/>
  <c r="R214" i="1" s="1"/>
  <c r="AI286" i="1"/>
  <c r="O286" i="1" s="1"/>
  <c r="AH286" i="1"/>
  <c r="AL286" i="1" s="1"/>
  <c r="R286" i="1" s="1"/>
  <c r="AI396" i="1"/>
  <c r="O396" i="1" s="1"/>
  <c r="AH396" i="1"/>
  <c r="K396" i="1"/>
  <c r="AI406" i="1"/>
  <c r="O406" i="1" s="1"/>
  <c r="AH406" i="1"/>
  <c r="AL406" i="1" s="1"/>
  <c r="R406" i="1" s="1"/>
  <c r="K406" i="1"/>
  <c r="AI338" i="1"/>
  <c r="O338" i="1" s="1"/>
  <c r="AH338" i="1"/>
  <c r="K167" i="1"/>
  <c r="AH155" i="1"/>
  <c r="AL155" i="1" s="1"/>
  <c r="R155" i="1" s="1"/>
  <c r="AH157" i="1"/>
  <c r="AL157" i="1" s="1"/>
  <c r="R157" i="1" s="1"/>
  <c r="AH167" i="1"/>
  <c r="AL167" i="1" s="1"/>
  <c r="AM167" i="1" s="1"/>
  <c r="S167" i="1" s="1"/>
  <c r="AH173" i="1"/>
  <c r="AL173" i="1" s="1"/>
  <c r="R173" i="1" s="1"/>
  <c r="K191" i="1"/>
  <c r="K195" i="1"/>
  <c r="AH197" i="1"/>
  <c r="AL197" i="1" s="1"/>
  <c r="R197" i="1" s="1"/>
  <c r="K205" i="1"/>
  <c r="AI242" i="1"/>
  <c r="O242" i="1" s="1"/>
  <c r="AH242" i="1"/>
  <c r="N242" i="1" s="1"/>
  <c r="K276" i="1"/>
  <c r="AI276" i="1"/>
  <c r="O276" i="1" s="1"/>
  <c r="AI281" i="1"/>
  <c r="O281" i="1" s="1"/>
  <c r="AH281" i="1"/>
  <c r="AL281" i="1" s="1"/>
  <c r="R281" i="1" s="1"/>
  <c r="K318" i="1"/>
  <c r="K338" i="1"/>
  <c r="AH343" i="1"/>
  <c r="AL343" i="1" s="1"/>
  <c r="R343" i="1" s="1"/>
  <c r="AI343" i="1"/>
  <c r="O343" i="1" s="1"/>
  <c r="K343" i="1"/>
  <c r="AH348" i="1"/>
  <c r="AI348" i="1"/>
  <c r="O348" i="1" s="1"/>
  <c r="K348" i="1"/>
  <c r="AI368" i="1"/>
  <c r="O368" i="1" s="1"/>
  <c r="K368" i="1"/>
  <c r="AH368" i="1"/>
  <c r="AL368" i="1" s="1"/>
  <c r="AM368" i="1" s="1"/>
  <c r="S368" i="1" s="1"/>
  <c r="AI394" i="1"/>
  <c r="O394" i="1" s="1"/>
  <c r="K394" i="1"/>
  <c r="AH394" i="1"/>
  <c r="K411" i="1"/>
  <c r="AI411" i="1"/>
  <c r="O411" i="1" s="1"/>
  <c r="AH411" i="1"/>
  <c r="AL411" i="1" s="1"/>
  <c r="AI418" i="1"/>
  <c r="O418" i="1" s="1"/>
  <c r="K418" i="1"/>
  <c r="AI234" i="1"/>
  <c r="O234" i="1" s="1"/>
  <c r="AH234" i="1"/>
  <c r="K234" i="1"/>
  <c r="AL236" i="1"/>
  <c r="AM236" i="1" s="1"/>
  <c r="S236" i="1" s="1"/>
  <c r="N236" i="1"/>
  <c r="AH327" i="1"/>
  <c r="N327" i="1" s="1"/>
  <c r="AI327" i="1"/>
  <c r="O327" i="1" s="1"/>
  <c r="K327" i="1"/>
  <c r="AH360" i="1"/>
  <c r="AL360" i="1" s="1"/>
  <c r="AI360" i="1"/>
  <c r="O360" i="1" s="1"/>
  <c r="AL378" i="1"/>
  <c r="R378" i="1" s="1"/>
  <c r="N378" i="1"/>
  <c r="AI399" i="1"/>
  <c r="O399" i="1" s="1"/>
  <c r="AH399" i="1"/>
  <c r="K399" i="1"/>
  <c r="K169" i="1"/>
  <c r="K173" i="1"/>
  <c r="AH175" i="1"/>
  <c r="AL175" i="1" s="1"/>
  <c r="R175" i="1" s="1"/>
  <c r="AH177" i="1"/>
  <c r="N177" i="1" s="1"/>
  <c r="AI195" i="1"/>
  <c r="O195" i="1" s="1"/>
  <c r="K196" i="1"/>
  <c r="K202" i="1"/>
  <c r="AH213" i="1"/>
  <c r="AL213" i="1" s="1"/>
  <c r="K213" i="1"/>
  <c r="K214" i="1"/>
  <c r="AH218" i="1"/>
  <c r="AL218" i="1" s="1"/>
  <c r="R218" i="1" s="1"/>
  <c r="AI222" i="1"/>
  <c r="O222" i="1" s="1"/>
  <c r="AH222" i="1"/>
  <c r="AL222" i="1" s="1"/>
  <c r="AM222" i="1" s="1"/>
  <c r="S222" i="1" s="1"/>
  <c r="AI284" i="1"/>
  <c r="O284" i="1" s="1"/>
  <c r="AH284" i="1"/>
  <c r="AL284" i="1" s="1"/>
  <c r="AM284" i="1" s="1"/>
  <c r="S284" i="1" s="1"/>
  <c r="K284" i="1"/>
  <c r="K286" i="1"/>
  <c r="AI339" i="1"/>
  <c r="O339" i="1" s="1"/>
  <c r="AH339" i="1"/>
  <c r="AL339" i="1" s="1"/>
  <c r="R339" i="1" s="1"/>
  <c r="AH350" i="1"/>
  <c r="N350" i="1" s="1"/>
  <c r="AI350" i="1"/>
  <c r="O350" i="1" s="1"/>
  <c r="K350" i="1"/>
  <c r="AI391" i="1"/>
  <c r="O391" i="1" s="1"/>
  <c r="AH391" i="1"/>
  <c r="AI404" i="1"/>
  <c r="O404" i="1" s="1"/>
  <c r="AH404" i="1"/>
  <c r="K404" i="1"/>
  <c r="AI414" i="1"/>
  <c r="O414" i="1" s="1"/>
  <c r="AH414" i="1"/>
  <c r="AL414" i="1" s="1"/>
  <c r="R414" i="1" s="1"/>
  <c r="AI220" i="1"/>
  <c r="O220" i="1" s="1"/>
  <c r="K251" i="1"/>
  <c r="K289" i="1"/>
  <c r="K295" i="1"/>
  <c r="K301" i="1"/>
  <c r="K310" i="1"/>
  <c r="K322" i="1"/>
  <c r="K328" i="1"/>
  <c r="K340" i="1"/>
  <c r="K423" i="1"/>
  <c r="K245" i="1"/>
  <c r="N255" i="1"/>
  <c r="K274" i="1"/>
  <c r="K291" i="1"/>
  <c r="K297" i="1"/>
  <c r="K303" i="1"/>
  <c r="K305" i="1"/>
  <c r="K307" i="1"/>
  <c r="K312" i="1"/>
  <c r="K316" i="1"/>
  <c r="K317" i="1"/>
  <c r="K323" i="1"/>
  <c r="K346" i="1"/>
  <c r="K349" i="1"/>
  <c r="K351" i="1"/>
  <c r="K375" i="1"/>
  <c r="K386" i="1"/>
  <c r="K407" i="1"/>
  <c r="K419" i="1"/>
  <c r="K128" i="1"/>
  <c r="AI128" i="1"/>
  <c r="O128" i="1" s="1"/>
  <c r="K151" i="1"/>
  <c r="K126" i="1"/>
  <c r="K155" i="1"/>
  <c r="AI151" i="1"/>
  <c r="O151" i="1" s="1"/>
  <c r="N122" i="1"/>
  <c r="AI126" i="1"/>
  <c r="O126" i="1" s="1"/>
  <c r="K122" i="1"/>
  <c r="AH153" i="1"/>
  <c r="AL153" i="1" s="1"/>
  <c r="AH129" i="1"/>
  <c r="N129" i="1" s="1"/>
  <c r="K154" i="1"/>
  <c r="AH154" i="1"/>
  <c r="AL154" i="1" s="1"/>
  <c r="R154" i="1" s="1"/>
  <c r="AH160" i="1"/>
  <c r="AL160" i="1" s="1"/>
  <c r="AI160" i="1"/>
  <c r="O160" i="1" s="1"/>
  <c r="K216" i="1"/>
  <c r="AI237" i="1"/>
  <c r="O237" i="1" s="1"/>
  <c r="AH237" i="1"/>
  <c r="N237" i="1" s="1"/>
  <c r="AI243" i="1"/>
  <c r="O243" i="1" s="1"/>
  <c r="K243" i="1"/>
  <c r="AL267" i="1"/>
  <c r="R267" i="1" s="1"/>
  <c r="AI359" i="1"/>
  <c r="O359" i="1" s="1"/>
  <c r="K359" i="1"/>
  <c r="N128" i="1"/>
  <c r="AL128" i="1"/>
  <c r="AH159" i="1"/>
  <c r="AL159" i="1" s="1"/>
  <c r="K159" i="1"/>
  <c r="AI171" i="1"/>
  <c r="O171" i="1" s="1"/>
  <c r="K171" i="1"/>
  <c r="AI261" i="1"/>
  <c r="O261" i="1" s="1"/>
  <c r="AH261" i="1"/>
  <c r="AL261" i="1" s="1"/>
  <c r="AM261" i="1" s="1"/>
  <c r="S261" i="1" s="1"/>
  <c r="K261" i="1"/>
  <c r="AI273" i="1"/>
  <c r="O273" i="1" s="1"/>
  <c r="AH273" i="1"/>
  <c r="N273" i="1" s="1"/>
  <c r="K273" i="1"/>
  <c r="AI287" i="1"/>
  <c r="O287" i="1" s="1"/>
  <c r="AH287" i="1"/>
  <c r="K287" i="1"/>
  <c r="K153" i="1"/>
  <c r="K156" i="1"/>
  <c r="AI156" i="1"/>
  <c r="O156" i="1" s="1"/>
  <c r="AH162" i="1"/>
  <c r="AL162" i="1" s="1"/>
  <c r="AI162" i="1"/>
  <c r="O162" i="1" s="1"/>
  <c r="K172" i="1"/>
  <c r="AI172" i="1"/>
  <c r="O172" i="1" s="1"/>
  <c r="K237" i="1"/>
  <c r="K241" i="1"/>
  <c r="AI241" i="1"/>
  <c r="O241" i="1" s="1"/>
  <c r="AI249" i="1"/>
  <c r="O249" i="1" s="1"/>
  <c r="AH249" i="1"/>
  <c r="AL249" i="1" s="1"/>
  <c r="AM249" i="1" s="1"/>
  <c r="S249" i="1" s="1"/>
  <c r="K249" i="1"/>
  <c r="AI259" i="1"/>
  <c r="O259" i="1" s="1"/>
  <c r="K259" i="1"/>
  <c r="K267" i="1"/>
  <c r="AI282" i="1"/>
  <c r="O282" i="1" s="1"/>
  <c r="AH282" i="1"/>
  <c r="AL282" i="1" s="1"/>
  <c r="R282" i="1" s="1"/>
  <c r="AI283" i="1"/>
  <c r="O283" i="1" s="1"/>
  <c r="AH283" i="1"/>
  <c r="AL283" i="1" s="1"/>
  <c r="R283" i="1" s="1"/>
  <c r="K283" i="1"/>
  <c r="AH315" i="1"/>
  <c r="AL315" i="1" s="1"/>
  <c r="AI315" i="1"/>
  <c r="O315" i="1" s="1"/>
  <c r="AI337" i="1"/>
  <c r="O337" i="1" s="1"/>
  <c r="K337" i="1"/>
  <c r="AH337" i="1"/>
  <c r="AI384" i="1"/>
  <c r="O384" i="1" s="1"/>
  <c r="K384" i="1"/>
  <c r="K160" i="1"/>
  <c r="K179" i="1"/>
  <c r="AI179" i="1"/>
  <c r="O179" i="1" s="1"/>
  <c r="AI185" i="1"/>
  <c r="O185" i="1" s="1"/>
  <c r="AH185" i="1"/>
  <c r="AL185" i="1" s="1"/>
  <c r="AM185" i="1" s="1"/>
  <c r="S185" i="1" s="1"/>
  <c r="K193" i="1"/>
  <c r="K228" i="1"/>
  <c r="AI228" i="1"/>
  <c r="O228" i="1" s="1"/>
  <c r="AI230" i="1"/>
  <c r="O230" i="1" s="1"/>
  <c r="AH230" i="1"/>
  <c r="AL230" i="1" s="1"/>
  <c r="AM230" i="1" s="1"/>
  <c r="S230" i="1" s="1"/>
  <c r="K230" i="1"/>
  <c r="K280" i="1"/>
  <c r="AI280" i="1"/>
  <c r="O280" i="1" s="1"/>
  <c r="AH280" i="1"/>
  <c r="AH299" i="1"/>
  <c r="AL299" i="1" s="1"/>
  <c r="K299" i="1"/>
  <c r="AI299" i="1"/>
  <c r="O299" i="1" s="1"/>
  <c r="AH329" i="1"/>
  <c r="N329" i="1" s="1"/>
  <c r="K329" i="1"/>
  <c r="AI329" i="1"/>
  <c r="O329" i="1" s="1"/>
  <c r="AH121" i="1"/>
  <c r="K121" i="1"/>
  <c r="K189" i="1"/>
  <c r="K257" i="1"/>
  <c r="N156" i="1"/>
  <c r="K162" i="1"/>
  <c r="AH179" i="1"/>
  <c r="AL179" i="1" s="1"/>
  <c r="R179" i="1" s="1"/>
  <c r="AH204" i="1"/>
  <c r="AL204" i="1" s="1"/>
  <c r="R204" i="1" s="1"/>
  <c r="AH216" i="1"/>
  <c r="N216" i="1" s="1"/>
  <c r="N152" i="1"/>
  <c r="K152" i="1"/>
  <c r="AI152" i="1"/>
  <c r="O152" i="1" s="1"/>
  <c r="AI159" i="1"/>
  <c r="O159" i="1" s="1"/>
  <c r="AH161" i="1"/>
  <c r="AL161" i="1" s="1"/>
  <c r="AI161" i="1"/>
  <c r="O161" i="1" s="1"/>
  <c r="AH170" i="1"/>
  <c r="N170" i="1" s="1"/>
  <c r="AH189" i="1"/>
  <c r="AH193" i="1"/>
  <c r="AL193" i="1" s="1"/>
  <c r="R193" i="1" s="1"/>
  <c r="AI204" i="1"/>
  <c r="O204" i="1" s="1"/>
  <c r="K206" i="1"/>
  <c r="K207" i="1"/>
  <c r="AH208" i="1"/>
  <c r="AL208" i="1" s="1"/>
  <c r="AI208" i="1"/>
  <c r="O208" i="1" s="1"/>
  <c r="K208" i="1"/>
  <c r="AH215" i="1"/>
  <c r="AL215" i="1" s="1"/>
  <c r="K215" i="1"/>
  <c r="AH217" i="1"/>
  <c r="AL217" i="1" s="1"/>
  <c r="K217" i="1"/>
  <c r="AH220" i="1"/>
  <c r="AL220" i="1" s="1"/>
  <c r="AM220" i="1" s="1"/>
  <c r="S220" i="1" s="1"/>
  <c r="AI247" i="1"/>
  <c r="O247" i="1" s="1"/>
  <c r="K247" i="1"/>
  <c r="AH247" i="1"/>
  <c r="AH257" i="1"/>
  <c r="AL265" i="1"/>
  <c r="AM265" i="1" s="1"/>
  <c r="S265" i="1" s="1"/>
  <c r="N265" i="1"/>
  <c r="K311" i="1"/>
  <c r="AH311" i="1"/>
  <c r="K314" i="1"/>
  <c r="AH314" i="1"/>
  <c r="AI314" i="1"/>
  <c r="O314" i="1" s="1"/>
  <c r="AI332" i="1"/>
  <c r="O332" i="1" s="1"/>
  <c r="AH332" i="1"/>
  <c r="K332" i="1"/>
  <c r="AI367" i="1"/>
  <c r="O367" i="1" s="1"/>
  <c r="K367" i="1"/>
  <c r="AH367" i="1"/>
  <c r="AL367" i="1" s="1"/>
  <c r="AM367" i="1" s="1"/>
  <c r="S367" i="1" s="1"/>
  <c r="AI412" i="1"/>
  <c r="O412" i="1" s="1"/>
  <c r="K412" i="1"/>
  <c r="AH412" i="1"/>
  <c r="AL412" i="1" s="1"/>
  <c r="AM412" i="1" s="1"/>
  <c r="S412" i="1" s="1"/>
  <c r="AH248" i="1"/>
  <c r="N248" i="1" s="1"/>
  <c r="AI248" i="1"/>
  <c r="O248" i="1" s="1"/>
  <c r="AI253" i="1"/>
  <c r="O253" i="1" s="1"/>
  <c r="K253" i="1"/>
  <c r="AH292" i="1"/>
  <c r="N292" i="1" s="1"/>
  <c r="K292" i="1"/>
  <c r="AH326" i="1"/>
  <c r="N326" i="1" s="1"/>
  <c r="AI326" i="1"/>
  <c r="O326" i="1" s="1"/>
  <c r="AI335" i="1"/>
  <c r="O335" i="1" s="1"/>
  <c r="AH335" i="1"/>
  <c r="AL335" i="1" s="1"/>
  <c r="R335" i="1" s="1"/>
  <c r="K335" i="1"/>
  <c r="AI356" i="1"/>
  <c r="O356" i="1" s="1"/>
  <c r="K356" i="1"/>
  <c r="R122" i="1"/>
  <c r="K129" i="1"/>
  <c r="K139" i="1"/>
  <c r="AH187" i="1"/>
  <c r="K199" i="1"/>
  <c r="AH199" i="1"/>
  <c r="AL199" i="1" s="1"/>
  <c r="AM199" i="1" s="1"/>
  <c r="S199" i="1" s="1"/>
  <c r="K200" i="1"/>
  <c r="AH202" i="1"/>
  <c r="AI213" i="1"/>
  <c r="O213" i="1" s="1"/>
  <c r="AH232" i="1"/>
  <c r="AL232" i="1" s="1"/>
  <c r="AM232" i="1" s="1"/>
  <c r="S232" i="1" s="1"/>
  <c r="AI232" i="1"/>
  <c r="O232" i="1" s="1"/>
  <c r="AH253" i="1"/>
  <c r="AL253" i="1" s="1"/>
  <c r="AM253" i="1" s="1"/>
  <c r="S253" i="1" s="1"/>
  <c r="AH270" i="1"/>
  <c r="AL270" i="1" s="1"/>
  <c r="AM270" i="1" s="1"/>
  <c r="S270" i="1" s="1"/>
  <c r="AI270" i="1"/>
  <c r="O270" i="1" s="1"/>
  <c r="AH276" i="1"/>
  <c r="AI278" i="1"/>
  <c r="O278" i="1" s="1"/>
  <c r="AI308" i="1"/>
  <c r="O308" i="1" s="1"/>
  <c r="AH308" i="1"/>
  <c r="AH325" i="1"/>
  <c r="N325" i="1" s="1"/>
  <c r="K325" i="1"/>
  <c r="AI325" i="1"/>
  <c r="O325" i="1" s="1"/>
  <c r="K326" i="1"/>
  <c r="K330" i="1"/>
  <c r="K369" i="1"/>
  <c r="AI369" i="1"/>
  <c r="O369" i="1" s="1"/>
  <c r="AH369" i="1"/>
  <c r="AL369" i="1" s="1"/>
  <c r="R369" i="1" s="1"/>
  <c r="K370" i="1"/>
  <c r="AI370" i="1"/>
  <c r="O370" i="1" s="1"/>
  <c r="AH370" i="1"/>
  <c r="AL370" i="1" s="1"/>
  <c r="AM370" i="1" s="1"/>
  <c r="S370" i="1" s="1"/>
  <c r="K373" i="1"/>
  <c r="AI373" i="1"/>
  <c r="O373" i="1" s="1"/>
  <c r="AH373" i="1"/>
  <c r="AL403" i="1"/>
  <c r="R403" i="1" s="1"/>
  <c r="N403" i="1"/>
  <c r="AH321" i="1"/>
  <c r="N321" i="1" s="1"/>
  <c r="K321" i="1"/>
  <c r="AI344" i="1"/>
  <c r="O344" i="1" s="1"/>
  <c r="AH344" i="1"/>
  <c r="N344" i="1" s="1"/>
  <c r="AI345" i="1"/>
  <c r="O345" i="1" s="1"/>
  <c r="K345" i="1"/>
  <c r="AH345" i="1"/>
  <c r="AL345" i="1" s="1"/>
  <c r="AM345" i="1" s="1"/>
  <c r="S345" i="1" s="1"/>
  <c r="K371" i="1"/>
  <c r="AI371" i="1"/>
  <c r="O371" i="1" s="1"/>
  <c r="AH371" i="1"/>
  <c r="AL371" i="1" s="1"/>
  <c r="R371" i="1" s="1"/>
  <c r="K376" i="1"/>
  <c r="AI376" i="1"/>
  <c r="O376" i="1" s="1"/>
  <c r="AH376" i="1"/>
  <c r="AI422" i="1"/>
  <c r="O422" i="1" s="1"/>
  <c r="K422" i="1"/>
  <c r="AH422" i="1"/>
  <c r="N422" i="1" s="1"/>
  <c r="AL424" i="1"/>
  <c r="AM424" i="1" s="1"/>
  <c r="S424" i="1" s="1"/>
  <c r="N424" i="1"/>
  <c r="AH290" i="1"/>
  <c r="AL290" i="1" s="1"/>
  <c r="K290" i="1"/>
  <c r="AH294" i="1"/>
  <c r="AL294" i="1" s="1"/>
  <c r="K294" i="1"/>
  <c r="AI309" i="1"/>
  <c r="O309" i="1" s="1"/>
  <c r="K309" i="1"/>
  <c r="AH309" i="1"/>
  <c r="AL309" i="1" s="1"/>
  <c r="AM309" i="1" s="1"/>
  <c r="S309" i="1" s="1"/>
  <c r="K339" i="1"/>
  <c r="AI358" i="1"/>
  <c r="O358" i="1" s="1"/>
  <c r="K358" i="1"/>
  <c r="AI364" i="1"/>
  <c r="O364" i="1" s="1"/>
  <c r="K364" i="1"/>
  <c r="AH364" i="1"/>
  <c r="AL364" i="1" s="1"/>
  <c r="AM364" i="1" s="1"/>
  <c r="S364" i="1" s="1"/>
  <c r="AI365" i="1"/>
  <c r="O365" i="1" s="1"/>
  <c r="K365" i="1"/>
  <c r="AH365" i="1"/>
  <c r="AL365" i="1" s="1"/>
  <c r="AM365" i="1" s="1"/>
  <c r="S365" i="1" s="1"/>
  <c r="K372" i="1"/>
  <c r="AI372" i="1"/>
  <c r="O372" i="1" s="1"/>
  <c r="AH372" i="1"/>
  <c r="AL372" i="1" s="1"/>
  <c r="R372" i="1" s="1"/>
  <c r="AL379" i="1"/>
  <c r="R379" i="1" s="1"/>
  <c r="N379" i="1"/>
  <c r="K298" i="1"/>
  <c r="K302" i="1"/>
  <c r="K334" i="1"/>
  <c r="K347" i="1"/>
  <c r="K395" i="1"/>
  <c r="AI395" i="1"/>
  <c r="O395" i="1" s="1"/>
  <c r="AH395" i="1"/>
  <c r="K397" i="1"/>
  <c r="AH397" i="1"/>
  <c r="AL397" i="1" s="1"/>
  <c r="R397" i="1" s="1"/>
  <c r="K415" i="1"/>
  <c r="AI415" i="1"/>
  <c r="O415" i="1" s="1"/>
  <c r="AH415" i="1"/>
  <c r="AI416" i="1"/>
  <c r="O416" i="1" s="1"/>
  <c r="AH416" i="1"/>
  <c r="AL416" i="1" s="1"/>
  <c r="AM416" i="1" s="1"/>
  <c r="S416" i="1" s="1"/>
  <c r="AH380" i="1"/>
  <c r="N380" i="1" s="1"/>
  <c r="AI380" i="1"/>
  <c r="O380" i="1" s="1"/>
  <c r="K390" i="1"/>
  <c r="AH390" i="1"/>
  <c r="K392" i="1"/>
  <c r="AI392" i="1"/>
  <c r="O392" i="1" s="1"/>
  <c r="AH392" i="1"/>
  <c r="N392" i="1" s="1"/>
  <c r="AI393" i="1"/>
  <c r="O393" i="1" s="1"/>
  <c r="AH393" i="1"/>
  <c r="K400" i="1"/>
  <c r="AI400" i="1"/>
  <c r="O400" i="1" s="1"/>
  <c r="K403" i="1"/>
  <c r="AI403" i="1"/>
  <c r="O403" i="1" s="1"/>
  <c r="AI421" i="1"/>
  <c r="O421" i="1" s="1"/>
  <c r="K421" i="1"/>
  <c r="AI424" i="1"/>
  <c r="O424" i="1" s="1"/>
  <c r="K424" i="1"/>
  <c r="K426" i="1"/>
  <c r="AI426" i="1"/>
  <c r="O426" i="1" s="1"/>
  <c r="AI383" i="1"/>
  <c r="O383" i="1" s="1"/>
  <c r="K383" i="1"/>
  <c r="K385" i="1"/>
  <c r="K408" i="1"/>
  <c r="AI408" i="1"/>
  <c r="O408" i="1" s="1"/>
  <c r="N400" i="1"/>
  <c r="N408" i="1"/>
  <c r="N426" i="1"/>
  <c r="AM407" i="1"/>
  <c r="S407" i="1" s="1"/>
  <c r="R408" i="1"/>
  <c r="AM408" i="1"/>
  <c r="S408" i="1" s="1"/>
  <c r="AM400" i="1"/>
  <c r="S400" i="1" s="1"/>
  <c r="AM426" i="1"/>
  <c r="S426" i="1" s="1"/>
  <c r="R426" i="1"/>
  <c r="K417" i="1"/>
  <c r="AH418" i="1"/>
  <c r="AH419" i="1"/>
  <c r="AH420" i="1"/>
  <c r="AH421" i="1"/>
  <c r="AH417" i="1"/>
  <c r="AM363" i="1"/>
  <c r="S363" i="1" s="1"/>
  <c r="R363" i="1"/>
  <c r="AH353" i="1"/>
  <c r="AH354" i="1"/>
  <c r="AH355" i="1"/>
  <c r="AH356" i="1"/>
  <c r="AH357" i="1"/>
  <c r="AH358" i="1"/>
  <c r="AH359" i="1"/>
  <c r="N363" i="1"/>
  <c r="R375" i="1"/>
  <c r="AM375" i="1"/>
  <c r="S375" i="1" s="1"/>
  <c r="K381" i="1"/>
  <c r="AH385" i="1"/>
  <c r="AH386" i="1"/>
  <c r="AH387" i="1"/>
  <c r="AH388" i="1"/>
  <c r="K380" i="1"/>
  <c r="AH381" i="1"/>
  <c r="AH382" i="1"/>
  <c r="AH383" i="1"/>
  <c r="AH384" i="1"/>
  <c r="AL317" i="1"/>
  <c r="N317" i="1"/>
  <c r="AL322" i="1"/>
  <c r="N322" i="1"/>
  <c r="AL330" i="1"/>
  <c r="N330" i="1"/>
  <c r="AL319" i="1"/>
  <c r="N319" i="1"/>
  <c r="AL323" i="1"/>
  <c r="N323" i="1"/>
  <c r="AL316" i="1"/>
  <c r="N316" i="1"/>
  <c r="AL320" i="1"/>
  <c r="N320" i="1"/>
  <c r="AL324" i="1"/>
  <c r="N324" i="1"/>
  <c r="AL328" i="1"/>
  <c r="N328" i="1"/>
  <c r="AI316" i="1"/>
  <c r="O316" i="1" s="1"/>
  <c r="AL351" i="1"/>
  <c r="N351" i="1"/>
  <c r="AL352" i="1"/>
  <c r="N352" i="1"/>
  <c r="AL349" i="1"/>
  <c r="N349" i="1"/>
  <c r="K344" i="1"/>
  <c r="AI352" i="1"/>
  <c r="O352" i="1" s="1"/>
  <c r="K352" i="1"/>
  <c r="AM313" i="1"/>
  <c r="S313" i="1" s="1"/>
  <c r="R313" i="1"/>
  <c r="N288" i="1"/>
  <c r="R288" i="1"/>
  <c r="AI288" i="1"/>
  <c r="O288" i="1" s="1"/>
  <c r="AL289" i="1"/>
  <c r="N289" i="1"/>
  <c r="AI290" i="1"/>
  <c r="O290" i="1" s="1"/>
  <c r="AL295" i="1"/>
  <c r="N295" i="1"/>
  <c r="K296" i="1"/>
  <c r="AI296" i="1"/>
  <c r="O296" i="1" s="1"/>
  <c r="AL297" i="1"/>
  <c r="N297" i="1"/>
  <c r="AI298" i="1"/>
  <c r="O298" i="1" s="1"/>
  <c r="AL300" i="1"/>
  <c r="N300" i="1"/>
  <c r="AL302" i="1"/>
  <c r="N302" i="1"/>
  <c r="AL303" i="1"/>
  <c r="N303" i="1"/>
  <c r="K304" i="1"/>
  <c r="AI304" i="1"/>
  <c r="O304" i="1" s="1"/>
  <c r="AL305" i="1"/>
  <c r="N305" i="1"/>
  <c r="N313" i="1"/>
  <c r="AL291" i="1"/>
  <c r="N291" i="1"/>
  <c r="AI292" i="1"/>
  <c r="O292" i="1" s="1"/>
  <c r="AL293" i="1"/>
  <c r="N293" i="1"/>
  <c r="AI294" i="1"/>
  <c r="O294" i="1" s="1"/>
  <c r="AL296" i="1"/>
  <c r="N296" i="1"/>
  <c r="AL298" i="1"/>
  <c r="N298" i="1"/>
  <c r="K300" i="1"/>
  <c r="AI300" i="1"/>
  <c r="O300" i="1" s="1"/>
  <c r="AL301" i="1"/>
  <c r="N301" i="1"/>
  <c r="AI302" i="1"/>
  <c r="O302" i="1" s="1"/>
  <c r="AL304" i="1"/>
  <c r="N304" i="1"/>
  <c r="K288" i="1"/>
  <c r="AI306" i="1"/>
  <c r="O306" i="1" s="1"/>
  <c r="AH306" i="1"/>
  <c r="K315" i="1"/>
  <c r="N269" i="1"/>
  <c r="AM255" i="1"/>
  <c r="S255" i="1" s="1"/>
  <c r="R255" i="1"/>
  <c r="AI254" i="1"/>
  <c r="O254" i="1" s="1"/>
  <c r="AH254" i="1"/>
  <c r="AI252" i="1"/>
  <c r="O252" i="1" s="1"/>
  <c r="AH252" i="1"/>
  <c r="AL259" i="1"/>
  <c r="AI260" i="1"/>
  <c r="O260" i="1" s="1"/>
  <c r="AH260" i="1"/>
  <c r="AI266" i="1"/>
  <c r="O266" i="1" s="1"/>
  <c r="AH266" i="1"/>
  <c r="AI268" i="1"/>
  <c r="O268" i="1" s="1"/>
  <c r="AH268" i="1"/>
  <c r="AI275" i="1"/>
  <c r="O275" i="1" s="1"/>
  <c r="AH275" i="1"/>
  <c r="AI277" i="1"/>
  <c r="O277" i="1" s="1"/>
  <c r="AH277" i="1"/>
  <c r="R246" i="1"/>
  <c r="AI262" i="1"/>
  <c r="O262" i="1" s="1"/>
  <c r="AH262" i="1"/>
  <c r="AH243" i="1"/>
  <c r="AH245" i="1"/>
  <c r="K246" i="1"/>
  <c r="AI250" i="1"/>
  <c r="O250" i="1" s="1"/>
  <c r="AH250" i="1"/>
  <c r="AI258" i="1"/>
  <c r="O258" i="1" s="1"/>
  <c r="AH258" i="1"/>
  <c r="R269" i="1"/>
  <c r="N246" i="1"/>
  <c r="AI246" i="1"/>
  <c r="O246" i="1" s="1"/>
  <c r="K254" i="1"/>
  <c r="K262" i="1"/>
  <c r="AI256" i="1"/>
  <c r="O256" i="1" s="1"/>
  <c r="AH256" i="1"/>
  <c r="AI264" i="1"/>
  <c r="O264" i="1" s="1"/>
  <c r="AH264" i="1"/>
  <c r="AI272" i="1"/>
  <c r="O272" i="1" s="1"/>
  <c r="AH272" i="1"/>
  <c r="N278" i="1"/>
  <c r="K269" i="1"/>
  <c r="K270" i="1"/>
  <c r="K278" i="1"/>
  <c r="R233" i="1"/>
  <c r="AM209" i="1"/>
  <c r="S209" i="1" s="1"/>
  <c r="N241" i="1"/>
  <c r="AM228" i="1"/>
  <c r="S228" i="1" s="1"/>
  <c r="R228" i="1"/>
  <c r="AM210" i="1"/>
  <c r="S210" i="1" s="1"/>
  <c r="R210" i="1"/>
  <c r="AM224" i="1"/>
  <c r="S224" i="1" s="1"/>
  <c r="AL206" i="1"/>
  <c r="N206" i="1"/>
  <c r="AM239" i="1"/>
  <c r="S239" i="1" s="1"/>
  <c r="R239" i="1"/>
  <c r="N209" i="1"/>
  <c r="AI209" i="1"/>
  <c r="O209" i="1" s="1"/>
  <c r="AI235" i="1"/>
  <c r="O235" i="1" s="1"/>
  <c r="AH235" i="1"/>
  <c r="AM241" i="1"/>
  <c r="S241" i="1" s="1"/>
  <c r="N228" i="1"/>
  <c r="N239" i="1"/>
  <c r="N210" i="1"/>
  <c r="AI217" i="1"/>
  <c r="O217" i="1" s="1"/>
  <c r="K235" i="1"/>
  <c r="K209" i="1"/>
  <c r="AI221" i="1"/>
  <c r="O221" i="1" s="1"/>
  <c r="AH221" i="1"/>
  <c r="AI223" i="1"/>
  <c r="O223" i="1" s="1"/>
  <c r="AH223" i="1"/>
  <c r="AI225" i="1"/>
  <c r="O225" i="1" s="1"/>
  <c r="AH225" i="1"/>
  <c r="AI227" i="1"/>
  <c r="O227" i="1" s="1"/>
  <c r="AH227" i="1"/>
  <c r="AI229" i="1"/>
  <c r="O229" i="1" s="1"/>
  <c r="AH229" i="1"/>
  <c r="AI231" i="1"/>
  <c r="O231" i="1" s="1"/>
  <c r="AH231" i="1"/>
  <c r="AI238" i="1"/>
  <c r="O238" i="1" s="1"/>
  <c r="AH238" i="1"/>
  <c r="AI240" i="1"/>
  <c r="O240" i="1" s="1"/>
  <c r="AH240" i="1"/>
  <c r="AL211" i="1"/>
  <c r="N211" i="1"/>
  <c r="AI219" i="1"/>
  <c r="O219" i="1" s="1"/>
  <c r="AH219" i="1"/>
  <c r="K232" i="1"/>
  <c r="K233" i="1"/>
  <c r="N195" i="1"/>
  <c r="AM172" i="1"/>
  <c r="S172" i="1" s="1"/>
  <c r="R172" i="1"/>
  <c r="N172" i="1"/>
  <c r="AI184" i="1"/>
  <c r="O184" i="1" s="1"/>
  <c r="AH184" i="1"/>
  <c r="AI192" i="1"/>
  <c r="O192" i="1" s="1"/>
  <c r="AH192" i="1"/>
  <c r="AI182" i="1"/>
  <c r="O182" i="1" s="1"/>
  <c r="AH182" i="1"/>
  <c r="AI186" i="1"/>
  <c r="O186" i="1" s="1"/>
  <c r="AH186" i="1"/>
  <c r="AI194" i="1"/>
  <c r="O194" i="1" s="1"/>
  <c r="AH194" i="1"/>
  <c r="N196" i="1"/>
  <c r="AI201" i="1"/>
  <c r="O201" i="1" s="1"/>
  <c r="AH201" i="1"/>
  <c r="AI174" i="1"/>
  <c r="O174" i="1" s="1"/>
  <c r="AH174" i="1"/>
  <c r="AI198" i="1"/>
  <c r="O198" i="1" s="1"/>
  <c r="AH198" i="1"/>
  <c r="AH169" i="1"/>
  <c r="AH171" i="1"/>
  <c r="AI176" i="1"/>
  <c r="O176" i="1" s="1"/>
  <c r="AH176" i="1"/>
  <c r="AI180" i="1"/>
  <c r="O180" i="1" s="1"/>
  <c r="AH180" i="1"/>
  <c r="AI188" i="1"/>
  <c r="O188" i="1" s="1"/>
  <c r="AH188" i="1"/>
  <c r="R195" i="1"/>
  <c r="AI203" i="1"/>
  <c r="O203" i="1" s="1"/>
  <c r="AH203" i="1"/>
  <c r="K174" i="1"/>
  <c r="K184" i="1"/>
  <c r="AI178" i="1"/>
  <c r="O178" i="1" s="1"/>
  <c r="AH178" i="1"/>
  <c r="AI190" i="1"/>
  <c r="O190" i="1" s="1"/>
  <c r="AH190" i="1"/>
  <c r="R196" i="1"/>
  <c r="N151" i="1"/>
  <c r="AI134" i="1"/>
  <c r="O134" i="1" s="1"/>
  <c r="AH134" i="1"/>
  <c r="K134" i="1"/>
  <c r="AI136" i="1"/>
  <c r="O136" i="1" s="1"/>
  <c r="AH136" i="1"/>
  <c r="AI131" i="1"/>
  <c r="O131" i="1" s="1"/>
  <c r="AH131" i="1"/>
  <c r="AI137" i="1"/>
  <c r="O137" i="1" s="1"/>
  <c r="AH137" i="1"/>
  <c r="K136" i="1"/>
  <c r="AI133" i="1"/>
  <c r="O133" i="1" s="1"/>
  <c r="AH133" i="1"/>
  <c r="AI135" i="1"/>
  <c r="O135" i="1" s="1"/>
  <c r="AH135" i="1"/>
  <c r="AI132" i="1"/>
  <c r="O132" i="1" s="1"/>
  <c r="AH132" i="1"/>
  <c r="AI138" i="1"/>
  <c r="O138" i="1" s="1"/>
  <c r="AH138" i="1"/>
  <c r="K163" i="1"/>
  <c r="AI163" i="1"/>
  <c r="O163" i="1" s="1"/>
  <c r="AH163" i="1"/>
  <c r="AI166" i="1"/>
  <c r="O166" i="1" s="1"/>
  <c r="AH166" i="1"/>
  <c r="R152" i="1"/>
  <c r="AM152" i="1"/>
  <c r="S152" i="1" s="1"/>
  <c r="R156" i="1"/>
  <c r="AM156" i="1"/>
  <c r="S156" i="1" s="1"/>
  <c r="AI165" i="1"/>
  <c r="O165" i="1" s="1"/>
  <c r="AH165" i="1"/>
  <c r="AH140" i="1"/>
  <c r="AI140" i="1"/>
  <c r="O140" i="1" s="1"/>
  <c r="AH141" i="1"/>
  <c r="AI141" i="1"/>
  <c r="O141" i="1" s="1"/>
  <c r="AH142" i="1"/>
  <c r="AI142" i="1"/>
  <c r="O142" i="1" s="1"/>
  <c r="AH143" i="1"/>
  <c r="AI143" i="1"/>
  <c r="O143" i="1" s="1"/>
  <c r="AH144" i="1"/>
  <c r="AI144" i="1"/>
  <c r="O144" i="1" s="1"/>
  <c r="AH145" i="1"/>
  <c r="AI145" i="1"/>
  <c r="O145" i="1" s="1"/>
  <c r="AH146" i="1"/>
  <c r="AI146" i="1"/>
  <c r="O146" i="1" s="1"/>
  <c r="AH147" i="1"/>
  <c r="AI147" i="1"/>
  <c r="O147" i="1" s="1"/>
  <c r="AH148" i="1"/>
  <c r="AI148" i="1"/>
  <c r="O148" i="1" s="1"/>
  <c r="AH149" i="1"/>
  <c r="AI149" i="1"/>
  <c r="O149" i="1" s="1"/>
  <c r="AH150" i="1"/>
  <c r="AI150" i="1"/>
  <c r="O150" i="1" s="1"/>
  <c r="R151" i="1"/>
  <c r="AM151" i="1"/>
  <c r="S151" i="1" s="1"/>
  <c r="AI164" i="1"/>
  <c r="O164" i="1" s="1"/>
  <c r="AH164" i="1"/>
  <c r="K158" i="1"/>
  <c r="K130" i="1"/>
  <c r="AI130" i="1"/>
  <c r="O130" i="1" s="1"/>
  <c r="AL126" i="1"/>
  <c r="N126" i="1"/>
  <c r="AL130" i="1"/>
  <c r="N130" i="1"/>
  <c r="N127" i="1"/>
  <c r="AL127" i="1"/>
  <c r="K127" i="1"/>
  <c r="AI127" i="1"/>
  <c r="O127" i="1" s="1"/>
  <c r="AI122" i="1"/>
  <c r="O122" i="1" s="1"/>
  <c r="AI121" i="1"/>
  <c r="O121" i="1" s="1"/>
  <c r="AM214" i="1" l="1"/>
  <c r="S214" i="1" s="1"/>
  <c r="R222" i="1"/>
  <c r="AL425" i="1"/>
  <c r="R425" i="1" s="1"/>
  <c r="AL398" i="1"/>
  <c r="R398" i="1" s="1"/>
  <c r="AM343" i="1"/>
  <c r="S343" i="1" s="1"/>
  <c r="AM837" i="1"/>
  <c r="S837" i="1" s="1"/>
  <c r="N343" i="1"/>
  <c r="AM829" i="1"/>
  <c r="S829" i="1" s="1"/>
  <c r="R809" i="1"/>
  <c r="AL334" i="1"/>
  <c r="AM334" i="1" s="1"/>
  <c r="S334" i="1" s="1"/>
  <c r="AM401" i="1"/>
  <c r="S401" i="1" s="1"/>
  <c r="AM285" i="1"/>
  <c r="S285" i="1" s="1"/>
  <c r="AM226" i="1"/>
  <c r="S226" i="1" s="1"/>
  <c r="AM244" i="1"/>
  <c r="S244" i="1" s="1"/>
  <c r="N401" i="1"/>
  <c r="N183" i="1"/>
  <c r="N244" i="1"/>
  <c r="R263" i="1"/>
  <c r="N285" i="1"/>
  <c r="R341" i="1"/>
  <c r="R183" i="1"/>
  <c r="N226" i="1"/>
  <c r="N331" i="1"/>
  <c r="N405" i="1"/>
  <c r="AL333" i="1"/>
  <c r="N336" i="1"/>
  <c r="AM405" i="1"/>
  <c r="S405" i="1" s="1"/>
  <c r="N279" i="1"/>
  <c r="N157" i="1"/>
  <c r="N341" i="1"/>
  <c r="N220" i="1"/>
  <c r="R366" i="1"/>
  <c r="N310" i="1"/>
  <c r="N263" i="1"/>
  <c r="R845" i="1"/>
  <c r="AM833" i="1"/>
  <c r="S833" i="1" s="1"/>
  <c r="N369" i="1"/>
  <c r="N168" i="1"/>
  <c r="R284" i="1"/>
  <c r="AM339" i="1"/>
  <c r="S339" i="1" s="1"/>
  <c r="AM168" i="1"/>
  <c r="S168" i="1" s="1"/>
  <c r="AM377" i="1"/>
  <c r="S377" i="1" s="1"/>
  <c r="AM800" i="1"/>
  <c r="S800" i="1" s="1"/>
  <c r="R821" i="1"/>
  <c r="N215" i="1"/>
  <c r="AM267" i="1"/>
  <c r="S267" i="1" s="1"/>
  <c r="AM831" i="1"/>
  <c r="S831" i="1" s="1"/>
  <c r="N283" i="1"/>
  <c r="AL326" i="1"/>
  <c r="AM326" i="1" s="1"/>
  <c r="S326" i="1" s="1"/>
  <c r="N281" i="1"/>
  <c r="AL350" i="1"/>
  <c r="R350" i="1" s="1"/>
  <c r="R817" i="1"/>
  <c r="AM413" i="1"/>
  <c r="S413" i="1" s="1"/>
  <c r="N372" i="1"/>
  <c r="N366" i="1"/>
  <c r="AM157" i="1"/>
  <c r="S157" i="1" s="1"/>
  <c r="AL242" i="1"/>
  <c r="AM242" i="1" s="1"/>
  <c r="S242" i="1" s="1"/>
  <c r="R261" i="1"/>
  <c r="AM283" i="1"/>
  <c r="S283" i="1" s="1"/>
  <c r="N360" i="1"/>
  <c r="AL392" i="1"/>
  <c r="R392" i="1" s="1"/>
  <c r="N261" i="1"/>
  <c r="N253" i="1"/>
  <c r="AM335" i="1"/>
  <c r="S335" i="1" s="1"/>
  <c r="N309" i="1"/>
  <c r="AM372" i="1"/>
  <c r="S372" i="1" s="1"/>
  <c r="R212" i="1"/>
  <c r="AM398" i="1"/>
  <c r="S398" i="1" s="1"/>
  <c r="R847" i="1"/>
  <c r="AM847" i="1"/>
  <c r="S847" i="1" s="1"/>
  <c r="AM843" i="1"/>
  <c r="S843" i="1" s="1"/>
  <c r="R843" i="1"/>
  <c r="R232" i="1"/>
  <c r="AL274" i="1"/>
  <c r="AM274" i="1" s="1"/>
  <c r="S274" i="1" s="1"/>
  <c r="AL271" i="1"/>
  <c r="AM271" i="1" s="1"/>
  <c r="S271" i="1" s="1"/>
  <c r="AL329" i="1"/>
  <c r="AM329" i="1" s="1"/>
  <c r="S329" i="1" s="1"/>
  <c r="N362" i="1"/>
  <c r="R362" i="1"/>
  <c r="N340" i="1"/>
  <c r="AM836" i="1"/>
  <c r="S836" i="1" s="1"/>
  <c r="R836" i="1"/>
  <c r="AM813" i="1"/>
  <c r="S813" i="1" s="1"/>
  <c r="R813" i="1"/>
  <c r="N161" i="1"/>
  <c r="AM193" i="1"/>
  <c r="S193" i="1" s="1"/>
  <c r="N173" i="1"/>
  <c r="R340" i="1"/>
  <c r="N318" i="1"/>
  <c r="N212" i="1"/>
  <c r="AM822" i="1"/>
  <c r="S822" i="1" s="1"/>
  <c r="R822" i="1"/>
  <c r="AM838" i="1"/>
  <c r="S838" i="1" s="1"/>
  <c r="R838" i="1"/>
  <c r="AM173" i="1"/>
  <c r="S173" i="1" s="1"/>
  <c r="N413" i="1"/>
  <c r="R859" i="1"/>
  <c r="AM859" i="1"/>
  <c r="S859" i="1" s="1"/>
  <c r="R839" i="1"/>
  <c r="AM839" i="1"/>
  <c r="S839" i="1" s="1"/>
  <c r="AM803" i="1"/>
  <c r="S803" i="1" s="1"/>
  <c r="R803" i="1"/>
  <c r="AM848" i="1"/>
  <c r="S848" i="1" s="1"/>
  <c r="R848" i="1"/>
  <c r="AM840" i="1"/>
  <c r="S840" i="1" s="1"/>
  <c r="R840" i="1"/>
  <c r="AM844" i="1"/>
  <c r="S844" i="1" s="1"/>
  <c r="R844" i="1"/>
  <c r="AM824" i="1"/>
  <c r="S824" i="1" s="1"/>
  <c r="R824" i="1"/>
  <c r="AM856" i="1"/>
  <c r="S856" i="1" s="1"/>
  <c r="R856" i="1"/>
  <c r="AM852" i="1"/>
  <c r="S852" i="1" s="1"/>
  <c r="R852" i="1"/>
  <c r="N218" i="1"/>
  <c r="AL251" i="1"/>
  <c r="AM251" i="1" s="1"/>
  <c r="S251" i="1" s="1"/>
  <c r="AM286" i="1"/>
  <c r="S286" i="1" s="1"/>
  <c r="AL327" i="1"/>
  <c r="AM327" i="1" s="1"/>
  <c r="S327" i="1" s="1"/>
  <c r="R331" i="1"/>
  <c r="N199" i="1"/>
  <c r="AM197" i="1"/>
  <c r="S197" i="1" s="1"/>
  <c r="N175" i="1"/>
  <c r="R207" i="1"/>
  <c r="R220" i="1"/>
  <c r="AL423" i="1"/>
  <c r="AM423" i="1" s="1"/>
  <c r="S423" i="1" s="1"/>
  <c r="N224" i="1"/>
  <c r="N389" i="1"/>
  <c r="N397" i="1"/>
  <c r="N414" i="1"/>
  <c r="R181" i="1"/>
  <c r="N368" i="1"/>
  <c r="R347" i="1"/>
  <c r="R389" i="1"/>
  <c r="AM378" i="1"/>
  <c r="S378" i="1" s="1"/>
  <c r="AM371" i="1"/>
  <c r="S371" i="1" s="1"/>
  <c r="AM369" i="1"/>
  <c r="S369" i="1" s="1"/>
  <c r="R368" i="1"/>
  <c r="AM397" i="1"/>
  <c r="S397" i="1" s="1"/>
  <c r="AM414" i="1"/>
  <c r="S414" i="1" s="1"/>
  <c r="N402" i="1"/>
  <c r="AL342" i="1"/>
  <c r="AM342" i="1" s="1"/>
  <c r="S342" i="1" s="1"/>
  <c r="N361" i="1"/>
  <c r="AL312" i="1"/>
  <c r="AM312" i="1" s="1"/>
  <c r="S312" i="1" s="1"/>
  <c r="N286" i="1"/>
  <c r="R230" i="1"/>
  <c r="N208" i="1"/>
  <c r="R236" i="1"/>
  <c r="AL248" i="1"/>
  <c r="R248" i="1" s="1"/>
  <c r="AL307" i="1"/>
  <c r="AM307" i="1" s="1"/>
  <c r="S307" i="1" s="1"/>
  <c r="N193" i="1"/>
  <c r="N181" i="1"/>
  <c r="AL237" i="1"/>
  <c r="AM237" i="1" s="1"/>
  <c r="S237" i="1" s="1"/>
  <c r="N230" i="1"/>
  <c r="N222" i="1"/>
  <c r="N207" i="1"/>
  <c r="N282" i="1"/>
  <c r="R279" i="1"/>
  <c r="N347" i="1"/>
  <c r="N365" i="1"/>
  <c r="R365" i="1"/>
  <c r="AM402" i="1"/>
  <c r="S402" i="1" s="1"/>
  <c r="AM409" i="1"/>
  <c r="S409" i="1" s="1"/>
  <c r="N410" i="1"/>
  <c r="N374" i="1"/>
  <c r="N434" i="1"/>
  <c r="AL434" i="1"/>
  <c r="N430" i="1"/>
  <c r="AL430" i="1"/>
  <c r="R427" i="1"/>
  <c r="AM427" i="1"/>
  <c r="S427" i="1" s="1"/>
  <c r="R432" i="1"/>
  <c r="AM432" i="1"/>
  <c r="S432" i="1" s="1"/>
  <c r="N433" i="1"/>
  <c r="AL433" i="1"/>
  <c r="R431" i="1"/>
  <c r="AM431" i="1"/>
  <c r="S431" i="1" s="1"/>
  <c r="R428" i="1"/>
  <c r="AM428" i="1"/>
  <c r="S428" i="1" s="1"/>
  <c r="N429" i="1"/>
  <c r="AL429" i="1"/>
  <c r="AL139" i="1"/>
  <c r="AM139" i="1" s="1"/>
  <c r="S139" i="1" s="1"/>
  <c r="AM411" i="1"/>
  <c r="S411" i="1" s="1"/>
  <c r="R411" i="1"/>
  <c r="R374" i="1"/>
  <c r="AM374" i="1"/>
  <c r="S374" i="1" s="1"/>
  <c r="N167" i="1"/>
  <c r="N191" i="1"/>
  <c r="AM175" i="1"/>
  <c r="S175" i="1" s="1"/>
  <c r="R191" i="1"/>
  <c r="AM218" i="1"/>
  <c r="S218" i="1" s="1"/>
  <c r="R310" i="1"/>
  <c r="R336" i="1"/>
  <c r="N370" i="1"/>
  <c r="R424" i="1"/>
  <c r="N411" i="1"/>
  <c r="N346" i="1"/>
  <c r="R167" i="1"/>
  <c r="N217" i="1"/>
  <c r="AL205" i="1"/>
  <c r="R205" i="1" s="1"/>
  <c r="R249" i="1"/>
  <c r="N294" i="1"/>
  <c r="R309" i="1"/>
  <c r="N339" i="1"/>
  <c r="R370" i="1"/>
  <c r="AM410" i="1"/>
  <c r="S410" i="1" s="1"/>
  <c r="N406" i="1"/>
  <c r="N197" i="1"/>
  <c r="N284" i="1"/>
  <c r="N335" i="1"/>
  <c r="AM403" i="1"/>
  <c r="S403" i="1" s="1"/>
  <c r="N409" i="1"/>
  <c r="N377" i="1"/>
  <c r="N153" i="1"/>
  <c r="AM155" i="1"/>
  <c r="S155" i="1" s="1"/>
  <c r="N155" i="1"/>
  <c r="AM361" i="1"/>
  <c r="S361" i="1" s="1"/>
  <c r="R361" i="1"/>
  <c r="AL158" i="1"/>
  <c r="R416" i="1"/>
  <c r="AL200" i="1"/>
  <c r="N200" i="1"/>
  <c r="AL348" i="1"/>
  <c r="N348" i="1"/>
  <c r="N338" i="1"/>
  <c r="AL338" i="1"/>
  <c r="N416" i="1"/>
  <c r="AL344" i="1"/>
  <c r="AL399" i="1"/>
  <c r="N399" i="1"/>
  <c r="AL234" i="1"/>
  <c r="N234" i="1"/>
  <c r="AL394" i="1"/>
  <c r="N394" i="1"/>
  <c r="N213" i="1"/>
  <c r="N232" i="1"/>
  <c r="N162" i="1"/>
  <c r="N159" i="1"/>
  <c r="N179" i="1"/>
  <c r="AM179" i="1"/>
  <c r="S179" i="1" s="1"/>
  <c r="AL273" i="1"/>
  <c r="AM273" i="1" s="1"/>
  <c r="S273" i="1" s="1"/>
  <c r="N249" i="1"/>
  <c r="N299" i="1"/>
  <c r="N290" i="1"/>
  <c r="N214" i="1"/>
  <c r="AL404" i="1"/>
  <c r="N404" i="1"/>
  <c r="AL396" i="1"/>
  <c r="N396" i="1"/>
  <c r="AL391" i="1"/>
  <c r="N391" i="1"/>
  <c r="AL177" i="1"/>
  <c r="AM177" i="1" s="1"/>
  <c r="S177" i="1" s="1"/>
  <c r="AL292" i="1"/>
  <c r="R292" i="1" s="1"/>
  <c r="AL321" i="1"/>
  <c r="AM321" i="1" s="1"/>
  <c r="S321" i="1" s="1"/>
  <c r="R412" i="1"/>
  <c r="R153" i="1"/>
  <c r="AM153" i="1"/>
  <c r="S153" i="1" s="1"/>
  <c r="AL129" i="1"/>
  <c r="AM129" i="1" s="1"/>
  <c r="S129" i="1" s="1"/>
  <c r="AM154" i="1"/>
  <c r="S154" i="1" s="1"/>
  <c r="N154" i="1"/>
  <c r="AL393" i="1"/>
  <c r="N393" i="1"/>
  <c r="AL415" i="1"/>
  <c r="N415" i="1"/>
  <c r="AL314" i="1"/>
  <c r="N314" i="1"/>
  <c r="AL121" i="1"/>
  <c r="N121" i="1"/>
  <c r="AM315" i="1"/>
  <c r="S315" i="1" s="1"/>
  <c r="R315" i="1"/>
  <c r="AL287" i="1"/>
  <c r="N287" i="1"/>
  <c r="AM282" i="1"/>
  <c r="S282" i="1" s="1"/>
  <c r="R367" i="1"/>
  <c r="R364" i="1"/>
  <c r="AL390" i="1"/>
  <c r="N390" i="1"/>
  <c r="AL395" i="1"/>
  <c r="N395" i="1"/>
  <c r="AL332" i="1"/>
  <c r="N332" i="1"/>
  <c r="AM128" i="1"/>
  <c r="S128" i="1" s="1"/>
  <c r="R128" i="1"/>
  <c r="AL170" i="1"/>
  <c r="AM170" i="1" s="1"/>
  <c r="S170" i="1" s="1"/>
  <c r="AL216" i="1"/>
  <c r="R216" i="1" s="1"/>
  <c r="R265" i="1"/>
  <c r="R253" i="1"/>
  <c r="AM281" i="1"/>
  <c r="S281" i="1" s="1"/>
  <c r="R346" i="1"/>
  <c r="R345" i="1"/>
  <c r="AL325" i="1"/>
  <c r="R325" i="1" s="1"/>
  <c r="AL380" i="1"/>
  <c r="R380" i="1" s="1"/>
  <c r="AM379" i="1"/>
  <c r="S379" i="1" s="1"/>
  <c r="N364" i="1"/>
  <c r="AL422" i="1"/>
  <c r="AM422" i="1" s="1"/>
  <c r="S422" i="1" s="1"/>
  <c r="AL376" i="1"/>
  <c r="N376" i="1"/>
  <c r="AL276" i="1"/>
  <c r="N276" i="1"/>
  <c r="AL202" i="1"/>
  <c r="N202" i="1"/>
  <c r="AL187" i="1"/>
  <c r="N187" i="1"/>
  <c r="AL311" i="1"/>
  <c r="N311" i="1"/>
  <c r="AL257" i="1"/>
  <c r="N257" i="1"/>
  <c r="AL337" i="1"/>
  <c r="N337" i="1"/>
  <c r="R185" i="1"/>
  <c r="R199" i="1"/>
  <c r="N345" i="1"/>
  <c r="N160" i="1"/>
  <c r="N185" i="1"/>
  <c r="AM204" i="1"/>
  <c r="S204" i="1" s="1"/>
  <c r="N204" i="1"/>
  <c r="R270" i="1"/>
  <c r="N270" i="1"/>
  <c r="N371" i="1"/>
  <c r="N367" i="1"/>
  <c r="AM406" i="1"/>
  <c r="S406" i="1" s="1"/>
  <c r="N315" i="1"/>
  <c r="N412" i="1"/>
  <c r="AL373" i="1"/>
  <c r="N373" i="1"/>
  <c r="N308" i="1"/>
  <c r="AL308" i="1"/>
  <c r="AL247" i="1"/>
  <c r="N247" i="1"/>
  <c r="N189" i="1"/>
  <c r="AL189" i="1"/>
  <c r="AL280" i="1"/>
  <c r="N280" i="1"/>
  <c r="AM159" i="1"/>
  <c r="S159" i="1" s="1"/>
  <c r="R159" i="1"/>
  <c r="AL420" i="1"/>
  <c r="N420" i="1"/>
  <c r="AL419" i="1"/>
  <c r="N419" i="1"/>
  <c r="N417" i="1"/>
  <c r="AL417" i="1"/>
  <c r="N418" i="1"/>
  <c r="AL418" i="1"/>
  <c r="AL421" i="1"/>
  <c r="N421" i="1"/>
  <c r="AL384" i="1"/>
  <c r="N384" i="1"/>
  <c r="AL386" i="1"/>
  <c r="N386" i="1"/>
  <c r="AL356" i="1"/>
  <c r="N356" i="1"/>
  <c r="AL383" i="1"/>
  <c r="N383" i="1"/>
  <c r="N385" i="1"/>
  <c r="AL385" i="1"/>
  <c r="AL359" i="1"/>
  <c r="N359" i="1"/>
  <c r="AL355" i="1"/>
  <c r="N355" i="1"/>
  <c r="AM360" i="1"/>
  <c r="S360" i="1" s="1"/>
  <c r="R360" i="1"/>
  <c r="AL382" i="1"/>
  <c r="N382" i="1"/>
  <c r="AL388" i="1"/>
  <c r="N388" i="1"/>
  <c r="AL358" i="1"/>
  <c r="N358" i="1"/>
  <c r="AL354" i="1"/>
  <c r="N354" i="1"/>
  <c r="N381" i="1"/>
  <c r="AL381" i="1"/>
  <c r="AL387" i="1"/>
  <c r="N387" i="1"/>
  <c r="AL357" i="1"/>
  <c r="N357" i="1"/>
  <c r="AL353" i="1"/>
  <c r="N353" i="1"/>
  <c r="R324" i="1"/>
  <c r="AM324" i="1"/>
  <c r="S324" i="1" s="1"/>
  <c r="R319" i="1"/>
  <c r="AM319" i="1"/>
  <c r="S319" i="1" s="1"/>
  <c r="R330" i="1"/>
  <c r="AM330" i="1"/>
  <c r="S330" i="1" s="1"/>
  <c r="R322" i="1"/>
  <c r="AM322" i="1"/>
  <c r="S322" i="1" s="1"/>
  <c r="R316" i="1"/>
  <c r="AM316" i="1"/>
  <c r="S316" i="1" s="1"/>
  <c r="R349" i="1"/>
  <c r="AM349" i="1"/>
  <c r="S349" i="1" s="1"/>
  <c r="AM352" i="1"/>
  <c r="S352" i="1" s="1"/>
  <c r="R352" i="1"/>
  <c r="R328" i="1"/>
  <c r="AM328" i="1"/>
  <c r="S328" i="1" s="1"/>
  <c r="R320" i="1"/>
  <c r="AM320" i="1"/>
  <c r="S320" i="1" s="1"/>
  <c r="R351" i="1"/>
  <c r="AM351" i="1"/>
  <c r="S351" i="1" s="1"/>
  <c r="R323" i="1"/>
  <c r="AM323" i="1"/>
  <c r="S323" i="1" s="1"/>
  <c r="R318" i="1"/>
  <c r="AM318" i="1"/>
  <c r="S318" i="1" s="1"/>
  <c r="R317" i="1"/>
  <c r="AM317" i="1"/>
  <c r="S317" i="1" s="1"/>
  <c r="R296" i="1"/>
  <c r="AM296" i="1"/>
  <c r="S296" i="1" s="1"/>
  <c r="R289" i="1"/>
  <c r="AM289" i="1"/>
  <c r="S289" i="1" s="1"/>
  <c r="N306" i="1"/>
  <c r="AL306" i="1"/>
  <c r="R301" i="1"/>
  <c r="AM301" i="1"/>
  <c r="S301" i="1" s="1"/>
  <c r="R299" i="1"/>
  <c r="AM299" i="1"/>
  <c r="S299" i="1" s="1"/>
  <c r="R290" i="1"/>
  <c r="AM290" i="1"/>
  <c r="S290" i="1" s="1"/>
  <c r="R297" i="1"/>
  <c r="AM297" i="1"/>
  <c r="S297" i="1" s="1"/>
  <c r="R304" i="1"/>
  <c r="AM304" i="1"/>
  <c r="S304" i="1" s="1"/>
  <c r="R305" i="1"/>
  <c r="AM305" i="1"/>
  <c r="S305" i="1" s="1"/>
  <c r="R303" i="1"/>
  <c r="AM303" i="1"/>
  <c r="S303" i="1" s="1"/>
  <c r="R300" i="1"/>
  <c r="AM300" i="1"/>
  <c r="S300" i="1" s="1"/>
  <c r="R293" i="1"/>
  <c r="AM293" i="1"/>
  <c r="S293" i="1" s="1"/>
  <c r="R302" i="1"/>
  <c r="AM302" i="1"/>
  <c r="S302" i="1" s="1"/>
  <c r="R295" i="1"/>
  <c r="AM295" i="1"/>
  <c r="S295" i="1" s="1"/>
  <c r="R298" i="1"/>
  <c r="AM298" i="1"/>
  <c r="S298" i="1" s="1"/>
  <c r="R291" i="1"/>
  <c r="AM291" i="1"/>
  <c r="S291" i="1" s="1"/>
  <c r="R294" i="1"/>
  <c r="AM294" i="1"/>
  <c r="S294" i="1" s="1"/>
  <c r="AL272" i="1"/>
  <c r="N272" i="1"/>
  <c r="AL252" i="1"/>
  <c r="N252" i="1"/>
  <c r="AL262" i="1"/>
  <c r="N262" i="1"/>
  <c r="AL245" i="1"/>
  <c r="N245" i="1"/>
  <c r="AL277" i="1"/>
  <c r="N277" i="1"/>
  <c r="AM259" i="1"/>
  <c r="S259" i="1" s="1"/>
  <c r="R259" i="1"/>
  <c r="AL264" i="1"/>
  <c r="N264" i="1"/>
  <c r="AL275" i="1"/>
  <c r="N275" i="1"/>
  <c r="AL260" i="1"/>
  <c r="N260" i="1"/>
  <c r="AL258" i="1"/>
  <c r="N258" i="1"/>
  <c r="AL266" i="1"/>
  <c r="N266" i="1"/>
  <c r="AL256" i="1"/>
  <c r="N256" i="1"/>
  <c r="AL250" i="1"/>
  <c r="N250" i="1"/>
  <c r="AL243" i="1"/>
  <c r="N243" i="1"/>
  <c r="AL268" i="1"/>
  <c r="N268" i="1"/>
  <c r="AL254" i="1"/>
  <c r="N254" i="1"/>
  <c r="AL219" i="1"/>
  <c r="N219" i="1"/>
  <c r="AL229" i="1"/>
  <c r="N229" i="1"/>
  <c r="AL225" i="1"/>
  <c r="N225" i="1"/>
  <c r="AL221" i="1"/>
  <c r="N221" i="1"/>
  <c r="R213" i="1"/>
  <c r="AM213" i="1"/>
  <c r="S213" i="1" s="1"/>
  <c r="AL235" i="1"/>
  <c r="N235" i="1"/>
  <c r="AM208" i="1"/>
  <c r="S208" i="1" s="1"/>
  <c r="R208" i="1"/>
  <c r="R206" i="1"/>
  <c r="AM206" i="1"/>
  <c r="S206" i="1" s="1"/>
  <c r="AL240" i="1"/>
  <c r="N240" i="1"/>
  <c r="AL238" i="1"/>
  <c r="N238" i="1"/>
  <c r="R217" i="1"/>
  <c r="AM217" i="1"/>
  <c r="S217" i="1" s="1"/>
  <c r="R211" i="1"/>
  <c r="AM211" i="1"/>
  <c r="S211" i="1" s="1"/>
  <c r="AL231" i="1"/>
  <c r="N231" i="1"/>
  <c r="AL227" i="1"/>
  <c r="N227" i="1"/>
  <c r="AL223" i="1"/>
  <c r="N223" i="1"/>
  <c r="R215" i="1"/>
  <c r="AM215" i="1"/>
  <c r="S215" i="1" s="1"/>
  <c r="AL190" i="1"/>
  <c r="N190" i="1"/>
  <c r="AL180" i="1"/>
  <c r="N180" i="1"/>
  <c r="AL198" i="1"/>
  <c r="N198" i="1"/>
  <c r="AL201" i="1"/>
  <c r="N201" i="1"/>
  <c r="AL178" i="1"/>
  <c r="N178" i="1"/>
  <c r="AL176" i="1"/>
  <c r="N176" i="1"/>
  <c r="AL186" i="1"/>
  <c r="N186" i="1"/>
  <c r="AL184" i="1"/>
  <c r="N184" i="1"/>
  <c r="AL203" i="1"/>
  <c r="N203" i="1"/>
  <c r="AL171" i="1"/>
  <c r="N171" i="1"/>
  <c r="AL194" i="1"/>
  <c r="N194" i="1"/>
  <c r="AL182" i="1"/>
  <c r="N182" i="1"/>
  <c r="AL192" i="1"/>
  <c r="N192" i="1"/>
  <c r="AL188" i="1"/>
  <c r="N188" i="1"/>
  <c r="AL169" i="1"/>
  <c r="N169" i="1"/>
  <c r="AL174" i="1"/>
  <c r="N174" i="1"/>
  <c r="AL164" i="1"/>
  <c r="N164" i="1"/>
  <c r="AL165" i="1"/>
  <c r="N165" i="1"/>
  <c r="AL149" i="1"/>
  <c r="N149" i="1"/>
  <c r="AL145" i="1"/>
  <c r="N145" i="1"/>
  <c r="AL135" i="1"/>
  <c r="N135" i="1"/>
  <c r="N131" i="1"/>
  <c r="AL131" i="1"/>
  <c r="R160" i="1"/>
  <c r="AM160" i="1"/>
  <c r="S160" i="1" s="1"/>
  <c r="N163" i="1"/>
  <c r="AL163" i="1"/>
  <c r="R161" i="1"/>
  <c r="AM161" i="1"/>
  <c r="S161" i="1" s="1"/>
  <c r="N134" i="1"/>
  <c r="AL134" i="1"/>
  <c r="AL147" i="1"/>
  <c r="N147" i="1"/>
  <c r="AL143" i="1"/>
  <c r="N143" i="1"/>
  <c r="AL141" i="1"/>
  <c r="N141" i="1"/>
  <c r="AL132" i="1"/>
  <c r="N132" i="1"/>
  <c r="R162" i="1"/>
  <c r="AM162" i="1"/>
  <c r="S162" i="1" s="1"/>
  <c r="AL150" i="1"/>
  <c r="N150" i="1"/>
  <c r="AL148" i="1"/>
  <c r="N148" i="1"/>
  <c r="AL146" i="1"/>
  <c r="N146" i="1"/>
  <c r="AL144" i="1"/>
  <c r="N144" i="1"/>
  <c r="AL142" i="1"/>
  <c r="N142" i="1"/>
  <c r="AL140" i="1"/>
  <c r="N140" i="1"/>
  <c r="AL166" i="1"/>
  <c r="N166" i="1"/>
  <c r="AL138" i="1"/>
  <c r="N138" i="1"/>
  <c r="AL133" i="1"/>
  <c r="N133" i="1"/>
  <c r="AL137" i="1"/>
  <c r="N137" i="1"/>
  <c r="AL136" i="1"/>
  <c r="N136" i="1"/>
  <c r="R130" i="1"/>
  <c r="AM130" i="1"/>
  <c r="S130" i="1" s="1"/>
  <c r="R127" i="1"/>
  <c r="AM127" i="1"/>
  <c r="S127" i="1" s="1"/>
  <c r="R126" i="1"/>
  <c r="AM126" i="1"/>
  <c r="S126" i="1" s="1"/>
  <c r="AM425" i="1" l="1"/>
  <c r="S425" i="1" s="1"/>
  <c r="R326" i="1"/>
  <c r="R242" i="1"/>
  <c r="R327" i="1"/>
  <c r="R329" i="1"/>
  <c r="R334" i="1"/>
  <c r="AM350" i="1"/>
  <c r="S350" i="1" s="1"/>
  <c r="AM333" i="1"/>
  <c r="S333" i="1" s="1"/>
  <c r="R333" i="1"/>
  <c r="R237" i="1"/>
  <c r="R271" i="1"/>
  <c r="AM205" i="1"/>
  <c r="S205" i="1" s="1"/>
  <c r="R321" i="1"/>
  <c r="R342" i="1"/>
  <c r="R274" i="1"/>
  <c r="AM392" i="1"/>
  <c r="S392" i="1" s="1"/>
  <c r="AM248" i="1"/>
  <c r="S248" i="1" s="1"/>
  <c r="R423" i="1"/>
  <c r="R307" i="1"/>
  <c r="R251" i="1"/>
  <c r="R312" i="1"/>
  <c r="R170" i="1"/>
  <c r="R422" i="1"/>
  <c r="AM380" i="1"/>
  <c r="S380" i="1" s="1"/>
  <c r="AM430" i="1"/>
  <c r="S430" i="1" s="1"/>
  <c r="R430" i="1"/>
  <c r="AM434" i="1"/>
  <c r="S434" i="1" s="1"/>
  <c r="R434" i="1"/>
  <c r="R433" i="1"/>
  <c r="AM433" i="1"/>
  <c r="S433" i="1" s="1"/>
  <c r="R429" i="1"/>
  <c r="AM429" i="1"/>
  <c r="S429" i="1" s="1"/>
  <c r="R139" i="1"/>
  <c r="R273" i="1"/>
  <c r="AM292" i="1"/>
  <c r="S292" i="1" s="1"/>
  <c r="AM158" i="1"/>
  <c r="S158" i="1" s="1"/>
  <c r="R158" i="1"/>
  <c r="R177" i="1"/>
  <c r="AM216" i="1"/>
  <c r="S216" i="1" s="1"/>
  <c r="R200" i="1"/>
  <c r="AM200" i="1"/>
  <c r="S200" i="1" s="1"/>
  <c r="R394" i="1"/>
  <c r="AM394" i="1"/>
  <c r="S394" i="1" s="1"/>
  <c r="R399" i="1"/>
  <c r="AM399" i="1"/>
  <c r="S399" i="1" s="1"/>
  <c r="R391" i="1"/>
  <c r="AM391" i="1"/>
  <c r="S391" i="1" s="1"/>
  <c r="R396" i="1"/>
  <c r="AM396" i="1"/>
  <c r="S396" i="1" s="1"/>
  <c r="R344" i="1"/>
  <c r="AM344" i="1"/>
  <c r="S344" i="1" s="1"/>
  <c r="R404" i="1"/>
  <c r="AM404" i="1"/>
  <c r="S404" i="1" s="1"/>
  <c r="AM338" i="1"/>
  <c r="S338" i="1" s="1"/>
  <c r="R338" i="1"/>
  <c r="R234" i="1"/>
  <c r="AM234" i="1"/>
  <c r="S234" i="1" s="1"/>
  <c r="AM348" i="1"/>
  <c r="S348" i="1" s="1"/>
  <c r="R348" i="1"/>
  <c r="R129" i="1"/>
  <c r="AM187" i="1"/>
  <c r="S187" i="1" s="1"/>
  <c r="R187" i="1"/>
  <c r="AM332" i="1"/>
  <c r="S332" i="1" s="1"/>
  <c r="R332" i="1"/>
  <c r="AM325" i="1"/>
  <c r="S325" i="1" s="1"/>
  <c r="R280" i="1"/>
  <c r="AM280" i="1"/>
  <c r="S280" i="1" s="1"/>
  <c r="R247" i="1"/>
  <c r="AM247" i="1"/>
  <c r="S247" i="1" s="1"/>
  <c r="AM373" i="1"/>
  <c r="S373" i="1" s="1"/>
  <c r="R373" i="1"/>
  <c r="R390" i="1"/>
  <c r="AM390" i="1"/>
  <c r="S390" i="1" s="1"/>
  <c r="AM287" i="1"/>
  <c r="S287" i="1" s="1"/>
  <c r="R287" i="1"/>
  <c r="AM121" i="1"/>
  <c r="S121" i="1" s="1"/>
  <c r="R121" i="1"/>
  <c r="R415" i="1"/>
  <c r="AM415" i="1"/>
  <c r="S415" i="1" s="1"/>
  <c r="AM189" i="1"/>
  <c r="S189" i="1" s="1"/>
  <c r="R189" i="1"/>
  <c r="AM308" i="1"/>
  <c r="S308" i="1" s="1"/>
  <c r="R308" i="1"/>
  <c r="AM337" i="1"/>
  <c r="S337" i="1" s="1"/>
  <c r="R337" i="1"/>
  <c r="R311" i="1"/>
  <c r="AM311" i="1"/>
  <c r="S311" i="1" s="1"/>
  <c r="AM202" i="1"/>
  <c r="S202" i="1" s="1"/>
  <c r="R202" i="1"/>
  <c r="AM376" i="1"/>
  <c r="S376" i="1" s="1"/>
  <c r="R376" i="1"/>
  <c r="AM257" i="1"/>
  <c r="S257" i="1" s="1"/>
  <c r="R257" i="1"/>
  <c r="AM276" i="1"/>
  <c r="S276" i="1" s="1"/>
  <c r="R276" i="1"/>
  <c r="R395" i="1"/>
  <c r="AM395" i="1"/>
  <c r="S395" i="1" s="1"/>
  <c r="AM314" i="1"/>
  <c r="S314" i="1" s="1"/>
  <c r="R314" i="1"/>
  <c r="R393" i="1"/>
  <c r="AM393" i="1"/>
  <c r="S393" i="1" s="1"/>
  <c r="AM421" i="1"/>
  <c r="S421" i="1" s="1"/>
  <c r="R421" i="1"/>
  <c r="AM419" i="1"/>
  <c r="S419" i="1" s="1"/>
  <c r="R419" i="1"/>
  <c r="AM418" i="1"/>
  <c r="S418" i="1" s="1"/>
  <c r="R418" i="1"/>
  <c r="AM417" i="1"/>
  <c r="S417" i="1" s="1"/>
  <c r="R417" i="1"/>
  <c r="AM420" i="1"/>
  <c r="S420" i="1" s="1"/>
  <c r="R420" i="1"/>
  <c r="AM357" i="1"/>
  <c r="S357" i="1" s="1"/>
  <c r="R357" i="1"/>
  <c r="AM387" i="1"/>
  <c r="S387" i="1" s="1"/>
  <c r="R387" i="1"/>
  <c r="AM354" i="1"/>
  <c r="S354" i="1" s="1"/>
  <c r="R354" i="1"/>
  <c r="AM388" i="1"/>
  <c r="S388" i="1" s="1"/>
  <c r="R388" i="1"/>
  <c r="AM359" i="1"/>
  <c r="S359" i="1" s="1"/>
  <c r="R359" i="1"/>
  <c r="AM383" i="1"/>
  <c r="S383" i="1" s="1"/>
  <c r="R383" i="1"/>
  <c r="AM381" i="1"/>
  <c r="S381" i="1" s="1"/>
  <c r="R381" i="1"/>
  <c r="AM385" i="1"/>
  <c r="S385" i="1" s="1"/>
  <c r="R385" i="1"/>
  <c r="AM386" i="1"/>
  <c r="S386" i="1" s="1"/>
  <c r="R386" i="1"/>
  <c r="AM353" i="1"/>
  <c r="S353" i="1" s="1"/>
  <c r="R353" i="1"/>
  <c r="AM358" i="1"/>
  <c r="S358" i="1" s="1"/>
  <c r="R358" i="1"/>
  <c r="AM382" i="1"/>
  <c r="S382" i="1" s="1"/>
  <c r="R382" i="1"/>
  <c r="AM355" i="1"/>
  <c r="S355" i="1" s="1"/>
  <c r="R355" i="1"/>
  <c r="AM356" i="1"/>
  <c r="S356" i="1" s="1"/>
  <c r="R356" i="1"/>
  <c r="AM384" i="1"/>
  <c r="S384" i="1" s="1"/>
  <c r="R384" i="1"/>
  <c r="AM306" i="1"/>
  <c r="S306" i="1" s="1"/>
  <c r="R306" i="1"/>
  <c r="AM262" i="1"/>
  <c r="S262" i="1" s="1"/>
  <c r="R262" i="1"/>
  <c r="AM268" i="1"/>
  <c r="S268" i="1" s="1"/>
  <c r="R268" i="1"/>
  <c r="AM250" i="1"/>
  <c r="S250" i="1" s="1"/>
  <c r="R250" i="1"/>
  <c r="AM258" i="1"/>
  <c r="S258" i="1" s="1"/>
  <c r="R258" i="1"/>
  <c r="AM243" i="1"/>
  <c r="S243" i="1" s="1"/>
  <c r="R243" i="1"/>
  <c r="AM260" i="1"/>
  <c r="S260" i="1" s="1"/>
  <c r="R260" i="1"/>
  <c r="AM264" i="1"/>
  <c r="S264" i="1" s="1"/>
  <c r="R264" i="1"/>
  <c r="AM245" i="1"/>
  <c r="S245" i="1" s="1"/>
  <c r="R245" i="1"/>
  <c r="AM266" i="1"/>
  <c r="S266" i="1" s="1"/>
  <c r="R266" i="1"/>
  <c r="AM252" i="1"/>
  <c r="S252" i="1" s="1"/>
  <c r="R252" i="1"/>
  <c r="AM254" i="1"/>
  <c r="S254" i="1" s="1"/>
  <c r="R254" i="1"/>
  <c r="AM275" i="1"/>
  <c r="S275" i="1" s="1"/>
  <c r="R275" i="1"/>
  <c r="AM256" i="1"/>
  <c r="S256" i="1" s="1"/>
  <c r="R256" i="1"/>
  <c r="AM277" i="1"/>
  <c r="S277" i="1" s="1"/>
  <c r="R277" i="1"/>
  <c r="AM272" i="1"/>
  <c r="S272" i="1" s="1"/>
  <c r="R272" i="1"/>
  <c r="AM223" i="1"/>
  <c r="S223" i="1" s="1"/>
  <c r="R223" i="1"/>
  <c r="AM240" i="1"/>
  <c r="S240" i="1" s="1"/>
  <c r="R240" i="1"/>
  <c r="AM221" i="1"/>
  <c r="S221" i="1" s="1"/>
  <c r="R221" i="1"/>
  <c r="AM231" i="1"/>
  <c r="S231" i="1" s="1"/>
  <c r="R231" i="1"/>
  <c r="AM235" i="1"/>
  <c r="S235" i="1" s="1"/>
  <c r="R235" i="1"/>
  <c r="AM229" i="1"/>
  <c r="S229" i="1" s="1"/>
  <c r="R229" i="1"/>
  <c r="AM227" i="1"/>
  <c r="S227" i="1" s="1"/>
  <c r="R227" i="1"/>
  <c r="AM238" i="1"/>
  <c r="S238" i="1" s="1"/>
  <c r="R238" i="1"/>
  <c r="AM225" i="1"/>
  <c r="S225" i="1" s="1"/>
  <c r="R225" i="1"/>
  <c r="AM219" i="1"/>
  <c r="S219" i="1" s="1"/>
  <c r="R219" i="1"/>
  <c r="AM169" i="1"/>
  <c r="S169" i="1" s="1"/>
  <c r="R169" i="1"/>
  <c r="AM192" i="1"/>
  <c r="S192" i="1" s="1"/>
  <c r="R192" i="1"/>
  <c r="AM194" i="1"/>
  <c r="S194" i="1" s="1"/>
  <c r="R194" i="1"/>
  <c r="AM203" i="1"/>
  <c r="S203" i="1" s="1"/>
  <c r="R203" i="1"/>
  <c r="AM186" i="1"/>
  <c r="S186" i="1" s="1"/>
  <c r="R186" i="1"/>
  <c r="AM178" i="1"/>
  <c r="S178" i="1" s="1"/>
  <c r="R178" i="1"/>
  <c r="AM201" i="1"/>
  <c r="S201" i="1" s="1"/>
  <c r="R201" i="1"/>
  <c r="AM180" i="1"/>
  <c r="S180" i="1" s="1"/>
  <c r="R180" i="1"/>
  <c r="AM174" i="1"/>
  <c r="S174" i="1" s="1"/>
  <c r="R174" i="1"/>
  <c r="AM188" i="1"/>
  <c r="S188" i="1" s="1"/>
  <c r="R188" i="1"/>
  <c r="AM182" i="1"/>
  <c r="S182" i="1" s="1"/>
  <c r="R182" i="1"/>
  <c r="AM171" i="1"/>
  <c r="S171" i="1" s="1"/>
  <c r="R171" i="1"/>
  <c r="AM184" i="1"/>
  <c r="S184" i="1" s="1"/>
  <c r="R184" i="1"/>
  <c r="AM176" i="1"/>
  <c r="S176" i="1" s="1"/>
  <c r="R176" i="1"/>
  <c r="AM198" i="1"/>
  <c r="S198" i="1" s="1"/>
  <c r="R198" i="1"/>
  <c r="AM190" i="1"/>
  <c r="S190" i="1" s="1"/>
  <c r="R190" i="1"/>
  <c r="AM163" i="1"/>
  <c r="S163" i="1" s="1"/>
  <c r="R163" i="1"/>
  <c r="AM136" i="1"/>
  <c r="S136" i="1" s="1"/>
  <c r="R136" i="1"/>
  <c r="AM133" i="1"/>
  <c r="S133" i="1" s="1"/>
  <c r="R133" i="1"/>
  <c r="AM166" i="1"/>
  <c r="S166" i="1" s="1"/>
  <c r="R166" i="1"/>
  <c r="R142" i="1"/>
  <c r="AM142" i="1"/>
  <c r="S142" i="1" s="1"/>
  <c r="R146" i="1"/>
  <c r="AM146" i="1"/>
  <c r="S146" i="1" s="1"/>
  <c r="R150" i="1"/>
  <c r="AM150" i="1"/>
  <c r="S150" i="1" s="1"/>
  <c r="AM132" i="1"/>
  <c r="S132" i="1" s="1"/>
  <c r="R132" i="1"/>
  <c r="R143" i="1"/>
  <c r="AM143" i="1"/>
  <c r="S143" i="1" s="1"/>
  <c r="R145" i="1"/>
  <c r="AM145" i="1"/>
  <c r="S145" i="1" s="1"/>
  <c r="AM165" i="1"/>
  <c r="S165" i="1" s="1"/>
  <c r="R165" i="1"/>
  <c r="AM134" i="1"/>
  <c r="S134" i="1" s="1"/>
  <c r="R134" i="1"/>
  <c r="AM131" i="1"/>
  <c r="S131" i="1" s="1"/>
  <c r="R131" i="1"/>
  <c r="AM137" i="1"/>
  <c r="S137" i="1" s="1"/>
  <c r="R137" i="1"/>
  <c r="AM138" i="1"/>
  <c r="S138" i="1" s="1"/>
  <c r="R138" i="1"/>
  <c r="R140" i="1"/>
  <c r="AM140" i="1"/>
  <c r="S140" i="1" s="1"/>
  <c r="R144" i="1"/>
  <c r="AM144" i="1"/>
  <c r="S144" i="1" s="1"/>
  <c r="R148" i="1"/>
  <c r="AM148" i="1"/>
  <c r="S148" i="1" s="1"/>
  <c r="R141" i="1"/>
  <c r="AM141" i="1"/>
  <c r="S141" i="1" s="1"/>
  <c r="R147" i="1"/>
  <c r="AM147" i="1"/>
  <c r="S147" i="1" s="1"/>
  <c r="AM135" i="1"/>
  <c r="S135" i="1" s="1"/>
  <c r="R135" i="1"/>
  <c r="R149" i="1"/>
  <c r="AM149" i="1"/>
  <c r="S149" i="1" s="1"/>
  <c r="AM164" i="1"/>
  <c r="S164" i="1" s="1"/>
  <c r="R164" i="1"/>
  <c r="AP799" i="1" l="1"/>
  <c r="J799" i="1" s="1"/>
  <c r="AN799" i="1"/>
  <c r="AI799" i="1" s="1"/>
  <c r="O799" i="1" s="1"/>
  <c r="AF799" i="1"/>
  <c r="AP798" i="1"/>
  <c r="J798" i="1" s="1"/>
  <c r="AN798" i="1"/>
  <c r="AF798" i="1"/>
  <c r="AP797" i="1"/>
  <c r="J797" i="1" s="1"/>
  <c r="AN797" i="1"/>
  <c r="AF797" i="1"/>
  <c r="AP796" i="1"/>
  <c r="J796" i="1" s="1"/>
  <c r="AN796" i="1"/>
  <c r="K796" i="1" s="1"/>
  <c r="AF796" i="1"/>
  <c r="A796" i="1"/>
  <c r="AP795" i="1"/>
  <c r="J795" i="1" s="1"/>
  <c r="AN795" i="1"/>
  <c r="AF795" i="1"/>
  <c r="A795" i="1"/>
  <c r="AP794" i="1"/>
  <c r="J794" i="1" s="1"/>
  <c r="AN794" i="1"/>
  <c r="AF794" i="1"/>
  <c r="A794" i="1"/>
  <c r="AP793" i="1"/>
  <c r="J793" i="1" s="1"/>
  <c r="AN793" i="1"/>
  <c r="K793" i="1" s="1"/>
  <c r="AF793" i="1"/>
  <c r="A793" i="1"/>
  <c r="AP792" i="1"/>
  <c r="J792" i="1" s="1"/>
  <c r="AN792" i="1"/>
  <c r="K792" i="1" s="1"/>
  <c r="AF792" i="1"/>
  <c r="A792" i="1"/>
  <c r="AP791" i="1"/>
  <c r="J791" i="1" s="1"/>
  <c r="AN791" i="1"/>
  <c r="AF791" i="1"/>
  <c r="A791" i="1"/>
  <c r="AP790" i="1"/>
  <c r="J790" i="1" s="1"/>
  <c r="AN790" i="1"/>
  <c r="AF790" i="1"/>
  <c r="A790" i="1"/>
  <c r="AP789" i="1"/>
  <c r="J789" i="1" s="1"/>
  <c r="AN789" i="1"/>
  <c r="AH789" i="1" s="1"/>
  <c r="AF789" i="1"/>
  <c r="A789" i="1"/>
  <c r="AP788" i="1"/>
  <c r="J788" i="1" s="1"/>
  <c r="AN788" i="1"/>
  <c r="K788" i="1" s="1"/>
  <c r="AF788" i="1"/>
  <c r="A788" i="1"/>
  <c r="AP787" i="1"/>
  <c r="J787" i="1" s="1"/>
  <c r="AN787" i="1"/>
  <c r="AF787" i="1"/>
  <c r="A787" i="1"/>
  <c r="AP786" i="1"/>
  <c r="J786" i="1" s="1"/>
  <c r="AN786" i="1"/>
  <c r="AI786" i="1" s="1"/>
  <c r="O786" i="1" s="1"/>
  <c r="AF786" i="1"/>
  <c r="A786" i="1"/>
  <c r="AP785" i="1"/>
  <c r="J785" i="1" s="1"/>
  <c r="AN785" i="1"/>
  <c r="AF785" i="1"/>
  <c r="A785" i="1"/>
  <c r="AP784" i="1"/>
  <c r="J784" i="1" s="1"/>
  <c r="AN784" i="1"/>
  <c r="AF784" i="1"/>
  <c r="A784" i="1"/>
  <c r="AP783" i="1"/>
  <c r="J783" i="1" s="1"/>
  <c r="AN783" i="1"/>
  <c r="K783" i="1" s="1"/>
  <c r="AF783" i="1"/>
  <c r="A783" i="1"/>
  <c r="AP782" i="1"/>
  <c r="J782" i="1" s="1"/>
  <c r="AN782" i="1"/>
  <c r="AF782" i="1"/>
  <c r="A782" i="1"/>
  <c r="AP781" i="1"/>
  <c r="J781" i="1" s="1"/>
  <c r="AN781" i="1"/>
  <c r="AI781" i="1" s="1"/>
  <c r="O781" i="1" s="1"/>
  <c r="AF781" i="1"/>
  <c r="A781" i="1"/>
  <c r="AP780" i="1"/>
  <c r="J780" i="1" s="1"/>
  <c r="AN780" i="1"/>
  <c r="AI780" i="1" s="1"/>
  <c r="O780" i="1" s="1"/>
  <c r="AF780" i="1"/>
  <c r="A780" i="1"/>
  <c r="AP779" i="1"/>
  <c r="J779" i="1" s="1"/>
  <c r="AN779" i="1"/>
  <c r="AH779" i="1" s="1"/>
  <c r="AL779" i="1" s="1"/>
  <c r="R779" i="1" s="1"/>
  <c r="AF779" i="1"/>
  <c r="A779" i="1"/>
  <c r="AP778" i="1"/>
  <c r="J778" i="1" s="1"/>
  <c r="AN778" i="1"/>
  <c r="K778" i="1" s="1"/>
  <c r="AF778" i="1"/>
  <c r="A778" i="1"/>
  <c r="AP777" i="1"/>
  <c r="J777" i="1" s="1"/>
  <c r="AN777" i="1"/>
  <c r="AI777" i="1" s="1"/>
  <c r="O777" i="1" s="1"/>
  <c r="AF777" i="1"/>
  <c r="A777" i="1"/>
  <c r="AP776" i="1"/>
  <c r="J776" i="1" s="1"/>
  <c r="AN776" i="1"/>
  <c r="AH776" i="1" s="1"/>
  <c r="AL776" i="1" s="1"/>
  <c r="R776" i="1" s="1"/>
  <c r="AF776" i="1"/>
  <c r="A776" i="1"/>
  <c r="AP775" i="1"/>
  <c r="J775" i="1" s="1"/>
  <c r="AN775" i="1"/>
  <c r="AH775" i="1" s="1"/>
  <c r="AF775" i="1"/>
  <c r="A775" i="1"/>
  <c r="AP774" i="1"/>
  <c r="J774" i="1" s="1"/>
  <c r="AN774" i="1"/>
  <c r="AF774" i="1"/>
  <c r="A774" i="1"/>
  <c r="AP773" i="1"/>
  <c r="J773" i="1" s="1"/>
  <c r="AN773" i="1"/>
  <c r="AF773" i="1"/>
  <c r="A773" i="1"/>
  <c r="AP772" i="1"/>
  <c r="J772" i="1" s="1"/>
  <c r="AN772" i="1"/>
  <c r="AI772" i="1" s="1"/>
  <c r="O772" i="1" s="1"/>
  <c r="AF772" i="1"/>
  <c r="A772" i="1"/>
  <c r="AP771" i="1"/>
  <c r="J771" i="1" s="1"/>
  <c r="AN771" i="1"/>
  <c r="AH771" i="1" s="1"/>
  <c r="AF771" i="1"/>
  <c r="A771" i="1"/>
  <c r="AP770" i="1"/>
  <c r="J770" i="1" s="1"/>
  <c r="AN770" i="1"/>
  <c r="K770" i="1" s="1"/>
  <c r="AF770" i="1"/>
  <c r="A770" i="1"/>
  <c r="AP769" i="1"/>
  <c r="J769" i="1" s="1"/>
  <c r="AN769" i="1"/>
  <c r="AF769" i="1"/>
  <c r="A769" i="1"/>
  <c r="AP768" i="1"/>
  <c r="J768" i="1" s="1"/>
  <c r="AN768" i="1"/>
  <c r="AI768" i="1" s="1"/>
  <c r="O768" i="1" s="1"/>
  <c r="AF768" i="1"/>
  <c r="A768" i="1"/>
  <c r="AP767" i="1"/>
  <c r="J767" i="1" s="1"/>
  <c r="AN767" i="1"/>
  <c r="AF767" i="1"/>
  <c r="A767" i="1"/>
  <c r="AP766" i="1"/>
  <c r="J766" i="1" s="1"/>
  <c r="AN766" i="1"/>
  <c r="K766" i="1" s="1"/>
  <c r="AF766" i="1"/>
  <c r="A766" i="1"/>
  <c r="AP765" i="1"/>
  <c r="J765" i="1" s="1"/>
  <c r="AN765" i="1"/>
  <c r="AI765" i="1" s="1"/>
  <c r="O765" i="1" s="1"/>
  <c r="AF765" i="1"/>
  <c r="A765" i="1"/>
  <c r="AP764" i="1"/>
  <c r="J764" i="1" s="1"/>
  <c r="AN764" i="1"/>
  <c r="AF764" i="1"/>
  <c r="A764" i="1"/>
  <c r="AP763" i="1"/>
  <c r="J763" i="1" s="1"/>
  <c r="AN763" i="1"/>
  <c r="AH763" i="1" s="1"/>
  <c r="N763" i="1" s="1"/>
  <c r="AF763" i="1"/>
  <c r="A763" i="1"/>
  <c r="AP762" i="1"/>
  <c r="J762" i="1" s="1"/>
  <c r="AN762" i="1"/>
  <c r="AH762" i="1" s="1"/>
  <c r="AF762" i="1"/>
  <c r="A762" i="1"/>
  <c r="AP761" i="1"/>
  <c r="J761" i="1" s="1"/>
  <c r="AN761" i="1"/>
  <c r="K761" i="1" s="1"/>
  <c r="AF761" i="1"/>
  <c r="A761" i="1"/>
  <c r="AP760" i="1"/>
  <c r="J760" i="1" s="1"/>
  <c r="AN760" i="1"/>
  <c r="AF760" i="1"/>
  <c r="A760" i="1"/>
  <c r="AP759" i="1"/>
  <c r="J759" i="1" s="1"/>
  <c r="AN759" i="1"/>
  <c r="AH759" i="1" s="1"/>
  <c r="N759" i="1" s="1"/>
  <c r="AF759" i="1"/>
  <c r="A759" i="1"/>
  <c r="AP758" i="1"/>
  <c r="J758" i="1" s="1"/>
  <c r="AN758" i="1"/>
  <c r="AH758" i="1" s="1"/>
  <c r="AF758" i="1"/>
  <c r="A758" i="1"/>
  <c r="AP757" i="1"/>
  <c r="J757" i="1" s="1"/>
  <c r="AN757" i="1"/>
  <c r="AF757" i="1"/>
  <c r="A757" i="1"/>
  <c r="AP756" i="1"/>
  <c r="J756" i="1" s="1"/>
  <c r="AN756" i="1"/>
  <c r="AI756" i="1" s="1"/>
  <c r="O756" i="1" s="1"/>
  <c r="AF756" i="1"/>
  <c r="A756" i="1"/>
  <c r="AP755" i="1"/>
  <c r="J755" i="1" s="1"/>
  <c r="AN755" i="1"/>
  <c r="AI755" i="1" s="1"/>
  <c r="O755" i="1" s="1"/>
  <c r="AF755" i="1"/>
  <c r="A755" i="1"/>
  <c r="AP754" i="1"/>
  <c r="J754" i="1" s="1"/>
  <c r="AN754" i="1"/>
  <c r="AI754" i="1" s="1"/>
  <c r="O754" i="1" s="1"/>
  <c r="AF754" i="1"/>
  <c r="A754" i="1"/>
  <c r="AP753" i="1"/>
  <c r="J753" i="1" s="1"/>
  <c r="AN753" i="1"/>
  <c r="AH753" i="1" s="1"/>
  <c r="AF753" i="1"/>
  <c r="A753" i="1"/>
  <c r="AP752" i="1"/>
  <c r="J752" i="1" s="1"/>
  <c r="AN752" i="1"/>
  <c r="AF752" i="1"/>
  <c r="A752" i="1"/>
  <c r="AP751" i="1"/>
  <c r="J751" i="1" s="1"/>
  <c r="AN751" i="1"/>
  <c r="K751" i="1" s="1"/>
  <c r="AF751" i="1"/>
  <c r="A751" i="1"/>
  <c r="AP750" i="1"/>
  <c r="J750" i="1" s="1"/>
  <c r="AN750" i="1"/>
  <c r="AI750" i="1" s="1"/>
  <c r="O750" i="1" s="1"/>
  <c r="AF750" i="1"/>
  <c r="A750" i="1"/>
  <c r="AP749" i="1"/>
  <c r="J749" i="1" s="1"/>
  <c r="AN749" i="1"/>
  <c r="AF749" i="1"/>
  <c r="A749" i="1"/>
  <c r="AP748" i="1"/>
  <c r="J748" i="1" s="1"/>
  <c r="AN748" i="1"/>
  <c r="AF748" i="1"/>
  <c r="A748" i="1"/>
  <c r="AP747" i="1"/>
  <c r="J747" i="1" s="1"/>
  <c r="AN747" i="1"/>
  <c r="K747" i="1" s="1"/>
  <c r="AF747" i="1"/>
  <c r="A747" i="1"/>
  <c r="AP746" i="1"/>
  <c r="J746" i="1" s="1"/>
  <c r="AN746" i="1"/>
  <c r="AH746" i="1" s="1"/>
  <c r="AL746" i="1" s="1"/>
  <c r="AF746" i="1"/>
  <c r="A746" i="1"/>
  <c r="AP745" i="1"/>
  <c r="J745" i="1" s="1"/>
  <c r="AN745" i="1"/>
  <c r="AI745" i="1" s="1"/>
  <c r="O745" i="1" s="1"/>
  <c r="AF745" i="1"/>
  <c r="A745" i="1"/>
  <c r="AP744" i="1"/>
  <c r="J744" i="1" s="1"/>
  <c r="AN744" i="1"/>
  <c r="AH744" i="1" s="1"/>
  <c r="AF744" i="1"/>
  <c r="A744" i="1"/>
  <c r="AP743" i="1"/>
  <c r="J743" i="1" s="1"/>
  <c r="AN743" i="1"/>
  <c r="K743" i="1" s="1"/>
  <c r="AF743" i="1"/>
  <c r="A743" i="1"/>
  <c r="AP742" i="1"/>
  <c r="J742" i="1" s="1"/>
  <c r="AN742" i="1"/>
  <c r="AF742" i="1"/>
  <c r="A742" i="1"/>
  <c r="AP741" i="1"/>
  <c r="J741" i="1" s="1"/>
  <c r="AN741" i="1"/>
  <c r="AI741" i="1" s="1"/>
  <c r="O741" i="1" s="1"/>
  <c r="AF741" i="1"/>
  <c r="A741" i="1"/>
  <c r="AP740" i="1"/>
  <c r="J740" i="1" s="1"/>
  <c r="AN740" i="1"/>
  <c r="AF740" i="1"/>
  <c r="A740" i="1"/>
  <c r="AP739" i="1"/>
  <c r="J739" i="1" s="1"/>
  <c r="AN739" i="1"/>
  <c r="K739" i="1" s="1"/>
  <c r="AF739" i="1"/>
  <c r="A739" i="1"/>
  <c r="AP738" i="1"/>
  <c r="J738" i="1" s="1"/>
  <c r="AN738" i="1"/>
  <c r="AH738" i="1" s="1"/>
  <c r="AL738" i="1" s="1"/>
  <c r="AF738" i="1"/>
  <c r="A738" i="1"/>
  <c r="AP737" i="1"/>
  <c r="J737" i="1" s="1"/>
  <c r="AN737" i="1"/>
  <c r="AI737" i="1" s="1"/>
  <c r="O737" i="1" s="1"/>
  <c r="AF737" i="1"/>
  <c r="A737" i="1"/>
  <c r="AP736" i="1"/>
  <c r="J736" i="1" s="1"/>
  <c r="AN736" i="1"/>
  <c r="AH736" i="1" s="1"/>
  <c r="AF736" i="1"/>
  <c r="A736" i="1"/>
  <c r="AP735" i="1"/>
  <c r="J735" i="1" s="1"/>
  <c r="AN735" i="1"/>
  <c r="K735" i="1" s="1"/>
  <c r="AF735" i="1"/>
  <c r="A735" i="1"/>
  <c r="AP734" i="1"/>
  <c r="J734" i="1" s="1"/>
  <c r="AN734" i="1"/>
  <c r="AF734" i="1"/>
  <c r="A734" i="1"/>
  <c r="AP733" i="1"/>
  <c r="J733" i="1" s="1"/>
  <c r="AN733" i="1"/>
  <c r="AI733" i="1" s="1"/>
  <c r="O733" i="1" s="1"/>
  <c r="AF733" i="1"/>
  <c r="A733" i="1"/>
  <c r="AP732" i="1"/>
  <c r="J732" i="1" s="1"/>
  <c r="AN732" i="1"/>
  <c r="AH732" i="1" s="1"/>
  <c r="AF732" i="1"/>
  <c r="A732" i="1"/>
  <c r="AP731" i="1"/>
  <c r="J731" i="1" s="1"/>
  <c r="AN731" i="1"/>
  <c r="K731" i="1" s="1"/>
  <c r="AF731" i="1"/>
  <c r="A731" i="1"/>
  <c r="AP730" i="1"/>
  <c r="J730" i="1" s="1"/>
  <c r="AN730" i="1"/>
  <c r="AI730" i="1" s="1"/>
  <c r="O730" i="1" s="1"/>
  <c r="AF730" i="1"/>
  <c r="A730" i="1"/>
  <c r="AP729" i="1"/>
  <c r="J729" i="1" s="1"/>
  <c r="AN729" i="1"/>
  <c r="AF729" i="1"/>
  <c r="A729" i="1"/>
  <c r="AP728" i="1"/>
  <c r="J728" i="1" s="1"/>
  <c r="AN728" i="1"/>
  <c r="AH728" i="1" s="1"/>
  <c r="AF728" i="1"/>
  <c r="A728" i="1"/>
  <c r="AP727" i="1"/>
  <c r="J727" i="1" s="1"/>
  <c r="AN727" i="1"/>
  <c r="K727" i="1" s="1"/>
  <c r="AF727" i="1"/>
  <c r="A727" i="1"/>
  <c r="AP726" i="1"/>
  <c r="J726" i="1" s="1"/>
  <c r="AN726" i="1"/>
  <c r="AI726" i="1" s="1"/>
  <c r="O726" i="1" s="1"/>
  <c r="AF726" i="1"/>
  <c r="A726" i="1"/>
  <c r="AP725" i="1"/>
  <c r="J725" i="1" s="1"/>
  <c r="AN725" i="1"/>
  <c r="AI725" i="1" s="1"/>
  <c r="O725" i="1" s="1"/>
  <c r="AF725" i="1"/>
  <c r="A725" i="1"/>
  <c r="AP724" i="1"/>
  <c r="J724" i="1" s="1"/>
  <c r="AN724" i="1"/>
  <c r="AH724" i="1" s="1"/>
  <c r="AF724" i="1"/>
  <c r="A724" i="1"/>
  <c r="AP723" i="1"/>
  <c r="J723" i="1" s="1"/>
  <c r="AN723" i="1"/>
  <c r="AI723" i="1" s="1"/>
  <c r="O723" i="1" s="1"/>
  <c r="AF723" i="1"/>
  <c r="A723" i="1"/>
  <c r="AP722" i="1"/>
  <c r="J722" i="1" s="1"/>
  <c r="AN722" i="1"/>
  <c r="AF722" i="1"/>
  <c r="A722" i="1"/>
  <c r="AP721" i="1"/>
  <c r="J721" i="1" s="1"/>
  <c r="AN721" i="1"/>
  <c r="AH721" i="1" s="1"/>
  <c r="AF721" i="1"/>
  <c r="A721" i="1"/>
  <c r="AP720" i="1"/>
  <c r="J720" i="1" s="1"/>
  <c r="AN720" i="1"/>
  <c r="AF720" i="1"/>
  <c r="A720" i="1"/>
  <c r="AP719" i="1"/>
  <c r="J719" i="1" s="1"/>
  <c r="AN719" i="1"/>
  <c r="AF719" i="1"/>
  <c r="A719" i="1"/>
  <c r="AP718" i="1"/>
  <c r="J718" i="1" s="1"/>
  <c r="AN718" i="1"/>
  <c r="AF718" i="1"/>
  <c r="A718" i="1"/>
  <c r="AP717" i="1"/>
  <c r="J717" i="1" s="1"/>
  <c r="AN717" i="1"/>
  <c r="AI717" i="1" s="1"/>
  <c r="O717" i="1" s="1"/>
  <c r="AF717" i="1"/>
  <c r="A717" i="1"/>
  <c r="AP716" i="1"/>
  <c r="J716" i="1" s="1"/>
  <c r="AN716" i="1"/>
  <c r="K716" i="1" s="1"/>
  <c r="AF716" i="1"/>
  <c r="A716" i="1"/>
  <c r="AP715" i="1"/>
  <c r="J715" i="1" s="1"/>
  <c r="AN715" i="1"/>
  <c r="AI715" i="1" s="1"/>
  <c r="O715" i="1" s="1"/>
  <c r="AF715" i="1"/>
  <c r="A715" i="1"/>
  <c r="AP714" i="1"/>
  <c r="J714" i="1" s="1"/>
  <c r="AN714" i="1"/>
  <c r="AF714" i="1"/>
  <c r="A714" i="1"/>
  <c r="AP713" i="1"/>
  <c r="J713" i="1" s="1"/>
  <c r="AN713" i="1"/>
  <c r="K713" i="1" s="1"/>
  <c r="AF713" i="1"/>
  <c r="A713" i="1"/>
  <c r="AP712" i="1"/>
  <c r="J712" i="1" s="1"/>
  <c r="AN712" i="1"/>
  <c r="AH712" i="1" s="1"/>
  <c r="AF712" i="1"/>
  <c r="A712" i="1"/>
  <c r="AP711" i="1"/>
  <c r="J711" i="1" s="1"/>
  <c r="AN711" i="1"/>
  <c r="AI711" i="1" s="1"/>
  <c r="O711" i="1" s="1"/>
  <c r="AF711" i="1"/>
  <c r="A711" i="1"/>
  <c r="AP710" i="1"/>
  <c r="J710" i="1" s="1"/>
  <c r="AN710" i="1"/>
  <c r="AF710" i="1"/>
  <c r="A710" i="1"/>
  <c r="AP709" i="1"/>
  <c r="J709" i="1" s="1"/>
  <c r="AN709" i="1"/>
  <c r="AI709" i="1" s="1"/>
  <c r="O709" i="1" s="1"/>
  <c r="AF709" i="1"/>
  <c r="A709" i="1"/>
  <c r="AP708" i="1"/>
  <c r="J708" i="1" s="1"/>
  <c r="AN708" i="1"/>
  <c r="AH708" i="1" s="1"/>
  <c r="AF708" i="1"/>
  <c r="A708" i="1"/>
  <c r="AP707" i="1"/>
  <c r="J707" i="1" s="1"/>
  <c r="AN707" i="1"/>
  <c r="AI707" i="1" s="1"/>
  <c r="O707" i="1" s="1"/>
  <c r="AF707" i="1"/>
  <c r="A707" i="1"/>
  <c r="AP706" i="1"/>
  <c r="J706" i="1" s="1"/>
  <c r="AN706" i="1"/>
  <c r="AF706" i="1"/>
  <c r="A706" i="1"/>
  <c r="AP705" i="1"/>
  <c r="J705" i="1" s="1"/>
  <c r="AN705" i="1"/>
  <c r="AH705" i="1" s="1"/>
  <c r="AF705" i="1"/>
  <c r="A705" i="1"/>
  <c r="AP704" i="1"/>
  <c r="J704" i="1" s="1"/>
  <c r="AN704" i="1"/>
  <c r="AH704" i="1" s="1"/>
  <c r="AF704" i="1"/>
  <c r="A704" i="1"/>
  <c r="AP703" i="1"/>
  <c r="J703" i="1" s="1"/>
  <c r="AN703" i="1"/>
  <c r="AI703" i="1" s="1"/>
  <c r="O703" i="1" s="1"/>
  <c r="AF703" i="1"/>
  <c r="A703" i="1"/>
  <c r="AP702" i="1"/>
  <c r="J702" i="1" s="1"/>
  <c r="AN702" i="1"/>
  <c r="AF702" i="1"/>
  <c r="A702" i="1"/>
  <c r="AP701" i="1"/>
  <c r="J701" i="1" s="1"/>
  <c r="AN701" i="1"/>
  <c r="AF701" i="1"/>
  <c r="A701" i="1"/>
  <c r="AP700" i="1"/>
  <c r="J700" i="1" s="1"/>
  <c r="AN700" i="1"/>
  <c r="AF700" i="1"/>
  <c r="A700" i="1"/>
  <c r="AP699" i="1"/>
  <c r="J699" i="1" s="1"/>
  <c r="AN699" i="1"/>
  <c r="AI699" i="1" s="1"/>
  <c r="O699" i="1" s="1"/>
  <c r="AF699" i="1"/>
  <c r="A699" i="1"/>
  <c r="AP698" i="1"/>
  <c r="J698" i="1" s="1"/>
  <c r="AN698" i="1"/>
  <c r="AH698" i="1" s="1"/>
  <c r="AF698" i="1"/>
  <c r="A698" i="1"/>
  <c r="AP697" i="1"/>
  <c r="J697" i="1" s="1"/>
  <c r="AN697" i="1"/>
  <c r="AF697" i="1"/>
  <c r="A697" i="1"/>
  <c r="AP696" i="1"/>
  <c r="J696" i="1" s="1"/>
  <c r="AN696" i="1"/>
  <c r="AF696" i="1"/>
  <c r="A696" i="1"/>
  <c r="AP695" i="1"/>
  <c r="J695" i="1" s="1"/>
  <c r="AN695" i="1"/>
  <c r="AF695" i="1"/>
  <c r="A695" i="1"/>
  <c r="AP694" i="1"/>
  <c r="J694" i="1" s="1"/>
  <c r="AN694" i="1"/>
  <c r="K694" i="1" s="1"/>
  <c r="AF694" i="1"/>
  <c r="A694" i="1"/>
  <c r="AP693" i="1"/>
  <c r="J693" i="1" s="1"/>
  <c r="AN693" i="1"/>
  <c r="AH693" i="1" s="1"/>
  <c r="AL693" i="1" s="1"/>
  <c r="AF693" i="1"/>
  <c r="A693" i="1"/>
  <c r="AP692" i="1"/>
  <c r="J692" i="1" s="1"/>
  <c r="AN692" i="1"/>
  <c r="AF692" i="1"/>
  <c r="A692" i="1"/>
  <c r="AP691" i="1"/>
  <c r="J691" i="1" s="1"/>
  <c r="AN691" i="1"/>
  <c r="AF691" i="1"/>
  <c r="A691" i="1"/>
  <c r="AP690" i="1"/>
  <c r="J690" i="1" s="1"/>
  <c r="AN690" i="1"/>
  <c r="AF690" i="1"/>
  <c r="A690" i="1"/>
  <c r="AP689" i="1"/>
  <c r="J689" i="1" s="1"/>
  <c r="AN689" i="1"/>
  <c r="AH689" i="1" s="1"/>
  <c r="AF689" i="1"/>
  <c r="A689" i="1"/>
  <c r="AP688" i="1"/>
  <c r="J688" i="1" s="1"/>
  <c r="AN688" i="1"/>
  <c r="AH688" i="1" s="1"/>
  <c r="AF688" i="1"/>
  <c r="A688" i="1"/>
  <c r="AP687" i="1"/>
  <c r="J687" i="1" s="1"/>
  <c r="AN687" i="1"/>
  <c r="AI687" i="1" s="1"/>
  <c r="O687" i="1" s="1"/>
  <c r="AF687" i="1"/>
  <c r="A687" i="1"/>
  <c r="AP686" i="1"/>
  <c r="J686" i="1" s="1"/>
  <c r="AN686" i="1"/>
  <c r="AF686" i="1"/>
  <c r="A686" i="1"/>
  <c r="AP685" i="1"/>
  <c r="J685" i="1" s="1"/>
  <c r="AN685" i="1"/>
  <c r="AI685" i="1" s="1"/>
  <c r="O685" i="1" s="1"/>
  <c r="AF685" i="1"/>
  <c r="A685" i="1"/>
  <c r="AP684" i="1"/>
  <c r="J684" i="1" s="1"/>
  <c r="AN684" i="1"/>
  <c r="K684" i="1" s="1"/>
  <c r="AF684" i="1"/>
  <c r="A684" i="1"/>
  <c r="AP683" i="1"/>
  <c r="J683" i="1" s="1"/>
  <c r="AN683" i="1"/>
  <c r="AF683" i="1"/>
  <c r="A683" i="1"/>
  <c r="AP682" i="1"/>
  <c r="J682" i="1" s="1"/>
  <c r="AN682" i="1"/>
  <c r="AI682" i="1" s="1"/>
  <c r="O682" i="1" s="1"/>
  <c r="AF682" i="1"/>
  <c r="A682" i="1"/>
  <c r="AP681" i="1"/>
  <c r="J681" i="1" s="1"/>
  <c r="AN681" i="1"/>
  <c r="AH681" i="1" s="1"/>
  <c r="AF681" i="1"/>
  <c r="A681" i="1"/>
  <c r="AP680" i="1"/>
  <c r="J680" i="1" s="1"/>
  <c r="AN680" i="1"/>
  <c r="K680" i="1" s="1"/>
  <c r="AF680" i="1"/>
  <c r="A680" i="1"/>
  <c r="AP679" i="1"/>
  <c r="J679" i="1" s="1"/>
  <c r="AN679" i="1"/>
  <c r="AI679" i="1" s="1"/>
  <c r="O679" i="1" s="1"/>
  <c r="AF679" i="1"/>
  <c r="A679" i="1"/>
  <c r="AP678" i="1"/>
  <c r="J678" i="1" s="1"/>
  <c r="AN678" i="1"/>
  <c r="AI678" i="1" s="1"/>
  <c r="O678" i="1" s="1"/>
  <c r="AF678" i="1"/>
  <c r="A678" i="1"/>
  <c r="AP677" i="1"/>
  <c r="J677" i="1" s="1"/>
  <c r="AN677" i="1"/>
  <c r="AH677" i="1" s="1"/>
  <c r="AF677" i="1"/>
  <c r="A677" i="1"/>
  <c r="AP676" i="1"/>
  <c r="J676" i="1" s="1"/>
  <c r="AN676" i="1"/>
  <c r="K676" i="1" s="1"/>
  <c r="AF676" i="1"/>
  <c r="A676" i="1"/>
  <c r="AP675" i="1"/>
  <c r="J675" i="1" s="1"/>
  <c r="AN675" i="1"/>
  <c r="AI675" i="1" s="1"/>
  <c r="O675" i="1" s="1"/>
  <c r="AF675" i="1"/>
  <c r="A675" i="1"/>
  <c r="AP674" i="1"/>
  <c r="J674" i="1" s="1"/>
  <c r="AN674" i="1"/>
  <c r="AI674" i="1" s="1"/>
  <c r="O674" i="1" s="1"/>
  <c r="AF674" i="1"/>
  <c r="A674" i="1"/>
  <c r="AP673" i="1"/>
  <c r="J673" i="1" s="1"/>
  <c r="AN673" i="1"/>
  <c r="AH673" i="1" s="1"/>
  <c r="AF673" i="1"/>
  <c r="A673" i="1"/>
  <c r="AP672" i="1"/>
  <c r="J672" i="1" s="1"/>
  <c r="AN672" i="1"/>
  <c r="K672" i="1" s="1"/>
  <c r="AF672" i="1"/>
  <c r="A672" i="1"/>
  <c r="AP671" i="1"/>
  <c r="J671" i="1" s="1"/>
  <c r="AN671" i="1"/>
  <c r="AI671" i="1" s="1"/>
  <c r="O671" i="1" s="1"/>
  <c r="AF671" i="1"/>
  <c r="A671" i="1"/>
  <c r="AP670" i="1"/>
  <c r="J670" i="1" s="1"/>
  <c r="AN670" i="1"/>
  <c r="AF670" i="1"/>
  <c r="A670" i="1"/>
  <c r="AP669" i="1"/>
  <c r="J669" i="1" s="1"/>
  <c r="AN669" i="1"/>
  <c r="AF669" i="1"/>
  <c r="A669" i="1"/>
  <c r="AP668" i="1"/>
  <c r="J668" i="1" s="1"/>
  <c r="AN668" i="1"/>
  <c r="AH668" i="1" s="1"/>
  <c r="AF668" i="1"/>
  <c r="A668" i="1"/>
  <c r="AP667" i="1"/>
  <c r="J667" i="1" s="1"/>
  <c r="AN667" i="1"/>
  <c r="K667" i="1" s="1"/>
  <c r="AF667" i="1"/>
  <c r="A667" i="1"/>
  <c r="AP666" i="1"/>
  <c r="J666" i="1" s="1"/>
  <c r="AN666" i="1"/>
  <c r="AI666" i="1" s="1"/>
  <c r="O666" i="1" s="1"/>
  <c r="AF666" i="1"/>
  <c r="A666" i="1"/>
  <c r="AP665" i="1"/>
  <c r="J665" i="1" s="1"/>
  <c r="AN665" i="1"/>
  <c r="AF665" i="1"/>
  <c r="A665" i="1"/>
  <c r="AP664" i="1"/>
  <c r="J664" i="1" s="1"/>
  <c r="AN664" i="1"/>
  <c r="AH664" i="1" s="1"/>
  <c r="AF664" i="1"/>
  <c r="A664" i="1"/>
  <c r="AP663" i="1"/>
  <c r="J663" i="1" s="1"/>
  <c r="AN663" i="1"/>
  <c r="K663" i="1" s="1"/>
  <c r="AF663" i="1"/>
  <c r="A663" i="1"/>
  <c r="AP662" i="1"/>
  <c r="J662" i="1" s="1"/>
  <c r="AN662" i="1"/>
  <c r="AI662" i="1" s="1"/>
  <c r="O662" i="1" s="1"/>
  <c r="AF662" i="1"/>
  <c r="A662" i="1"/>
  <c r="AP661" i="1"/>
  <c r="J661" i="1" s="1"/>
  <c r="AN661" i="1"/>
  <c r="AI661" i="1" s="1"/>
  <c r="O661" i="1" s="1"/>
  <c r="AF661" i="1"/>
  <c r="A661" i="1"/>
  <c r="AP660" i="1"/>
  <c r="J660" i="1" s="1"/>
  <c r="AN660" i="1"/>
  <c r="AF660" i="1"/>
  <c r="A660" i="1"/>
  <c r="AP659" i="1"/>
  <c r="J659" i="1" s="1"/>
  <c r="AN659" i="1"/>
  <c r="AH659" i="1" s="1"/>
  <c r="AL659" i="1" s="1"/>
  <c r="AF659" i="1"/>
  <c r="A659" i="1"/>
  <c r="AP658" i="1"/>
  <c r="J658" i="1" s="1"/>
  <c r="AN658" i="1"/>
  <c r="AI658" i="1" s="1"/>
  <c r="O658" i="1" s="1"/>
  <c r="AF658" i="1"/>
  <c r="A658" i="1"/>
  <c r="AP657" i="1"/>
  <c r="J657" i="1" s="1"/>
  <c r="AN657" i="1"/>
  <c r="AI657" i="1" s="1"/>
  <c r="O657" i="1" s="1"/>
  <c r="AF657" i="1"/>
  <c r="A657" i="1"/>
  <c r="AP656" i="1"/>
  <c r="J656" i="1" s="1"/>
  <c r="AN656" i="1"/>
  <c r="AH656" i="1" s="1"/>
  <c r="AF656" i="1"/>
  <c r="A656" i="1"/>
  <c r="AP655" i="1"/>
  <c r="J655" i="1" s="1"/>
  <c r="AN655" i="1"/>
  <c r="AF655" i="1"/>
  <c r="A655" i="1"/>
  <c r="AP654" i="1"/>
  <c r="J654" i="1" s="1"/>
  <c r="AN654" i="1"/>
  <c r="AF654" i="1"/>
  <c r="A654" i="1"/>
  <c r="AP653" i="1"/>
  <c r="J653" i="1" s="1"/>
  <c r="AN653" i="1"/>
  <c r="AF653" i="1"/>
  <c r="A653" i="1"/>
  <c r="AP652" i="1"/>
  <c r="J652" i="1" s="1"/>
  <c r="AN652" i="1"/>
  <c r="AI652" i="1" s="1"/>
  <c r="O652" i="1" s="1"/>
  <c r="AF652" i="1"/>
  <c r="A652" i="1"/>
  <c r="AP651" i="1"/>
  <c r="J651" i="1" s="1"/>
  <c r="AN651" i="1"/>
  <c r="AH651" i="1" s="1"/>
  <c r="AL651" i="1" s="1"/>
  <c r="AF651" i="1"/>
  <c r="A651" i="1"/>
  <c r="AP650" i="1"/>
  <c r="J650" i="1" s="1"/>
  <c r="AN650" i="1"/>
  <c r="K650" i="1" s="1"/>
  <c r="AF650" i="1"/>
  <c r="A650" i="1"/>
  <c r="AP649" i="1"/>
  <c r="J649" i="1" s="1"/>
  <c r="AN649" i="1"/>
  <c r="AF649" i="1"/>
  <c r="A649" i="1"/>
  <c r="AP648" i="1"/>
  <c r="J648" i="1" s="1"/>
  <c r="AN648" i="1"/>
  <c r="AI648" i="1" s="1"/>
  <c r="O648" i="1" s="1"/>
  <c r="AF648" i="1"/>
  <c r="A648" i="1"/>
  <c r="AP647" i="1"/>
  <c r="J647" i="1" s="1"/>
  <c r="AN647" i="1"/>
  <c r="AI647" i="1" s="1"/>
  <c r="O647" i="1" s="1"/>
  <c r="AF647" i="1"/>
  <c r="A647" i="1"/>
  <c r="AP646" i="1"/>
  <c r="J646" i="1" s="1"/>
  <c r="AN646" i="1"/>
  <c r="AH646" i="1" s="1"/>
  <c r="AF646" i="1"/>
  <c r="A646" i="1"/>
  <c r="AP645" i="1"/>
  <c r="J645" i="1" s="1"/>
  <c r="AN645" i="1"/>
  <c r="AI645" i="1" s="1"/>
  <c r="O645" i="1" s="1"/>
  <c r="AF645" i="1"/>
  <c r="A645" i="1"/>
  <c r="AP644" i="1"/>
  <c r="J644" i="1" s="1"/>
  <c r="AN644" i="1"/>
  <c r="AF644" i="1"/>
  <c r="A644" i="1"/>
  <c r="AP643" i="1"/>
  <c r="J643" i="1" s="1"/>
  <c r="AN643" i="1"/>
  <c r="AI643" i="1" s="1"/>
  <c r="O643" i="1" s="1"/>
  <c r="AF643" i="1"/>
  <c r="A643" i="1"/>
  <c r="AP642" i="1"/>
  <c r="J642" i="1" s="1"/>
  <c r="AN642" i="1"/>
  <c r="AH642" i="1" s="1"/>
  <c r="AF642" i="1"/>
  <c r="A642" i="1"/>
  <c r="AP641" i="1"/>
  <c r="J641" i="1" s="1"/>
  <c r="AN641" i="1"/>
  <c r="AI641" i="1" s="1"/>
  <c r="O641" i="1" s="1"/>
  <c r="AF641" i="1"/>
  <c r="A641" i="1"/>
  <c r="AP640" i="1"/>
  <c r="J640" i="1" s="1"/>
  <c r="AN640" i="1"/>
  <c r="AH640" i="1" s="1"/>
  <c r="AL640" i="1" s="1"/>
  <c r="AF640" i="1"/>
  <c r="A640" i="1"/>
  <c r="AP639" i="1"/>
  <c r="J639" i="1" s="1"/>
  <c r="AN639" i="1"/>
  <c r="AF639" i="1"/>
  <c r="A639" i="1"/>
  <c r="AP638" i="1"/>
  <c r="J638" i="1" s="1"/>
  <c r="AN638" i="1"/>
  <c r="AH638" i="1" s="1"/>
  <c r="AF638" i="1"/>
  <c r="A638" i="1"/>
  <c r="AP637" i="1"/>
  <c r="J637" i="1" s="1"/>
  <c r="AN637" i="1"/>
  <c r="AI637" i="1" s="1"/>
  <c r="O637" i="1" s="1"/>
  <c r="AF637" i="1"/>
  <c r="A637" i="1"/>
  <c r="AP636" i="1"/>
  <c r="J636" i="1" s="1"/>
  <c r="AN636" i="1"/>
  <c r="AH636" i="1" s="1"/>
  <c r="AF636" i="1"/>
  <c r="A636" i="1"/>
  <c r="AP635" i="1"/>
  <c r="J635" i="1" s="1"/>
  <c r="AN635" i="1"/>
  <c r="AH635" i="1" s="1"/>
  <c r="AL635" i="1" s="1"/>
  <c r="AF635" i="1"/>
  <c r="A635" i="1"/>
  <c r="AP634" i="1"/>
  <c r="J634" i="1" s="1"/>
  <c r="AN634" i="1"/>
  <c r="AF634" i="1"/>
  <c r="A634" i="1"/>
  <c r="AP633" i="1"/>
  <c r="J633" i="1" s="1"/>
  <c r="AN633" i="1"/>
  <c r="AF633" i="1"/>
  <c r="A633" i="1"/>
  <c r="AP632" i="1"/>
  <c r="J632" i="1" s="1"/>
  <c r="AN632" i="1"/>
  <c r="AH632" i="1" s="1"/>
  <c r="AL632" i="1" s="1"/>
  <c r="AF632" i="1"/>
  <c r="A632" i="1"/>
  <c r="AP631" i="1"/>
  <c r="J631" i="1" s="1"/>
  <c r="AN631" i="1"/>
  <c r="AI631" i="1" s="1"/>
  <c r="O631" i="1" s="1"/>
  <c r="AF631" i="1"/>
  <c r="A631" i="1"/>
  <c r="AP630" i="1"/>
  <c r="J630" i="1" s="1"/>
  <c r="AN630" i="1"/>
  <c r="AH630" i="1" s="1"/>
  <c r="AF630" i="1"/>
  <c r="A630" i="1"/>
  <c r="AP629" i="1"/>
  <c r="J629" i="1" s="1"/>
  <c r="AN629" i="1"/>
  <c r="AI629" i="1" s="1"/>
  <c r="O629" i="1" s="1"/>
  <c r="AF629" i="1"/>
  <c r="A629" i="1"/>
  <c r="AP628" i="1"/>
  <c r="J628" i="1" s="1"/>
  <c r="AN628" i="1"/>
  <c r="AF628" i="1"/>
  <c r="A628" i="1"/>
  <c r="AP627" i="1"/>
  <c r="J627" i="1" s="1"/>
  <c r="AN627" i="1"/>
  <c r="AI627" i="1" s="1"/>
  <c r="O627" i="1" s="1"/>
  <c r="AF627" i="1"/>
  <c r="A627" i="1"/>
  <c r="AP626" i="1"/>
  <c r="J626" i="1" s="1"/>
  <c r="AN626" i="1"/>
  <c r="AH626" i="1" s="1"/>
  <c r="AF626" i="1"/>
  <c r="A626" i="1"/>
  <c r="AP625" i="1"/>
  <c r="J625" i="1" s="1"/>
  <c r="AN625" i="1"/>
  <c r="AI625" i="1" s="1"/>
  <c r="O625" i="1" s="1"/>
  <c r="AF625" i="1"/>
  <c r="A625" i="1"/>
  <c r="AP624" i="1"/>
  <c r="J624" i="1" s="1"/>
  <c r="AN624" i="1"/>
  <c r="AH624" i="1" s="1"/>
  <c r="AL624" i="1" s="1"/>
  <c r="AF624" i="1"/>
  <c r="A624" i="1"/>
  <c r="AP623" i="1"/>
  <c r="J623" i="1" s="1"/>
  <c r="AN623" i="1"/>
  <c r="AF623" i="1"/>
  <c r="A623" i="1"/>
  <c r="AP622" i="1"/>
  <c r="J622" i="1" s="1"/>
  <c r="AN622" i="1"/>
  <c r="AH622" i="1" s="1"/>
  <c r="AF622" i="1"/>
  <c r="A622" i="1"/>
  <c r="AP621" i="1"/>
  <c r="J621" i="1" s="1"/>
  <c r="AN621" i="1"/>
  <c r="AI621" i="1" s="1"/>
  <c r="O621" i="1" s="1"/>
  <c r="AF621" i="1"/>
  <c r="A621" i="1"/>
  <c r="AP620" i="1"/>
  <c r="J620" i="1" s="1"/>
  <c r="AN620" i="1"/>
  <c r="AH620" i="1" s="1"/>
  <c r="AF620" i="1"/>
  <c r="A620" i="1"/>
  <c r="AP619" i="1"/>
  <c r="J619" i="1" s="1"/>
  <c r="AN619" i="1"/>
  <c r="AF619" i="1"/>
  <c r="A619" i="1"/>
  <c r="AP618" i="1"/>
  <c r="J618" i="1" s="1"/>
  <c r="AN618" i="1"/>
  <c r="K618" i="1" s="1"/>
  <c r="AF618" i="1"/>
  <c r="A618" i="1"/>
  <c r="AP617" i="1"/>
  <c r="J617" i="1" s="1"/>
  <c r="AN617" i="1"/>
  <c r="AF617" i="1"/>
  <c r="A617" i="1"/>
  <c r="AP616" i="1"/>
  <c r="J616" i="1" s="1"/>
  <c r="AN616" i="1"/>
  <c r="AH616" i="1" s="1"/>
  <c r="AL616" i="1" s="1"/>
  <c r="AF616" i="1"/>
  <c r="A616" i="1"/>
  <c r="AP615" i="1"/>
  <c r="J615" i="1" s="1"/>
  <c r="AN615" i="1"/>
  <c r="AI615" i="1" s="1"/>
  <c r="O615" i="1" s="1"/>
  <c r="AF615" i="1"/>
  <c r="A615" i="1"/>
  <c r="AP614" i="1"/>
  <c r="J614" i="1" s="1"/>
  <c r="AN614" i="1"/>
  <c r="AF614" i="1"/>
  <c r="A614" i="1"/>
  <c r="AP613" i="1"/>
  <c r="J613" i="1" s="1"/>
  <c r="AN613" i="1"/>
  <c r="K613" i="1" s="1"/>
  <c r="AF613" i="1"/>
  <c r="A613" i="1"/>
  <c r="AP612" i="1"/>
  <c r="J612" i="1" s="1"/>
  <c r="AN612" i="1"/>
  <c r="AH612" i="1" s="1"/>
  <c r="AL612" i="1" s="1"/>
  <c r="AF612" i="1"/>
  <c r="A612" i="1"/>
  <c r="AP611" i="1"/>
  <c r="J611" i="1" s="1"/>
  <c r="AN611" i="1"/>
  <c r="AF611" i="1"/>
  <c r="A611" i="1"/>
  <c r="AP610" i="1"/>
  <c r="J610" i="1" s="1"/>
  <c r="AN610" i="1"/>
  <c r="AF610" i="1"/>
  <c r="A610" i="1"/>
  <c r="AP609" i="1"/>
  <c r="J609" i="1" s="1"/>
  <c r="AN609" i="1"/>
  <c r="K609" i="1" s="1"/>
  <c r="AF609" i="1"/>
  <c r="A609" i="1"/>
  <c r="AP608" i="1"/>
  <c r="J608" i="1" s="1"/>
  <c r="AN608" i="1"/>
  <c r="AF608" i="1"/>
  <c r="A608" i="1"/>
  <c r="AP607" i="1"/>
  <c r="J607" i="1" s="1"/>
  <c r="AN607" i="1"/>
  <c r="AH607" i="1" s="1"/>
  <c r="AF607" i="1"/>
  <c r="A607" i="1"/>
  <c r="AP606" i="1"/>
  <c r="J606" i="1" s="1"/>
  <c r="AN606" i="1"/>
  <c r="AH606" i="1" s="1"/>
  <c r="AF606" i="1"/>
  <c r="A606" i="1"/>
  <c r="AP605" i="1"/>
  <c r="J605" i="1" s="1"/>
  <c r="AN605" i="1"/>
  <c r="AI605" i="1" s="1"/>
  <c r="O605" i="1" s="1"/>
  <c r="AF605" i="1"/>
  <c r="A605" i="1"/>
  <c r="AP604" i="1"/>
  <c r="J604" i="1" s="1"/>
  <c r="AN604" i="1"/>
  <c r="AH604" i="1" s="1"/>
  <c r="AF604" i="1"/>
  <c r="A604" i="1"/>
  <c r="AP603" i="1"/>
  <c r="J603" i="1" s="1"/>
  <c r="AN603" i="1"/>
  <c r="AH603" i="1" s="1"/>
  <c r="N603" i="1" s="1"/>
  <c r="AF603" i="1"/>
  <c r="A603" i="1"/>
  <c r="AP602" i="1"/>
  <c r="J602" i="1" s="1"/>
  <c r="AN602" i="1"/>
  <c r="AH602" i="1" s="1"/>
  <c r="AF602" i="1"/>
  <c r="A602" i="1"/>
  <c r="AP601" i="1"/>
  <c r="J601" i="1" s="1"/>
  <c r="AN601" i="1"/>
  <c r="AI601" i="1" s="1"/>
  <c r="O601" i="1" s="1"/>
  <c r="AF601" i="1"/>
  <c r="A601" i="1"/>
  <c r="AP600" i="1"/>
  <c r="J600" i="1" s="1"/>
  <c r="AN600" i="1"/>
  <c r="AI600" i="1" s="1"/>
  <c r="O600" i="1" s="1"/>
  <c r="AF600" i="1"/>
  <c r="A600" i="1"/>
  <c r="AP599" i="1"/>
  <c r="J599" i="1" s="1"/>
  <c r="AN599" i="1"/>
  <c r="AF599" i="1"/>
  <c r="A599" i="1"/>
  <c r="AP598" i="1"/>
  <c r="J598" i="1" s="1"/>
  <c r="AN598" i="1"/>
  <c r="AI598" i="1" s="1"/>
  <c r="O598" i="1" s="1"/>
  <c r="AF598" i="1"/>
  <c r="A598" i="1"/>
  <c r="AP597" i="1"/>
  <c r="J597" i="1" s="1"/>
  <c r="AN597" i="1"/>
  <c r="AI597" i="1" s="1"/>
  <c r="O597" i="1" s="1"/>
  <c r="AF597" i="1"/>
  <c r="A597" i="1"/>
  <c r="AP596" i="1"/>
  <c r="J596" i="1" s="1"/>
  <c r="AN596" i="1"/>
  <c r="AI596" i="1" s="1"/>
  <c r="O596" i="1" s="1"/>
  <c r="AF596" i="1"/>
  <c r="A596" i="1"/>
  <c r="AP595" i="1"/>
  <c r="J595" i="1" s="1"/>
  <c r="AN595" i="1"/>
  <c r="AF595" i="1"/>
  <c r="A595" i="1"/>
  <c r="AP594" i="1"/>
  <c r="J594" i="1" s="1"/>
  <c r="AN594" i="1"/>
  <c r="AI594" i="1" s="1"/>
  <c r="O594" i="1" s="1"/>
  <c r="AF594" i="1"/>
  <c r="A594" i="1"/>
  <c r="AP593" i="1"/>
  <c r="J593" i="1" s="1"/>
  <c r="AN593" i="1"/>
  <c r="AI593" i="1" s="1"/>
  <c r="O593" i="1" s="1"/>
  <c r="AF593" i="1"/>
  <c r="A593" i="1"/>
  <c r="AP592" i="1"/>
  <c r="J592" i="1" s="1"/>
  <c r="AN592" i="1"/>
  <c r="AI592" i="1" s="1"/>
  <c r="O592" i="1" s="1"/>
  <c r="AF592" i="1"/>
  <c r="A592" i="1"/>
  <c r="AP591" i="1"/>
  <c r="J591" i="1" s="1"/>
  <c r="AN591" i="1"/>
  <c r="AF591" i="1"/>
  <c r="A591" i="1"/>
  <c r="AP590" i="1"/>
  <c r="J590" i="1" s="1"/>
  <c r="AN590" i="1"/>
  <c r="AI590" i="1" s="1"/>
  <c r="O590" i="1" s="1"/>
  <c r="AF590" i="1"/>
  <c r="A590" i="1"/>
  <c r="AP589" i="1"/>
  <c r="J589" i="1" s="1"/>
  <c r="AN589" i="1"/>
  <c r="AI589" i="1" s="1"/>
  <c r="O589" i="1" s="1"/>
  <c r="AF589" i="1"/>
  <c r="A589" i="1"/>
  <c r="AP588" i="1"/>
  <c r="J588" i="1" s="1"/>
  <c r="AN588" i="1"/>
  <c r="AI588" i="1" s="1"/>
  <c r="O588" i="1" s="1"/>
  <c r="AF588" i="1"/>
  <c r="A588" i="1"/>
  <c r="AP587" i="1"/>
  <c r="J587" i="1" s="1"/>
  <c r="AN587" i="1"/>
  <c r="AF587" i="1"/>
  <c r="A587" i="1"/>
  <c r="AP586" i="1"/>
  <c r="J586" i="1" s="1"/>
  <c r="AN586" i="1"/>
  <c r="AI586" i="1" s="1"/>
  <c r="O586" i="1" s="1"/>
  <c r="AF586" i="1"/>
  <c r="A586" i="1"/>
  <c r="AP585" i="1"/>
  <c r="J585" i="1" s="1"/>
  <c r="AN585" i="1"/>
  <c r="AI585" i="1" s="1"/>
  <c r="O585" i="1" s="1"/>
  <c r="AF585" i="1"/>
  <c r="A585" i="1"/>
  <c r="AP584" i="1"/>
  <c r="J584" i="1" s="1"/>
  <c r="AN584" i="1"/>
  <c r="AH584" i="1" s="1"/>
  <c r="AF584" i="1"/>
  <c r="A584" i="1"/>
  <c r="AP583" i="1"/>
  <c r="J583" i="1" s="1"/>
  <c r="AN583" i="1"/>
  <c r="AF583" i="1"/>
  <c r="A583" i="1"/>
  <c r="AP582" i="1"/>
  <c r="J582" i="1" s="1"/>
  <c r="AN582" i="1"/>
  <c r="AI582" i="1" s="1"/>
  <c r="O582" i="1" s="1"/>
  <c r="AF582" i="1"/>
  <c r="A582" i="1"/>
  <c r="AP581" i="1"/>
  <c r="J581" i="1" s="1"/>
  <c r="AN581" i="1"/>
  <c r="AI581" i="1" s="1"/>
  <c r="O581" i="1" s="1"/>
  <c r="AF581" i="1"/>
  <c r="A581" i="1"/>
  <c r="AP580" i="1"/>
  <c r="J580" i="1" s="1"/>
  <c r="AN580" i="1"/>
  <c r="AH580" i="1" s="1"/>
  <c r="AF580" i="1"/>
  <c r="A580" i="1"/>
  <c r="AP579" i="1"/>
  <c r="J579" i="1" s="1"/>
  <c r="AN579" i="1"/>
  <c r="AF579" i="1"/>
  <c r="A579" i="1"/>
  <c r="AP578" i="1"/>
  <c r="J578" i="1" s="1"/>
  <c r="AN578" i="1"/>
  <c r="AI578" i="1" s="1"/>
  <c r="O578" i="1" s="1"/>
  <c r="AF578" i="1"/>
  <c r="A578" i="1"/>
  <c r="AP577" i="1"/>
  <c r="J577" i="1" s="1"/>
  <c r="AN577" i="1"/>
  <c r="AI577" i="1" s="1"/>
  <c r="O577" i="1" s="1"/>
  <c r="AF577" i="1"/>
  <c r="A577" i="1"/>
  <c r="AP576" i="1"/>
  <c r="J576" i="1" s="1"/>
  <c r="AN576" i="1"/>
  <c r="AI576" i="1" s="1"/>
  <c r="O576" i="1" s="1"/>
  <c r="AF576" i="1"/>
  <c r="A576" i="1"/>
  <c r="AP575" i="1"/>
  <c r="J575" i="1" s="1"/>
  <c r="AN575" i="1"/>
  <c r="AF575" i="1"/>
  <c r="A575" i="1"/>
  <c r="AP574" i="1"/>
  <c r="J574" i="1" s="1"/>
  <c r="AN574" i="1"/>
  <c r="AI574" i="1" s="1"/>
  <c r="O574" i="1" s="1"/>
  <c r="AF574" i="1"/>
  <c r="A574" i="1"/>
  <c r="AP573" i="1"/>
  <c r="J573" i="1" s="1"/>
  <c r="AN573" i="1"/>
  <c r="AH573" i="1" s="1"/>
  <c r="AL573" i="1" s="1"/>
  <c r="AF573" i="1"/>
  <c r="A573" i="1"/>
  <c r="AP572" i="1"/>
  <c r="J572" i="1" s="1"/>
  <c r="AN572" i="1"/>
  <c r="AF572" i="1"/>
  <c r="A572" i="1"/>
  <c r="AP571" i="1"/>
  <c r="J571" i="1" s="1"/>
  <c r="AN571" i="1"/>
  <c r="AF571" i="1"/>
  <c r="A571" i="1"/>
  <c r="AP570" i="1"/>
  <c r="J570" i="1" s="1"/>
  <c r="AN570" i="1"/>
  <c r="AI570" i="1" s="1"/>
  <c r="O570" i="1" s="1"/>
  <c r="AF570" i="1"/>
  <c r="A570" i="1"/>
  <c r="AP569" i="1"/>
  <c r="J569" i="1" s="1"/>
  <c r="AN569" i="1"/>
  <c r="AI569" i="1" s="1"/>
  <c r="O569" i="1" s="1"/>
  <c r="AF569" i="1"/>
  <c r="A569" i="1"/>
  <c r="AP568" i="1"/>
  <c r="J568" i="1" s="1"/>
  <c r="AN568" i="1"/>
  <c r="AH568" i="1" s="1"/>
  <c r="AF568" i="1"/>
  <c r="A568" i="1"/>
  <c r="AP567" i="1"/>
  <c r="J567" i="1" s="1"/>
  <c r="AN567" i="1"/>
  <c r="K567" i="1" s="1"/>
  <c r="AF567" i="1"/>
  <c r="A567" i="1"/>
  <c r="AP566" i="1"/>
  <c r="J566" i="1" s="1"/>
  <c r="AN566" i="1"/>
  <c r="AF566" i="1"/>
  <c r="A566" i="1"/>
  <c r="AP565" i="1"/>
  <c r="J565" i="1" s="1"/>
  <c r="AN565" i="1"/>
  <c r="AI565" i="1" s="1"/>
  <c r="O565" i="1" s="1"/>
  <c r="AF565" i="1"/>
  <c r="A565" i="1"/>
  <c r="AP564" i="1"/>
  <c r="J564" i="1" s="1"/>
  <c r="AN564" i="1"/>
  <c r="AF564" i="1"/>
  <c r="A564" i="1"/>
  <c r="AP563" i="1"/>
  <c r="J563" i="1" s="1"/>
  <c r="AN563" i="1"/>
  <c r="K563" i="1" s="1"/>
  <c r="AF563" i="1"/>
  <c r="A563" i="1"/>
  <c r="AP562" i="1"/>
  <c r="J562" i="1" s="1"/>
  <c r="AN562" i="1"/>
  <c r="AF562" i="1"/>
  <c r="A562" i="1"/>
  <c r="AP561" i="1"/>
  <c r="J561" i="1" s="1"/>
  <c r="AN561" i="1"/>
  <c r="AI561" i="1" s="1"/>
  <c r="O561" i="1" s="1"/>
  <c r="AF561" i="1"/>
  <c r="A561" i="1"/>
  <c r="AP560" i="1"/>
  <c r="J560" i="1" s="1"/>
  <c r="AN560" i="1"/>
  <c r="AH560" i="1" s="1"/>
  <c r="AF560" i="1"/>
  <c r="A560" i="1"/>
  <c r="AP559" i="1"/>
  <c r="J559" i="1" s="1"/>
  <c r="AN559" i="1"/>
  <c r="K559" i="1" s="1"/>
  <c r="AF559" i="1"/>
  <c r="A559" i="1"/>
  <c r="AP558" i="1"/>
  <c r="J558" i="1" s="1"/>
  <c r="AN558" i="1"/>
  <c r="AI558" i="1" s="1"/>
  <c r="O558" i="1" s="1"/>
  <c r="AF558" i="1"/>
  <c r="A558" i="1"/>
  <c r="AP557" i="1"/>
  <c r="J557" i="1" s="1"/>
  <c r="AN557" i="1"/>
  <c r="AH557" i="1" s="1"/>
  <c r="AF557" i="1"/>
  <c r="A557" i="1"/>
  <c r="AP556" i="1"/>
  <c r="J556" i="1" s="1"/>
  <c r="AN556" i="1"/>
  <c r="AF556" i="1"/>
  <c r="A556" i="1"/>
  <c r="AP555" i="1"/>
  <c r="J555" i="1" s="1"/>
  <c r="AN555" i="1"/>
  <c r="AI555" i="1" s="1"/>
  <c r="O555" i="1" s="1"/>
  <c r="AF555" i="1"/>
  <c r="A555" i="1"/>
  <c r="AP554" i="1"/>
  <c r="J554" i="1" s="1"/>
  <c r="AN554" i="1"/>
  <c r="AH554" i="1" s="1"/>
  <c r="AF554" i="1"/>
  <c r="A554" i="1"/>
  <c r="AP553" i="1"/>
  <c r="J553" i="1" s="1"/>
  <c r="AN553" i="1"/>
  <c r="AI553" i="1" s="1"/>
  <c r="O553" i="1" s="1"/>
  <c r="AF553" i="1"/>
  <c r="A553" i="1"/>
  <c r="AP552" i="1"/>
  <c r="J552" i="1" s="1"/>
  <c r="AN552" i="1"/>
  <c r="AF552" i="1"/>
  <c r="A552" i="1"/>
  <c r="AP551" i="1"/>
  <c r="J551" i="1" s="1"/>
  <c r="AN551" i="1"/>
  <c r="AH551" i="1" s="1"/>
  <c r="AL551" i="1" s="1"/>
  <c r="AF551" i="1"/>
  <c r="A551" i="1"/>
  <c r="AP550" i="1"/>
  <c r="J550" i="1" s="1"/>
  <c r="AN550" i="1"/>
  <c r="AH550" i="1" s="1"/>
  <c r="AF550" i="1"/>
  <c r="A550" i="1"/>
  <c r="AP549" i="1"/>
  <c r="J549" i="1" s="1"/>
  <c r="AN549" i="1"/>
  <c r="AI549" i="1" s="1"/>
  <c r="O549" i="1" s="1"/>
  <c r="AF549" i="1"/>
  <c r="A549" i="1"/>
  <c r="AP548" i="1"/>
  <c r="J548" i="1" s="1"/>
  <c r="AN548" i="1"/>
  <c r="AH548" i="1" s="1"/>
  <c r="AF548" i="1"/>
  <c r="A548" i="1"/>
  <c r="AP547" i="1"/>
  <c r="J547" i="1" s="1"/>
  <c r="AN547" i="1"/>
  <c r="AF547" i="1"/>
  <c r="A547" i="1"/>
  <c r="AP546" i="1"/>
  <c r="J546" i="1" s="1"/>
  <c r="AN546" i="1"/>
  <c r="AI546" i="1" s="1"/>
  <c r="O546" i="1" s="1"/>
  <c r="AF546" i="1"/>
  <c r="A546" i="1"/>
  <c r="AP545" i="1"/>
  <c r="J545" i="1" s="1"/>
  <c r="AN545" i="1"/>
  <c r="AF545" i="1"/>
  <c r="A545" i="1"/>
  <c r="AP544" i="1"/>
  <c r="J544" i="1" s="1"/>
  <c r="AN544" i="1"/>
  <c r="AF544" i="1"/>
  <c r="A544" i="1"/>
  <c r="AP543" i="1"/>
  <c r="J543" i="1" s="1"/>
  <c r="AN543" i="1"/>
  <c r="AI543" i="1" s="1"/>
  <c r="O543" i="1" s="1"/>
  <c r="AF543" i="1"/>
  <c r="A543" i="1"/>
  <c r="AP542" i="1"/>
  <c r="J542" i="1" s="1"/>
  <c r="AN542" i="1"/>
  <c r="AF542" i="1"/>
  <c r="A542" i="1"/>
  <c r="AP541" i="1"/>
  <c r="J541" i="1" s="1"/>
  <c r="AN541" i="1"/>
  <c r="AI541" i="1" s="1"/>
  <c r="O541" i="1" s="1"/>
  <c r="AF541" i="1"/>
  <c r="A541" i="1"/>
  <c r="AP540" i="1"/>
  <c r="J540" i="1" s="1"/>
  <c r="AN540" i="1"/>
  <c r="AH540" i="1" s="1"/>
  <c r="AF540" i="1"/>
  <c r="A540" i="1"/>
  <c r="AP539" i="1"/>
  <c r="J539" i="1" s="1"/>
  <c r="AN539" i="1"/>
  <c r="AF539" i="1"/>
  <c r="A539" i="1"/>
  <c r="AP538" i="1"/>
  <c r="J538" i="1" s="1"/>
  <c r="AN538" i="1"/>
  <c r="AI538" i="1" s="1"/>
  <c r="O538" i="1" s="1"/>
  <c r="AF538" i="1"/>
  <c r="A538" i="1"/>
  <c r="AP537" i="1"/>
  <c r="J537" i="1" s="1"/>
  <c r="AN537" i="1"/>
  <c r="AF537" i="1"/>
  <c r="A537" i="1"/>
  <c r="AP536" i="1"/>
  <c r="J536" i="1" s="1"/>
  <c r="AN536" i="1"/>
  <c r="AF536" i="1"/>
  <c r="A536" i="1"/>
  <c r="AP535" i="1"/>
  <c r="J535" i="1" s="1"/>
  <c r="AN535" i="1"/>
  <c r="AI535" i="1" s="1"/>
  <c r="O535" i="1" s="1"/>
  <c r="AF535" i="1"/>
  <c r="A535" i="1"/>
  <c r="AP534" i="1"/>
  <c r="J534" i="1" s="1"/>
  <c r="AN534" i="1"/>
  <c r="AF534" i="1"/>
  <c r="A534" i="1"/>
  <c r="AP533" i="1"/>
  <c r="J533" i="1" s="1"/>
  <c r="AN533" i="1"/>
  <c r="AI533" i="1" s="1"/>
  <c r="O533" i="1" s="1"/>
  <c r="AF533" i="1"/>
  <c r="A533" i="1"/>
  <c r="AP532" i="1"/>
  <c r="J532" i="1" s="1"/>
  <c r="AN532" i="1"/>
  <c r="AH532" i="1" s="1"/>
  <c r="AF532" i="1"/>
  <c r="A532" i="1"/>
  <c r="AP531" i="1"/>
  <c r="J531" i="1" s="1"/>
  <c r="AN531" i="1"/>
  <c r="AF531" i="1"/>
  <c r="A531" i="1"/>
  <c r="AP530" i="1"/>
  <c r="J530" i="1" s="1"/>
  <c r="AN530" i="1"/>
  <c r="AI530" i="1" s="1"/>
  <c r="O530" i="1" s="1"/>
  <c r="AF530" i="1"/>
  <c r="A530" i="1"/>
  <c r="AP529" i="1"/>
  <c r="J529" i="1" s="1"/>
  <c r="AN529" i="1"/>
  <c r="AF529" i="1"/>
  <c r="A529" i="1"/>
  <c r="AP528" i="1"/>
  <c r="J528" i="1" s="1"/>
  <c r="AN528" i="1"/>
  <c r="AF528" i="1"/>
  <c r="A528" i="1"/>
  <c r="AP527" i="1"/>
  <c r="J527" i="1" s="1"/>
  <c r="AN527" i="1"/>
  <c r="AI527" i="1" s="1"/>
  <c r="O527" i="1" s="1"/>
  <c r="AF527" i="1"/>
  <c r="A527" i="1"/>
  <c r="AP526" i="1"/>
  <c r="J526" i="1" s="1"/>
  <c r="AN526" i="1"/>
  <c r="AF526" i="1"/>
  <c r="A526" i="1"/>
  <c r="AP525" i="1"/>
  <c r="J525" i="1" s="1"/>
  <c r="AN525" i="1"/>
  <c r="AI525" i="1" s="1"/>
  <c r="O525" i="1" s="1"/>
  <c r="AF525" i="1"/>
  <c r="A525" i="1"/>
  <c r="AP524" i="1"/>
  <c r="J524" i="1" s="1"/>
  <c r="AN524" i="1"/>
  <c r="AH524" i="1" s="1"/>
  <c r="AF524" i="1"/>
  <c r="A524" i="1"/>
  <c r="AP523" i="1"/>
  <c r="J523" i="1" s="1"/>
  <c r="AN523" i="1"/>
  <c r="AF523" i="1"/>
  <c r="A523" i="1"/>
  <c r="AP522" i="1"/>
  <c r="J522" i="1" s="1"/>
  <c r="AN522" i="1"/>
  <c r="AI522" i="1" s="1"/>
  <c r="O522" i="1" s="1"/>
  <c r="AF522" i="1"/>
  <c r="A522" i="1"/>
  <c r="AP521" i="1"/>
  <c r="J521" i="1" s="1"/>
  <c r="AN521" i="1"/>
  <c r="AF521" i="1"/>
  <c r="A521" i="1"/>
  <c r="AP520" i="1"/>
  <c r="J520" i="1" s="1"/>
  <c r="AN520" i="1"/>
  <c r="AF520" i="1"/>
  <c r="A520" i="1"/>
  <c r="AP519" i="1"/>
  <c r="J519" i="1" s="1"/>
  <c r="AN519" i="1"/>
  <c r="AI519" i="1" s="1"/>
  <c r="O519" i="1" s="1"/>
  <c r="AF519" i="1"/>
  <c r="A519" i="1"/>
  <c r="AP518" i="1"/>
  <c r="J518" i="1" s="1"/>
  <c r="AN518" i="1"/>
  <c r="AF518" i="1"/>
  <c r="A518" i="1"/>
  <c r="AP517" i="1"/>
  <c r="J517" i="1" s="1"/>
  <c r="AN517" i="1"/>
  <c r="AI517" i="1" s="1"/>
  <c r="O517" i="1" s="1"/>
  <c r="AF517" i="1"/>
  <c r="A517" i="1"/>
  <c r="AP516" i="1"/>
  <c r="J516" i="1" s="1"/>
  <c r="AN516" i="1"/>
  <c r="AH516" i="1" s="1"/>
  <c r="AF516" i="1"/>
  <c r="A516" i="1"/>
  <c r="AP515" i="1"/>
  <c r="J515" i="1" s="1"/>
  <c r="AN515" i="1"/>
  <c r="AF515" i="1"/>
  <c r="A515" i="1"/>
  <c r="AP514" i="1"/>
  <c r="J514" i="1" s="1"/>
  <c r="AN514" i="1"/>
  <c r="AI514" i="1" s="1"/>
  <c r="O514" i="1" s="1"/>
  <c r="AF514" i="1"/>
  <c r="A514" i="1"/>
  <c r="AP513" i="1"/>
  <c r="J513" i="1" s="1"/>
  <c r="AN513" i="1"/>
  <c r="AF513" i="1"/>
  <c r="A513" i="1"/>
  <c r="AP512" i="1"/>
  <c r="J512" i="1" s="1"/>
  <c r="AN512" i="1"/>
  <c r="AF512" i="1"/>
  <c r="A512" i="1"/>
  <c r="AP511" i="1"/>
  <c r="J511" i="1" s="1"/>
  <c r="AN511" i="1"/>
  <c r="AI511" i="1" s="1"/>
  <c r="O511" i="1" s="1"/>
  <c r="AF511" i="1"/>
  <c r="A511" i="1"/>
  <c r="AP510" i="1"/>
  <c r="J510" i="1" s="1"/>
  <c r="AN510" i="1"/>
  <c r="AF510" i="1"/>
  <c r="A510" i="1"/>
  <c r="AP509" i="1"/>
  <c r="J509" i="1" s="1"/>
  <c r="AN509" i="1"/>
  <c r="AI509" i="1" s="1"/>
  <c r="O509" i="1" s="1"/>
  <c r="AF509" i="1"/>
  <c r="A509" i="1"/>
  <c r="AP508" i="1"/>
  <c r="J508" i="1" s="1"/>
  <c r="AN508" i="1"/>
  <c r="AH508" i="1" s="1"/>
  <c r="AF508" i="1"/>
  <c r="A508" i="1"/>
  <c r="AP507" i="1"/>
  <c r="J507" i="1" s="1"/>
  <c r="AN507" i="1"/>
  <c r="AF507" i="1"/>
  <c r="A507" i="1"/>
  <c r="AP506" i="1"/>
  <c r="J506" i="1" s="1"/>
  <c r="AN506" i="1"/>
  <c r="AI506" i="1" s="1"/>
  <c r="O506" i="1" s="1"/>
  <c r="AF506" i="1"/>
  <c r="A506" i="1"/>
  <c r="AP505" i="1"/>
  <c r="J505" i="1" s="1"/>
  <c r="AN505" i="1"/>
  <c r="AF505" i="1"/>
  <c r="A505" i="1"/>
  <c r="AP504" i="1"/>
  <c r="J504" i="1" s="1"/>
  <c r="AN504" i="1"/>
  <c r="AF504" i="1"/>
  <c r="A504" i="1"/>
  <c r="AP503" i="1"/>
  <c r="J503" i="1" s="1"/>
  <c r="AN503" i="1"/>
  <c r="AI503" i="1" s="1"/>
  <c r="O503" i="1" s="1"/>
  <c r="AF503" i="1"/>
  <c r="A503" i="1"/>
  <c r="AP502" i="1"/>
  <c r="J502" i="1" s="1"/>
  <c r="AN502" i="1"/>
  <c r="AF502" i="1"/>
  <c r="A502" i="1"/>
  <c r="AP501" i="1"/>
  <c r="J501" i="1" s="1"/>
  <c r="AN501" i="1"/>
  <c r="AI501" i="1" s="1"/>
  <c r="O501" i="1" s="1"/>
  <c r="AF501" i="1"/>
  <c r="A501" i="1"/>
  <c r="AP500" i="1"/>
  <c r="J500" i="1" s="1"/>
  <c r="AN500" i="1"/>
  <c r="AH500" i="1" s="1"/>
  <c r="AF500" i="1"/>
  <c r="A500" i="1"/>
  <c r="AP499" i="1"/>
  <c r="J499" i="1" s="1"/>
  <c r="AN499" i="1"/>
  <c r="K499" i="1" s="1"/>
  <c r="AF499" i="1"/>
  <c r="A499" i="1"/>
  <c r="AP498" i="1"/>
  <c r="J498" i="1" s="1"/>
  <c r="AN498" i="1"/>
  <c r="K498" i="1" s="1"/>
  <c r="AF498" i="1"/>
  <c r="A498" i="1"/>
  <c r="AP497" i="1"/>
  <c r="J497" i="1" s="1"/>
  <c r="AN497" i="1"/>
  <c r="AI497" i="1" s="1"/>
  <c r="O497" i="1" s="1"/>
  <c r="AF497" i="1"/>
  <c r="A497" i="1"/>
  <c r="AP496" i="1"/>
  <c r="J496" i="1" s="1"/>
  <c r="AN496" i="1"/>
  <c r="AH496" i="1" s="1"/>
  <c r="AF496" i="1"/>
  <c r="A496" i="1"/>
  <c r="AP495" i="1"/>
  <c r="J495" i="1" s="1"/>
  <c r="AN495" i="1"/>
  <c r="AI495" i="1" s="1"/>
  <c r="O495" i="1" s="1"/>
  <c r="AF495" i="1"/>
  <c r="A495" i="1"/>
  <c r="AP494" i="1"/>
  <c r="J494" i="1" s="1"/>
  <c r="AN494" i="1"/>
  <c r="AF494" i="1"/>
  <c r="A494" i="1"/>
  <c r="AP493" i="1"/>
  <c r="J493" i="1" s="1"/>
  <c r="AN493" i="1"/>
  <c r="AI493" i="1" s="1"/>
  <c r="O493" i="1" s="1"/>
  <c r="AF493" i="1"/>
  <c r="A493" i="1"/>
  <c r="AP492" i="1"/>
  <c r="J492" i="1" s="1"/>
  <c r="AN492" i="1"/>
  <c r="AF492" i="1"/>
  <c r="A492" i="1"/>
  <c r="AP491" i="1"/>
  <c r="J491" i="1" s="1"/>
  <c r="AN491" i="1"/>
  <c r="AH491" i="1" s="1"/>
  <c r="AL491" i="1" s="1"/>
  <c r="AF491" i="1"/>
  <c r="A491" i="1"/>
  <c r="AP490" i="1"/>
  <c r="J490" i="1" s="1"/>
  <c r="AN490" i="1"/>
  <c r="AF490" i="1"/>
  <c r="A490" i="1"/>
  <c r="AP489" i="1"/>
  <c r="J489" i="1" s="1"/>
  <c r="AN489" i="1"/>
  <c r="K489" i="1" s="1"/>
  <c r="AF489" i="1"/>
  <c r="A489" i="1"/>
  <c r="AP488" i="1"/>
  <c r="J488" i="1" s="1"/>
  <c r="AN488" i="1"/>
  <c r="K488" i="1" s="1"/>
  <c r="AF488" i="1"/>
  <c r="A488" i="1"/>
  <c r="AP487" i="1"/>
  <c r="J487" i="1" s="1"/>
  <c r="AN487" i="1"/>
  <c r="AH487" i="1" s="1"/>
  <c r="AF487" i="1"/>
  <c r="A487" i="1"/>
  <c r="AP486" i="1"/>
  <c r="J486" i="1" s="1"/>
  <c r="AN486" i="1"/>
  <c r="AH486" i="1" s="1"/>
  <c r="AF486" i="1"/>
  <c r="A486" i="1"/>
  <c r="AP485" i="1"/>
  <c r="J485" i="1" s="1"/>
  <c r="AN485" i="1"/>
  <c r="AF485" i="1"/>
  <c r="A485" i="1"/>
  <c r="AP484" i="1"/>
  <c r="J484" i="1" s="1"/>
  <c r="AN484" i="1"/>
  <c r="AI484" i="1" s="1"/>
  <c r="O484" i="1" s="1"/>
  <c r="AF484" i="1"/>
  <c r="A484" i="1"/>
  <c r="AP483" i="1"/>
  <c r="J483" i="1" s="1"/>
  <c r="AN483" i="1"/>
  <c r="AH483" i="1" s="1"/>
  <c r="AF483" i="1"/>
  <c r="A483" i="1"/>
  <c r="AP482" i="1"/>
  <c r="J482" i="1" s="1"/>
  <c r="AN482" i="1"/>
  <c r="AF482" i="1"/>
  <c r="A482" i="1"/>
  <c r="AP481" i="1"/>
  <c r="J481" i="1" s="1"/>
  <c r="AN481" i="1"/>
  <c r="AI481" i="1" s="1"/>
  <c r="O481" i="1" s="1"/>
  <c r="AF481" i="1"/>
  <c r="A481" i="1"/>
  <c r="AP480" i="1"/>
  <c r="J480" i="1" s="1"/>
  <c r="AN480" i="1"/>
  <c r="AF480" i="1"/>
  <c r="A480" i="1"/>
  <c r="AP479" i="1"/>
  <c r="J479" i="1" s="1"/>
  <c r="AN479" i="1"/>
  <c r="AI479" i="1" s="1"/>
  <c r="O479" i="1" s="1"/>
  <c r="AF479" i="1"/>
  <c r="A479" i="1"/>
  <c r="AP478" i="1"/>
  <c r="J478" i="1" s="1"/>
  <c r="AN478" i="1"/>
  <c r="AH478" i="1" s="1"/>
  <c r="AF478" i="1"/>
  <c r="A478" i="1"/>
  <c r="AP477" i="1"/>
  <c r="J477" i="1" s="1"/>
  <c r="AN477" i="1"/>
  <c r="K477" i="1" s="1"/>
  <c r="AF477" i="1"/>
  <c r="A477" i="1"/>
  <c r="AP476" i="1"/>
  <c r="J476" i="1" s="1"/>
  <c r="AN476" i="1"/>
  <c r="AH476" i="1" s="1"/>
  <c r="AF476" i="1"/>
  <c r="A476" i="1"/>
  <c r="AP475" i="1"/>
  <c r="J475" i="1" s="1"/>
  <c r="AN475" i="1"/>
  <c r="AI475" i="1" s="1"/>
  <c r="O475" i="1" s="1"/>
  <c r="AF475" i="1"/>
  <c r="A475" i="1"/>
  <c r="AP474" i="1"/>
  <c r="J474" i="1" s="1"/>
  <c r="AN474" i="1"/>
  <c r="AI474" i="1" s="1"/>
  <c r="O474" i="1" s="1"/>
  <c r="AF474" i="1"/>
  <c r="A474" i="1"/>
  <c r="AP473" i="1"/>
  <c r="J473" i="1" s="1"/>
  <c r="AN473" i="1"/>
  <c r="AF473" i="1"/>
  <c r="A473" i="1"/>
  <c r="AP472" i="1"/>
  <c r="J472" i="1" s="1"/>
  <c r="AN472" i="1"/>
  <c r="AH472" i="1" s="1"/>
  <c r="AF472" i="1"/>
  <c r="A472" i="1"/>
  <c r="AP471" i="1"/>
  <c r="J471" i="1" s="1"/>
  <c r="AN471" i="1"/>
  <c r="K471" i="1" s="1"/>
  <c r="AF471" i="1"/>
  <c r="A471" i="1"/>
  <c r="AP470" i="1"/>
  <c r="J470" i="1" s="1"/>
  <c r="AN470" i="1"/>
  <c r="AF470" i="1"/>
  <c r="A470" i="1"/>
  <c r="AP469" i="1"/>
  <c r="J469" i="1" s="1"/>
  <c r="AN469" i="1"/>
  <c r="AI469" i="1" s="1"/>
  <c r="O469" i="1" s="1"/>
  <c r="AF469" i="1"/>
  <c r="A469" i="1"/>
  <c r="AP468" i="1"/>
  <c r="J468" i="1" s="1"/>
  <c r="AN468" i="1"/>
  <c r="AH468" i="1" s="1"/>
  <c r="AF468" i="1"/>
  <c r="A468" i="1"/>
  <c r="AP467" i="1"/>
  <c r="J467" i="1" s="1"/>
  <c r="AN467" i="1"/>
  <c r="K467" i="1" s="1"/>
  <c r="AF467" i="1"/>
  <c r="A467" i="1"/>
  <c r="AP466" i="1"/>
  <c r="J466" i="1" s="1"/>
  <c r="AN466" i="1"/>
  <c r="AF466" i="1"/>
  <c r="A466" i="1"/>
  <c r="AP465" i="1"/>
  <c r="J465" i="1" s="1"/>
  <c r="AN465" i="1"/>
  <c r="AI465" i="1" s="1"/>
  <c r="O465" i="1" s="1"/>
  <c r="AF465" i="1"/>
  <c r="A465" i="1"/>
  <c r="AP464" i="1"/>
  <c r="J464" i="1" s="1"/>
  <c r="AN464" i="1"/>
  <c r="AH464" i="1" s="1"/>
  <c r="AF464" i="1"/>
  <c r="A464" i="1"/>
  <c r="AP463" i="1"/>
  <c r="J463" i="1" s="1"/>
  <c r="AN463" i="1"/>
  <c r="K463" i="1" s="1"/>
  <c r="AF463" i="1"/>
  <c r="A463" i="1"/>
  <c r="AP462" i="1"/>
  <c r="J462" i="1" s="1"/>
  <c r="AN462" i="1"/>
  <c r="AF462" i="1"/>
  <c r="A462" i="1"/>
  <c r="AP461" i="1"/>
  <c r="J461" i="1" s="1"/>
  <c r="AN461" i="1"/>
  <c r="AI461" i="1" s="1"/>
  <c r="O461" i="1" s="1"/>
  <c r="AF461" i="1"/>
  <c r="A461" i="1"/>
  <c r="AP460" i="1"/>
  <c r="J460" i="1" s="1"/>
  <c r="AN460" i="1"/>
  <c r="AH460" i="1" s="1"/>
  <c r="AF460" i="1"/>
  <c r="A460" i="1"/>
  <c r="AP459" i="1"/>
  <c r="J459" i="1" s="1"/>
  <c r="AN459" i="1"/>
  <c r="K459" i="1" s="1"/>
  <c r="AF459" i="1"/>
  <c r="A459" i="1"/>
  <c r="AP458" i="1"/>
  <c r="J458" i="1" s="1"/>
  <c r="AN458" i="1"/>
  <c r="AF458" i="1"/>
  <c r="A458" i="1"/>
  <c r="AP457" i="1"/>
  <c r="J457" i="1" s="1"/>
  <c r="AN457" i="1"/>
  <c r="AH457" i="1" s="1"/>
  <c r="AF457" i="1"/>
  <c r="A457" i="1"/>
  <c r="AP456" i="1"/>
  <c r="J456" i="1" s="1"/>
  <c r="AN456" i="1"/>
  <c r="AH456" i="1" s="1"/>
  <c r="AF456" i="1"/>
  <c r="A456" i="1"/>
  <c r="AP455" i="1"/>
  <c r="J455" i="1" s="1"/>
  <c r="AN455" i="1"/>
  <c r="K455" i="1" s="1"/>
  <c r="AF455" i="1"/>
  <c r="A455" i="1"/>
  <c r="AP454" i="1"/>
  <c r="J454" i="1" s="1"/>
  <c r="AN454" i="1"/>
  <c r="AI454" i="1" s="1"/>
  <c r="O454" i="1" s="1"/>
  <c r="AF454" i="1"/>
  <c r="A454" i="1"/>
  <c r="AP453" i="1"/>
  <c r="J453" i="1" s="1"/>
  <c r="AN453" i="1"/>
  <c r="K453" i="1" s="1"/>
  <c r="AF453" i="1"/>
  <c r="A453" i="1"/>
  <c r="AP452" i="1"/>
  <c r="J452" i="1" s="1"/>
  <c r="AN452" i="1"/>
  <c r="AH452" i="1" s="1"/>
  <c r="AF452" i="1"/>
  <c r="A452" i="1"/>
  <c r="AP451" i="1"/>
  <c r="J451" i="1" s="1"/>
  <c r="AN451" i="1"/>
  <c r="K451" i="1" s="1"/>
  <c r="AF451" i="1"/>
  <c r="A451" i="1"/>
  <c r="AP450" i="1"/>
  <c r="J450" i="1" s="1"/>
  <c r="AN450" i="1"/>
  <c r="AI450" i="1" s="1"/>
  <c r="O450" i="1" s="1"/>
  <c r="AF450" i="1"/>
  <c r="A450" i="1"/>
  <c r="AP449" i="1"/>
  <c r="J449" i="1" s="1"/>
  <c r="AN449" i="1"/>
  <c r="AI449" i="1" s="1"/>
  <c r="O449" i="1" s="1"/>
  <c r="AF449" i="1"/>
  <c r="A449" i="1"/>
  <c r="AP448" i="1"/>
  <c r="J448" i="1" s="1"/>
  <c r="AN448" i="1"/>
  <c r="AH448" i="1" s="1"/>
  <c r="AF448" i="1"/>
  <c r="A448" i="1"/>
  <c r="AP447" i="1"/>
  <c r="J447" i="1" s="1"/>
  <c r="AN447" i="1"/>
  <c r="K447" i="1" s="1"/>
  <c r="AF447" i="1"/>
  <c r="A447" i="1"/>
  <c r="AP446" i="1"/>
  <c r="J446" i="1" s="1"/>
  <c r="AN446" i="1"/>
  <c r="AI446" i="1" s="1"/>
  <c r="O446" i="1" s="1"/>
  <c r="AF446" i="1"/>
  <c r="A446" i="1"/>
  <c r="AP445" i="1"/>
  <c r="J445" i="1" s="1"/>
  <c r="AN445" i="1"/>
  <c r="AH445" i="1" s="1"/>
  <c r="AF445" i="1"/>
  <c r="A445" i="1"/>
  <c r="AP444" i="1"/>
  <c r="J444" i="1" s="1"/>
  <c r="AN444" i="1"/>
  <c r="AH444" i="1" s="1"/>
  <c r="AF444" i="1"/>
  <c r="A444" i="1"/>
  <c r="AP443" i="1"/>
  <c r="J443" i="1" s="1"/>
  <c r="AN443" i="1"/>
  <c r="K443" i="1" s="1"/>
  <c r="AF443" i="1"/>
  <c r="A443" i="1"/>
  <c r="AP442" i="1"/>
  <c r="J442" i="1" s="1"/>
  <c r="AN442" i="1"/>
  <c r="AH442" i="1" s="1"/>
  <c r="AL442" i="1" s="1"/>
  <c r="AF442" i="1"/>
  <c r="A442" i="1"/>
  <c r="AP441" i="1"/>
  <c r="J441" i="1" s="1"/>
  <c r="AN441" i="1"/>
  <c r="AH441" i="1" s="1"/>
  <c r="AF441" i="1"/>
  <c r="A441" i="1"/>
  <c r="AP440" i="1"/>
  <c r="J440" i="1" s="1"/>
  <c r="AN440" i="1"/>
  <c r="AH440" i="1" s="1"/>
  <c r="AF440" i="1"/>
  <c r="A440" i="1"/>
  <c r="AP439" i="1"/>
  <c r="J439" i="1" s="1"/>
  <c r="AN439" i="1"/>
  <c r="K439" i="1" s="1"/>
  <c r="AF439" i="1"/>
  <c r="A439" i="1"/>
  <c r="AP438" i="1"/>
  <c r="J438" i="1" s="1"/>
  <c r="AN438" i="1"/>
  <c r="AH438" i="1" s="1"/>
  <c r="AL438" i="1" s="1"/>
  <c r="AF438" i="1"/>
  <c r="A438" i="1"/>
  <c r="AP437" i="1"/>
  <c r="J437" i="1" s="1"/>
  <c r="AN437" i="1"/>
  <c r="K437" i="1" s="1"/>
  <c r="AF437" i="1"/>
  <c r="A437" i="1"/>
  <c r="AP436" i="1"/>
  <c r="J436" i="1" s="1"/>
  <c r="AN436" i="1"/>
  <c r="AH436" i="1" s="1"/>
  <c r="AF436" i="1"/>
  <c r="A436" i="1"/>
  <c r="AP435" i="1"/>
  <c r="J435" i="1" s="1"/>
  <c r="AN435" i="1"/>
  <c r="K435" i="1" s="1"/>
  <c r="AF435" i="1"/>
  <c r="A435" i="1"/>
  <c r="BP502" i="1"/>
  <c r="A394" i="1"/>
  <c r="BP501" i="1"/>
  <c r="A393" i="1"/>
  <c r="BP500" i="1"/>
  <c r="A392" i="1"/>
  <c r="A391" i="1"/>
  <c r="BP498" i="1"/>
  <c r="A390" i="1"/>
  <c r="BP497" i="1"/>
  <c r="A389" i="1"/>
  <c r="BP496" i="1"/>
  <c r="A388" i="1"/>
  <c r="BP495" i="1"/>
  <c r="A387" i="1"/>
  <c r="BP494" i="1"/>
  <c r="A386" i="1"/>
  <c r="BP493" i="1"/>
  <c r="A385" i="1"/>
  <c r="A384" i="1"/>
  <c r="BP491" i="1"/>
  <c r="A383" i="1"/>
  <c r="BP490" i="1"/>
  <c r="A382" i="1"/>
  <c r="A381" i="1"/>
  <c r="BP488" i="1"/>
  <c r="A380" i="1"/>
  <c r="BP487" i="1"/>
  <c r="A379" i="1"/>
  <c r="BP486" i="1"/>
  <c r="A378" i="1"/>
  <c r="A377" i="1"/>
  <c r="BP484" i="1"/>
  <c r="A376" i="1"/>
  <c r="BP483" i="1"/>
  <c r="A375" i="1"/>
  <c r="BP482" i="1"/>
  <c r="A374" i="1"/>
  <c r="BP481" i="1"/>
  <c r="A373" i="1"/>
  <c r="BP480" i="1"/>
  <c r="A372" i="1"/>
  <c r="BP479" i="1"/>
  <c r="A371" i="1"/>
  <c r="A370" i="1"/>
  <c r="BP477" i="1"/>
  <c r="A369" i="1"/>
  <c r="BP476" i="1"/>
  <c r="A368" i="1"/>
  <c r="A367" i="1"/>
  <c r="BP474" i="1"/>
  <c r="A366" i="1"/>
  <c r="BP473" i="1"/>
  <c r="A365" i="1"/>
  <c r="BP472" i="1"/>
  <c r="A364" i="1"/>
  <c r="A363" i="1"/>
  <c r="BP470" i="1"/>
  <c r="A362" i="1"/>
  <c r="BP469" i="1"/>
  <c r="A361" i="1"/>
  <c r="BP468" i="1"/>
  <c r="A360" i="1"/>
  <c r="BP467" i="1"/>
  <c r="A359" i="1"/>
  <c r="BP466" i="1"/>
  <c r="A358" i="1"/>
  <c r="BP465" i="1"/>
  <c r="A357" i="1"/>
  <c r="A356" i="1"/>
  <c r="BP463" i="1"/>
  <c r="A355" i="1"/>
  <c r="BP462" i="1"/>
  <c r="A354" i="1"/>
  <c r="A353" i="1"/>
  <c r="BP460" i="1"/>
  <c r="A352" i="1"/>
  <c r="BP459" i="1"/>
  <c r="A351" i="1"/>
  <c r="BP458" i="1"/>
  <c r="A350" i="1"/>
  <c r="A349" i="1"/>
  <c r="BP456" i="1"/>
  <c r="A348" i="1"/>
  <c r="BP455" i="1"/>
  <c r="A347" i="1"/>
  <c r="BP454" i="1"/>
  <c r="A346" i="1"/>
  <c r="BP453" i="1"/>
  <c r="A345" i="1"/>
  <c r="BP452" i="1"/>
  <c r="A344" i="1"/>
  <c r="BP451" i="1"/>
  <c r="A343" i="1"/>
  <c r="A342" i="1"/>
  <c r="BP449" i="1"/>
  <c r="A341" i="1"/>
  <c r="BP448" i="1"/>
  <c r="A340" i="1"/>
  <c r="A339" i="1"/>
  <c r="BP446" i="1"/>
  <c r="A338" i="1"/>
  <c r="BP445" i="1"/>
  <c r="A337" i="1"/>
  <c r="BP444" i="1"/>
  <c r="A336" i="1"/>
  <c r="A335" i="1"/>
  <c r="BP442" i="1"/>
  <c r="A334" i="1"/>
  <c r="BP441" i="1"/>
  <c r="A333" i="1"/>
  <c r="BP440" i="1"/>
  <c r="A332" i="1"/>
  <c r="BP439" i="1"/>
  <c r="A331" i="1"/>
  <c r="BP438" i="1"/>
  <c r="A330" i="1"/>
  <c r="BP437" i="1"/>
  <c r="A329" i="1"/>
  <c r="A328" i="1"/>
  <c r="BP435" i="1"/>
  <c r="A327" i="1"/>
  <c r="BP434" i="1"/>
  <c r="A326" i="1"/>
  <c r="A325" i="1"/>
  <c r="BP432" i="1"/>
  <c r="A324" i="1"/>
  <c r="BP431" i="1"/>
  <c r="A323" i="1"/>
  <c r="BP430" i="1"/>
  <c r="A322" i="1"/>
  <c r="A321" i="1"/>
  <c r="BP428" i="1"/>
  <c r="A320" i="1"/>
  <c r="BP427" i="1"/>
  <c r="A319" i="1"/>
  <c r="BP426" i="1"/>
  <c r="A318" i="1"/>
  <c r="BP425" i="1"/>
  <c r="A317" i="1"/>
  <c r="BP424" i="1"/>
  <c r="A316" i="1"/>
  <c r="BP423" i="1"/>
  <c r="A315" i="1"/>
  <c r="A314" i="1"/>
  <c r="BP421" i="1"/>
  <c r="A313" i="1"/>
  <c r="BP420" i="1"/>
  <c r="A312" i="1"/>
  <c r="A311" i="1"/>
  <c r="BP418" i="1"/>
  <c r="A310" i="1"/>
  <c r="BP417" i="1"/>
  <c r="A309" i="1"/>
  <c r="BP416" i="1"/>
  <c r="A308" i="1"/>
  <c r="A307" i="1"/>
  <c r="BP414" i="1"/>
  <c r="A306" i="1"/>
  <c r="BP413" i="1"/>
  <c r="A305" i="1"/>
  <c r="BP412" i="1"/>
  <c r="A304" i="1"/>
  <c r="BP411" i="1"/>
  <c r="A303" i="1"/>
  <c r="BP410" i="1"/>
  <c r="A302" i="1"/>
  <c r="BP409" i="1"/>
  <c r="A301" i="1"/>
  <c r="A300" i="1"/>
  <c r="BP407" i="1"/>
  <c r="A299" i="1"/>
  <c r="BP406" i="1"/>
  <c r="A298" i="1"/>
  <c r="A297" i="1"/>
  <c r="BP404" i="1"/>
  <c r="A296" i="1"/>
  <c r="BP403" i="1"/>
  <c r="A295" i="1"/>
  <c r="BP402" i="1"/>
  <c r="A294" i="1"/>
  <c r="A293" i="1"/>
  <c r="BP400" i="1"/>
  <c r="A292" i="1"/>
  <c r="BP399" i="1"/>
  <c r="A291" i="1"/>
  <c r="BP398" i="1"/>
  <c r="A290" i="1"/>
  <c r="BP397" i="1"/>
  <c r="A289" i="1"/>
  <c r="BP396" i="1"/>
  <c r="A288" i="1"/>
  <c r="BP395" i="1"/>
  <c r="A287" i="1"/>
  <c r="A286" i="1"/>
  <c r="BP393" i="1"/>
  <c r="A285" i="1"/>
  <c r="BP392" i="1"/>
  <c r="A284" i="1"/>
  <c r="A283" i="1"/>
  <c r="BP390" i="1"/>
  <c r="A282" i="1"/>
  <c r="BP389" i="1"/>
  <c r="A281" i="1"/>
  <c r="BP388" i="1"/>
  <c r="A280" i="1"/>
  <c r="A279" i="1"/>
  <c r="BP275" i="1"/>
  <c r="A167" i="1"/>
  <c r="BP274" i="1"/>
  <c r="A166" i="1"/>
  <c r="BP273" i="1"/>
  <c r="A165" i="1"/>
  <c r="BP272" i="1"/>
  <c r="A164" i="1"/>
  <c r="BP271" i="1"/>
  <c r="A163" i="1"/>
  <c r="BP270" i="1"/>
  <c r="A162" i="1"/>
  <c r="BP269" i="1"/>
  <c r="A161" i="1"/>
  <c r="BP268" i="1"/>
  <c r="A160" i="1"/>
  <c r="BP267" i="1"/>
  <c r="A159" i="1"/>
  <c r="BP266" i="1"/>
  <c r="A158" i="1"/>
  <c r="BP265" i="1"/>
  <c r="A157" i="1"/>
  <c r="BP264" i="1"/>
  <c r="A156" i="1"/>
  <c r="BP263" i="1"/>
  <c r="A155" i="1"/>
  <c r="BP262" i="1"/>
  <c r="A154" i="1"/>
  <c r="BP261" i="1"/>
  <c r="A153" i="1"/>
  <c r="BP260" i="1"/>
  <c r="A152" i="1"/>
  <c r="BP259" i="1"/>
  <c r="A151" i="1"/>
  <c r="BP258" i="1"/>
  <c r="A150" i="1"/>
  <c r="BP257" i="1"/>
  <c r="A149" i="1"/>
  <c r="BP256" i="1"/>
  <c r="A148" i="1"/>
  <c r="BP255" i="1"/>
  <c r="A147" i="1"/>
  <c r="BP254" i="1"/>
  <c r="A146" i="1"/>
  <c r="BP253" i="1"/>
  <c r="A145" i="1"/>
  <c r="BP252" i="1"/>
  <c r="A144" i="1"/>
  <c r="BP251" i="1"/>
  <c r="A143" i="1"/>
  <c r="BP250" i="1"/>
  <c r="A142" i="1"/>
  <c r="BP249" i="1"/>
  <c r="A141" i="1"/>
  <c r="BP248" i="1"/>
  <c r="A140" i="1"/>
  <c r="BP247" i="1"/>
  <c r="A139" i="1"/>
  <c r="BP246" i="1"/>
  <c r="A138" i="1"/>
  <c r="BP245" i="1"/>
  <c r="A137" i="1"/>
  <c r="BP244" i="1"/>
  <c r="A136" i="1"/>
  <c r="BP243" i="1"/>
  <c r="A135" i="1"/>
  <c r="BP242" i="1"/>
  <c r="A134" i="1"/>
  <c r="BP241" i="1"/>
  <c r="A133" i="1"/>
  <c r="BP240" i="1"/>
  <c r="A132" i="1"/>
  <c r="BP239" i="1"/>
  <c r="A131" i="1"/>
  <c r="BP237" i="1"/>
  <c r="BP236" i="1"/>
  <c r="BP235" i="1"/>
  <c r="BP233" i="1"/>
  <c r="AP125" i="1"/>
  <c r="J125" i="1" s="1"/>
  <c r="AN125" i="1"/>
  <c r="AH125" i="1" s="1"/>
  <c r="A125" i="1"/>
  <c r="BP232" i="1"/>
  <c r="AP124" i="1"/>
  <c r="J124" i="1" s="1"/>
  <c r="AN124" i="1"/>
  <c r="AH124" i="1" s="1"/>
  <c r="A124" i="1"/>
  <c r="BP231" i="1"/>
  <c r="AP123" i="1"/>
  <c r="J123" i="1" s="1"/>
  <c r="AN123" i="1"/>
  <c r="AH123" i="1" s="1"/>
  <c r="A123" i="1"/>
  <c r="BP228" i="1"/>
  <c r="AP120" i="1"/>
  <c r="J120" i="1" s="1"/>
  <c r="AN120" i="1"/>
  <c r="AI120" i="1" s="1"/>
  <c r="O120" i="1" s="1"/>
  <c r="A120" i="1"/>
  <c r="BP227" i="1"/>
  <c r="AP119" i="1"/>
  <c r="J119" i="1" s="1"/>
  <c r="AN119" i="1"/>
  <c r="AH119" i="1" s="1"/>
  <c r="A119" i="1"/>
  <c r="BP226" i="1"/>
  <c r="AP118" i="1"/>
  <c r="J118" i="1" s="1"/>
  <c r="AN118" i="1"/>
  <c r="AI118" i="1" s="1"/>
  <c r="O118" i="1" s="1"/>
  <c r="A118" i="1"/>
  <c r="BP225" i="1"/>
  <c r="AP117" i="1"/>
  <c r="J117" i="1" s="1"/>
  <c r="AN117" i="1"/>
  <c r="AH117" i="1" s="1"/>
  <c r="A117" i="1"/>
  <c r="BP224" i="1"/>
  <c r="AP116" i="1"/>
  <c r="J116" i="1" s="1"/>
  <c r="AN116" i="1"/>
  <c r="AH116" i="1" s="1"/>
  <c r="A116" i="1"/>
  <c r="BP223" i="1"/>
  <c r="AP115" i="1"/>
  <c r="J115" i="1" s="1"/>
  <c r="AN115" i="1"/>
  <c r="AH115" i="1" s="1"/>
  <c r="A115" i="1"/>
  <c r="BP222" i="1"/>
  <c r="AP114" i="1"/>
  <c r="J114" i="1" s="1"/>
  <c r="AN114" i="1"/>
  <c r="AH114" i="1" s="1"/>
  <c r="AL114" i="1" s="1"/>
  <c r="R114" i="1" s="1"/>
  <c r="A114" i="1"/>
  <c r="BP221" i="1"/>
  <c r="AP113" i="1"/>
  <c r="J113" i="1" s="1"/>
  <c r="AN113" i="1"/>
  <c r="AH113" i="1" s="1"/>
  <c r="A113" i="1"/>
  <c r="BP220" i="1"/>
  <c r="AP112" i="1"/>
  <c r="J112" i="1" s="1"/>
  <c r="AN112" i="1"/>
  <c r="AI112" i="1" s="1"/>
  <c r="O112" i="1" s="1"/>
  <c r="A112" i="1"/>
  <c r="BP219" i="1"/>
  <c r="AP111" i="1"/>
  <c r="J111" i="1" s="1"/>
  <c r="AN111" i="1"/>
  <c r="AH111" i="1" s="1"/>
  <c r="A111" i="1"/>
  <c r="BP218" i="1"/>
  <c r="AP110" i="1"/>
  <c r="J110" i="1" s="1"/>
  <c r="AN110" i="1"/>
  <c r="AI110" i="1" s="1"/>
  <c r="O110" i="1" s="1"/>
  <c r="A110" i="1"/>
  <c r="BP217" i="1"/>
  <c r="AP109" i="1"/>
  <c r="J109" i="1" s="1"/>
  <c r="AN109" i="1"/>
  <c r="AH109" i="1" s="1"/>
  <c r="A109" i="1"/>
  <c r="BP216" i="1"/>
  <c r="AP108" i="1"/>
  <c r="J108" i="1" s="1"/>
  <c r="AN108" i="1"/>
  <c r="AH108" i="1" s="1"/>
  <c r="AL108" i="1" s="1"/>
  <c r="R108" i="1" s="1"/>
  <c r="A108" i="1"/>
  <c r="BP215" i="1"/>
  <c r="AP107" i="1"/>
  <c r="J107" i="1" s="1"/>
  <c r="AN107" i="1"/>
  <c r="AH107" i="1" s="1"/>
  <c r="A107" i="1"/>
  <c r="BP214" i="1"/>
  <c r="AP106" i="1"/>
  <c r="J106" i="1" s="1"/>
  <c r="AN106" i="1"/>
  <c r="AH106" i="1" s="1"/>
  <c r="AL106" i="1" s="1"/>
  <c r="R106" i="1" s="1"/>
  <c r="A106" i="1"/>
  <c r="BP213" i="1"/>
  <c r="AP105" i="1"/>
  <c r="J105" i="1" s="1"/>
  <c r="AN105" i="1"/>
  <c r="AH105" i="1" s="1"/>
  <c r="A105" i="1"/>
  <c r="BP212" i="1"/>
  <c r="AP104" i="1"/>
  <c r="J104" i="1" s="1"/>
  <c r="AN104" i="1"/>
  <c r="AI104" i="1" s="1"/>
  <c r="O104" i="1" s="1"/>
  <c r="A104" i="1"/>
  <c r="BP211" i="1"/>
  <c r="AP103" i="1"/>
  <c r="J103" i="1" s="1"/>
  <c r="AN103" i="1"/>
  <c r="AH103" i="1" s="1"/>
  <c r="A103" i="1"/>
  <c r="BP210" i="1"/>
  <c r="AP102" i="1"/>
  <c r="J102" i="1" s="1"/>
  <c r="AN102" i="1"/>
  <c r="AI102" i="1" s="1"/>
  <c r="O102" i="1" s="1"/>
  <c r="A102" i="1"/>
  <c r="BP209" i="1"/>
  <c r="AP101" i="1"/>
  <c r="J101" i="1" s="1"/>
  <c r="AN101" i="1"/>
  <c r="AH101" i="1" s="1"/>
  <c r="A101" i="1"/>
  <c r="BP208" i="1"/>
  <c r="AP100" i="1"/>
  <c r="J100" i="1" s="1"/>
  <c r="AN100" i="1"/>
  <c r="AH100" i="1" s="1"/>
  <c r="A100" i="1"/>
  <c r="BP207" i="1"/>
  <c r="AP99" i="1"/>
  <c r="J99" i="1" s="1"/>
  <c r="AN99" i="1"/>
  <c r="AH99" i="1" s="1"/>
  <c r="A99" i="1"/>
  <c r="BP206" i="1"/>
  <c r="AP98" i="1"/>
  <c r="J98" i="1" s="1"/>
  <c r="AN98" i="1"/>
  <c r="AI98" i="1" s="1"/>
  <c r="O98" i="1" s="1"/>
  <c r="A98" i="1"/>
  <c r="BP205" i="1"/>
  <c r="AP97" i="1"/>
  <c r="J97" i="1" s="1"/>
  <c r="AN97" i="1"/>
  <c r="AH97" i="1" s="1"/>
  <c r="A97" i="1"/>
  <c r="BP204" i="1"/>
  <c r="AP96" i="1"/>
  <c r="J96" i="1" s="1"/>
  <c r="AN96" i="1"/>
  <c r="AI96" i="1" s="1"/>
  <c r="O96" i="1" s="1"/>
  <c r="A96" i="1"/>
  <c r="BP203" i="1"/>
  <c r="AP95" i="1"/>
  <c r="J95" i="1" s="1"/>
  <c r="AN95" i="1"/>
  <c r="AH95" i="1" s="1"/>
  <c r="A95" i="1"/>
  <c r="BP202" i="1"/>
  <c r="AP94" i="1"/>
  <c r="J94" i="1" s="1"/>
  <c r="AN94" i="1"/>
  <c r="AI94" i="1" s="1"/>
  <c r="O94" i="1" s="1"/>
  <c r="A94" i="1"/>
  <c r="BP201" i="1"/>
  <c r="AP93" i="1"/>
  <c r="J93" i="1" s="1"/>
  <c r="AN93" i="1"/>
  <c r="AH93" i="1" s="1"/>
  <c r="A93" i="1"/>
  <c r="BP200" i="1"/>
  <c r="AP92" i="1"/>
  <c r="J92" i="1" s="1"/>
  <c r="AN92" i="1"/>
  <c r="AI92" i="1" s="1"/>
  <c r="O92" i="1" s="1"/>
  <c r="A92" i="1"/>
  <c r="BP199" i="1"/>
  <c r="AP91" i="1"/>
  <c r="AN91" i="1"/>
  <c r="AH91" i="1" s="1"/>
  <c r="A91" i="1"/>
  <c r="BP198" i="1"/>
  <c r="AP90" i="1"/>
  <c r="J90" i="1" s="1"/>
  <c r="AN90" i="1"/>
  <c r="AI90" i="1" s="1"/>
  <c r="O90" i="1" s="1"/>
  <c r="A90" i="1"/>
  <c r="BP197" i="1"/>
  <c r="AP89" i="1"/>
  <c r="J89" i="1" s="1"/>
  <c r="AN89" i="1"/>
  <c r="AH89" i="1" s="1"/>
  <c r="A89" i="1"/>
  <c r="BP196" i="1"/>
  <c r="AP88" i="1"/>
  <c r="J88" i="1" s="1"/>
  <c r="AN88" i="1"/>
  <c r="AI88" i="1" s="1"/>
  <c r="O88" i="1" s="1"/>
  <c r="A88" i="1"/>
  <c r="BP195" i="1"/>
  <c r="BP194" i="1"/>
  <c r="BP193" i="1"/>
  <c r="BP192" i="1"/>
  <c r="AP87" i="1"/>
  <c r="J87" i="1" s="1"/>
  <c r="AN87" i="1"/>
  <c r="AI87" i="1" s="1"/>
  <c r="O87" i="1" s="1"/>
  <c r="A87" i="1"/>
  <c r="BP191" i="1"/>
  <c r="AP86" i="1"/>
  <c r="J86" i="1" s="1"/>
  <c r="AN86" i="1"/>
  <c r="AH86" i="1" s="1"/>
  <c r="A86" i="1"/>
  <c r="BP190" i="1"/>
  <c r="BP189" i="1"/>
  <c r="BP188" i="1"/>
  <c r="BP187" i="1"/>
  <c r="AP85" i="1"/>
  <c r="J85" i="1" s="1"/>
  <c r="AN85" i="1"/>
  <c r="AH85" i="1" s="1"/>
  <c r="A85" i="1"/>
  <c r="BP186" i="1"/>
  <c r="AP84" i="1"/>
  <c r="J84" i="1" s="1"/>
  <c r="AN84" i="1"/>
  <c r="K84" i="1" s="1"/>
  <c r="A84" i="1"/>
  <c r="BP185" i="1"/>
  <c r="BP184" i="1"/>
  <c r="AP83" i="1"/>
  <c r="J83" i="1" s="1"/>
  <c r="AN83" i="1"/>
  <c r="AI83" i="1" s="1"/>
  <c r="O83" i="1" s="1"/>
  <c r="A83" i="1"/>
  <c r="BP183" i="1"/>
  <c r="BP182" i="1"/>
  <c r="BP181" i="1"/>
  <c r="BP180" i="1"/>
  <c r="BP179" i="1"/>
  <c r="AP82" i="1"/>
  <c r="J82" i="1" s="1"/>
  <c r="AN82" i="1"/>
  <c r="K82" i="1" s="1"/>
  <c r="A82" i="1"/>
  <c r="BP178" i="1"/>
  <c r="BP177" i="1"/>
  <c r="BP176" i="1"/>
  <c r="AP81" i="1"/>
  <c r="J81" i="1" s="1"/>
  <c r="AN81" i="1"/>
  <c r="AI81" i="1" s="1"/>
  <c r="O81" i="1" s="1"/>
  <c r="A81" i="1"/>
  <c r="BP175" i="1"/>
  <c r="BP174" i="1"/>
  <c r="BP173" i="1"/>
  <c r="BP172" i="1"/>
  <c r="AP80" i="1"/>
  <c r="J80" i="1" s="1"/>
  <c r="AN80" i="1"/>
  <c r="AI80" i="1" s="1"/>
  <c r="O80" i="1" s="1"/>
  <c r="A80" i="1"/>
  <c r="BP171" i="1"/>
  <c r="AP79" i="1"/>
  <c r="J79" i="1" s="1"/>
  <c r="AN79" i="1"/>
  <c r="K79" i="1" s="1"/>
  <c r="A79" i="1"/>
  <c r="BP170" i="1"/>
  <c r="BP169" i="1"/>
  <c r="BP168" i="1"/>
  <c r="AP78" i="1"/>
  <c r="J78" i="1" s="1"/>
  <c r="AN78" i="1"/>
  <c r="AI78" i="1" s="1"/>
  <c r="O78" i="1" s="1"/>
  <c r="A78" i="1"/>
  <c r="BP167" i="1"/>
  <c r="AP77" i="1"/>
  <c r="J77" i="1" s="1"/>
  <c r="AN77" i="1"/>
  <c r="AH77" i="1" s="1"/>
  <c r="A77" i="1"/>
  <c r="BP166" i="1"/>
  <c r="AP76" i="1"/>
  <c r="AN76" i="1"/>
  <c r="AI76" i="1" s="1"/>
  <c r="O76" i="1" s="1"/>
  <c r="A76" i="1"/>
  <c r="BP165" i="1"/>
  <c r="AP75" i="1"/>
  <c r="J75" i="1" s="1"/>
  <c r="AN75" i="1"/>
  <c r="AH75" i="1" s="1"/>
  <c r="A75" i="1"/>
  <c r="BP164" i="1"/>
  <c r="AP74" i="1"/>
  <c r="J74" i="1" s="1"/>
  <c r="AN74" i="1"/>
  <c r="AI74" i="1" s="1"/>
  <c r="O74" i="1" s="1"/>
  <c r="A74" i="1"/>
  <c r="BP163" i="1"/>
  <c r="AP73" i="1"/>
  <c r="J73" i="1" s="1"/>
  <c r="AN73" i="1"/>
  <c r="AH73" i="1" s="1"/>
  <c r="A73" i="1"/>
  <c r="BP162" i="1"/>
  <c r="BP161" i="1"/>
  <c r="BP160" i="1"/>
  <c r="BP159" i="1"/>
  <c r="AP72" i="1"/>
  <c r="J72" i="1" s="1"/>
  <c r="AN72" i="1"/>
  <c r="AH72" i="1" s="1"/>
  <c r="A72" i="1"/>
  <c r="BP158" i="1"/>
  <c r="AP71" i="1"/>
  <c r="J71" i="1" s="1"/>
  <c r="AN71" i="1"/>
  <c r="AI71" i="1" s="1"/>
  <c r="O71" i="1" s="1"/>
  <c r="A71" i="1"/>
  <c r="BP157" i="1"/>
  <c r="BP156" i="1"/>
  <c r="BP155" i="1"/>
  <c r="BP154" i="1"/>
  <c r="AP70" i="1"/>
  <c r="J70" i="1" s="1"/>
  <c r="AN70" i="1"/>
  <c r="AI70" i="1" s="1"/>
  <c r="O70" i="1" s="1"/>
  <c r="A70" i="1"/>
  <c r="BP153" i="1"/>
  <c r="AP69" i="1"/>
  <c r="J69" i="1" s="1"/>
  <c r="AN69" i="1"/>
  <c r="AH69" i="1" s="1"/>
  <c r="A69" i="1"/>
  <c r="BP152" i="1"/>
  <c r="BP151" i="1"/>
  <c r="AP68" i="1"/>
  <c r="J68" i="1" s="1"/>
  <c r="AN68" i="1"/>
  <c r="AH68" i="1" s="1"/>
  <c r="A68" i="1"/>
  <c r="BP150" i="1"/>
  <c r="BP149" i="1"/>
  <c r="BP148" i="1"/>
  <c r="BP147" i="1"/>
  <c r="BP146" i="1"/>
  <c r="AP67" i="1"/>
  <c r="J67" i="1" s="1"/>
  <c r="AN67" i="1"/>
  <c r="AI67" i="1" s="1"/>
  <c r="O67" i="1" s="1"/>
  <c r="A67" i="1"/>
  <c r="BP145" i="1"/>
  <c r="BP144" i="1"/>
  <c r="BP143" i="1"/>
  <c r="AP66" i="1"/>
  <c r="J66" i="1" s="1"/>
  <c r="AN66" i="1"/>
  <c r="AH66" i="1" s="1"/>
  <c r="A66" i="1"/>
  <c r="BP142" i="1"/>
  <c r="BP141" i="1"/>
  <c r="BP140" i="1"/>
  <c r="BP139" i="1"/>
  <c r="AP65" i="1"/>
  <c r="J65" i="1" s="1"/>
  <c r="AN65" i="1"/>
  <c r="AH65" i="1" s="1"/>
  <c r="A65" i="1"/>
  <c r="BP138" i="1"/>
  <c r="AP64" i="1"/>
  <c r="J64" i="1" s="1"/>
  <c r="AN64" i="1"/>
  <c r="AI64" i="1" s="1"/>
  <c r="O64" i="1" s="1"/>
  <c r="A64" i="1"/>
  <c r="BP137" i="1"/>
  <c r="BP136" i="1"/>
  <c r="BP135" i="1"/>
  <c r="AP63" i="1"/>
  <c r="J63" i="1" s="1"/>
  <c r="AN63" i="1"/>
  <c r="AH63" i="1" s="1"/>
  <c r="A63" i="1"/>
  <c r="BP134" i="1"/>
  <c r="AP62" i="1"/>
  <c r="J62" i="1" s="1"/>
  <c r="AN62" i="1"/>
  <c r="AI62" i="1" s="1"/>
  <c r="O62" i="1" s="1"/>
  <c r="A62" i="1"/>
  <c r="BP133" i="1"/>
  <c r="AP61" i="1"/>
  <c r="AN61" i="1"/>
  <c r="AH61" i="1" s="1"/>
  <c r="A61" i="1"/>
  <c r="BP132" i="1"/>
  <c r="AP60" i="1"/>
  <c r="J60" i="1" s="1"/>
  <c r="AN60" i="1"/>
  <c r="A60" i="1"/>
  <c r="BP131" i="1"/>
  <c r="AP59" i="1"/>
  <c r="J59" i="1" s="1"/>
  <c r="AN59" i="1"/>
  <c r="AH59" i="1" s="1"/>
  <c r="A59" i="1"/>
  <c r="BP130" i="1"/>
  <c r="AP58" i="1"/>
  <c r="J58" i="1" s="1"/>
  <c r="AN58" i="1"/>
  <c r="AI58" i="1" s="1"/>
  <c r="O58" i="1" s="1"/>
  <c r="A58" i="1"/>
  <c r="BP129" i="1"/>
  <c r="BP128" i="1"/>
  <c r="BP127" i="1"/>
  <c r="BP126" i="1"/>
  <c r="AP57" i="1"/>
  <c r="J57" i="1" s="1"/>
  <c r="AN57" i="1"/>
  <c r="AI57" i="1" s="1"/>
  <c r="O57" i="1" s="1"/>
  <c r="A57" i="1"/>
  <c r="BP125" i="1"/>
  <c r="AP56" i="1"/>
  <c r="J56" i="1" s="1"/>
  <c r="AN56" i="1"/>
  <c r="AH56" i="1" s="1"/>
  <c r="A56" i="1"/>
  <c r="BP124" i="1"/>
  <c r="BP123" i="1"/>
  <c r="BP122" i="1"/>
  <c r="BP121" i="1"/>
  <c r="AP55" i="1"/>
  <c r="J55" i="1" s="1"/>
  <c r="AN55" i="1"/>
  <c r="AH55" i="1" s="1"/>
  <c r="A55" i="1"/>
  <c r="BP120" i="1"/>
  <c r="AP54" i="1"/>
  <c r="J54" i="1" s="1"/>
  <c r="AN54" i="1"/>
  <c r="AH54" i="1" s="1"/>
  <c r="A54" i="1"/>
  <c r="BP119" i="1"/>
  <c r="BP118" i="1"/>
  <c r="AP53" i="1"/>
  <c r="J53" i="1" s="1"/>
  <c r="AN53" i="1"/>
  <c r="AH53" i="1" s="1"/>
  <c r="A53" i="1"/>
  <c r="BP117" i="1"/>
  <c r="BP116" i="1"/>
  <c r="BP115" i="1"/>
  <c r="BP114" i="1"/>
  <c r="BP113" i="1"/>
  <c r="AP52" i="1"/>
  <c r="J52" i="1" s="1"/>
  <c r="AN52" i="1"/>
  <c r="AH52" i="1" s="1"/>
  <c r="A52" i="1"/>
  <c r="BP112" i="1"/>
  <c r="BP111" i="1"/>
  <c r="BP110" i="1"/>
  <c r="AP51" i="1"/>
  <c r="J51" i="1" s="1"/>
  <c r="AN51" i="1"/>
  <c r="AH51" i="1" s="1"/>
  <c r="A51" i="1"/>
  <c r="BP109" i="1"/>
  <c r="BP108" i="1"/>
  <c r="BP107" i="1"/>
  <c r="BP106" i="1"/>
  <c r="AP50" i="1"/>
  <c r="J50" i="1" s="1"/>
  <c r="AN50" i="1"/>
  <c r="AH50" i="1" s="1"/>
  <c r="A50" i="1"/>
  <c r="BP105" i="1"/>
  <c r="AP49" i="1"/>
  <c r="J49" i="1" s="1"/>
  <c r="AN49" i="1"/>
  <c r="AH49" i="1" s="1"/>
  <c r="N49" i="1" s="1"/>
  <c r="A49" i="1"/>
  <c r="BP104" i="1"/>
  <c r="BP103" i="1"/>
  <c r="BP102" i="1"/>
  <c r="AP48" i="1"/>
  <c r="J48" i="1" s="1"/>
  <c r="AN48" i="1"/>
  <c r="AH48" i="1" s="1"/>
  <c r="A48" i="1"/>
  <c r="BP101" i="1"/>
  <c r="AP47" i="1"/>
  <c r="J47" i="1" s="1"/>
  <c r="AN47" i="1"/>
  <c r="AH47" i="1" s="1"/>
  <c r="A47" i="1"/>
  <c r="BP100" i="1"/>
  <c r="AP46" i="1"/>
  <c r="AN46" i="1"/>
  <c r="AH46" i="1" s="1"/>
  <c r="A46" i="1"/>
  <c r="BP99" i="1"/>
  <c r="BE99" i="1"/>
  <c r="BD99" i="1"/>
  <c r="BC99" i="1"/>
  <c r="BB99" i="1"/>
  <c r="AY99" i="1"/>
  <c r="AX99" i="1"/>
  <c r="AW99" i="1"/>
  <c r="AV99" i="1"/>
  <c r="AP45" i="1"/>
  <c r="J45" i="1" s="1"/>
  <c r="AN45" i="1"/>
  <c r="AH45" i="1" s="1"/>
  <c r="A45" i="1"/>
  <c r="BP98" i="1"/>
  <c r="BM98" i="1"/>
  <c r="BL98" i="1"/>
  <c r="BK98" i="1"/>
  <c r="BI98" i="1"/>
  <c r="BH98" i="1"/>
  <c r="BG98" i="1"/>
  <c r="AP44" i="1"/>
  <c r="J44" i="1" s="1"/>
  <c r="AN44" i="1"/>
  <c r="A44" i="1"/>
  <c r="BP97" i="1"/>
  <c r="BM97" i="1"/>
  <c r="BL97" i="1"/>
  <c r="BK97" i="1"/>
  <c r="BI97" i="1"/>
  <c r="BH97" i="1"/>
  <c r="BG97" i="1"/>
  <c r="AP43" i="1"/>
  <c r="J43" i="1" s="1"/>
  <c r="AN43" i="1"/>
  <c r="AH43" i="1" s="1"/>
  <c r="A43" i="1"/>
  <c r="BP96" i="1"/>
  <c r="BP95" i="1"/>
  <c r="BP94" i="1"/>
  <c r="BP93" i="1"/>
  <c r="AP42" i="1"/>
  <c r="J42" i="1" s="1"/>
  <c r="AN42" i="1"/>
  <c r="K42" i="1" s="1"/>
  <c r="A42" i="1"/>
  <c r="BP92" i="1"/>
  <c r="AV92" i="1"/>
  <c r="AW92" i="1" s="1"/>
  <c r="AX92" i="1" s="1"/>
  <c r="AY92" i="1" s="1"/>
  <c r="AZ92" i="1" s="1"/>
  <c r="BA92" i="1" s="1"/>
  <c r="BB92" i="1" s="1"/>
  <c r="BD92" i="1" s="1"/>
  <c r="BE92" i="1" s="1"/>
  <c r="BF92" i="1" s="1"/>
  <c r="BG92" i="1" s="1"/>
  <c r="BH92" i="1" s="1"/>
  <c r="BI92" i="1" s="1"/>
  <c r="AP41" i="1"/>
  <c r="J41" i="1" s="1"/>
  <c r="AN41" i="1"/>
  <c r="AH41" i="1" s="1"/>
  <c r="A41" i="1"/>
  <c r="BP91" i="1"/>
  <c r="BP90" i="1"/>
  <c r="BP89" i="1"/>
  <c r="BP88" i="1"/>
  <c r="AP40" i="1"/>
  <c r="J40" i="1" s="1"/>
  <c r="AN40" i="1"/>
  <c r="AH40" i="1" s="1"/>
  <c r="A40" i="1"/>
  <c r="BP87" i="1"/>
  <c r="AP39" i="1"/>
  <c r="J39" i="1" s="1"/>
  <c r="AN39" i="1"/>
  <c r="AH39" i="1" s="1"/>
  <c r="AL39" i="1" s="1"/>
  <c r="A39" i="1"/>
  <c r="BP86" i="1"/>
  <c r="BP85" i="1"/>
  <c r="AP38" i="1"/>
  <c r="J38" i="1" s="1"/>
  <c r="AN38" i="1"/>
  <c r="A38" i="1"/>
  <c r="BP84" i="1"/>
  <c r="BP83" i="1"/>
  <c r="BP82" i="1"/>
  <c r="BP81" i="1"/>
  <c r="BP80" i="1"/>
  <c r="AP37" i="1"/>
  <c r="J37" i="1" s="1"/>
  <c r="AN37" i="1"/>
  <c r="AH37" i="1" s="1"/>
  <c r="A37" i="1"/>
  <c r="BP79" i="1"/>
  <c r="BP78" i="1"/>
  <c r="BP77" i="1"/>
  <c r="AP36" i="1"/>
  <c r="J36" i="1" s="1"/>
  <c r="AN36" i="1"/>
  <c r="AI36" i="1" s="1"/>
  <c r="O36" i="1" s="1"/>
  <c r="A36" i="1"/>
  <c r="BP76" i="1"/>
  <c r="BP75" i="1"/>
  <c r="BP74" i="1"/>
  <c r="BP73" i="1"/>
  <c r="AP35" i="1"/>
  <c r="J35" i="1" s="1"/>
  <c r="AN35" i="1"/>
  <c r="A35" i="1"/>
  <c r="BP72" i="1"/>
  <c r="AP34" i="1"/>
  <c r="J34" i="1" s="1"/>
  <c r="AN34" i="1"/>
  <c r="AH34" i="1" s="1"/>
  <c r="A34" i="1"/>
  <c r="BP71" i="1"/>
  <c r="BP70" i="1"/>
  <c r="BP69" i="1"/>
  <c r="AP33" i="1"/>
  <c r="J33" i="1" s="1"/>
  <c r="AN33" i="1"/>
  <c r="K33" i="1" s="1"/>
  <c r="A33" i="1"/>
  <c r="BP68" i="1"/>
  <c r="AP32" i="1"/>
  <c r="J32" i="1" s="1"/>
  <c r="AN32" i="1"/>
  <c r="AH32" i="1" s="1"/>
  <c r="A32" i="1"/>
  <c r="BP67" i="1"/>
  <c r="AP31" i="1"/>
  <c r="AN31" i="1"/>
  <c r="A31" i="1"/>
  <c r="BP66" i="1"/>
  <c r="AP30" i="1"/>
  <c r="J30" i="1" s="1"/>
  <c r="AN30" i="1"/>
  <c r="AH30" i="1" s="1"/>
  <c r="AL30" i="1" s="1"/>
  <c r="R30" i="1" s="1"/>
  <c r="A30" i="1"/>
  <c r="BP65" i="1"/>
  <c r="AP29" i="1"/>
  <c r="J29" i="1" s="1"/>
  <c r="AN29" i="1"/>
  <c r="K29" i="1" s="1"/>
  <c r="A29" i="1"/>
  <c r="BP64" i="1"/>
  <c r="AP28" i="1"/>
  <c r="J28" i="1" s="1"/>
  <c r="AN28" i="1"/>
  <c r="AI28" i="1" s="1"/>
  <c r="O28" i="1" s="1"/>
  <c r="A28" i="1"/>
  <c r="BP63" i="1"/>
  <c r="BP62" i="1"/>
  <c r="BP61" i="1"/>
  <c r="BP60" i="1"/>
  <c r="AP27" i="1"/>
  <c r="J27" i="1" s="1"/>
  <c r="AN27" i="1"/>
  <c r="A27" i="1"/>
  <c r="BP59" i="1"/>
  <c r="AP26" i="1"/>
  <c r="J26" i="1" s="1"/>
  <c r="AN26" i="1"/>
  <c r="K26" i="1" s="1"/>
  <c r="A26" i="1"/>
  <c r="BP58" i="1"/>
  <c r="BP57" i="1"/>
  <c r="BP56" i="1"/>
  <c r="BP55" i="1"/>
  <c r="AP25" i="1"/>
  <c r="J25" i="1" s="1"/>
  <c r="AN25" i="1"/>
  <c r="K25" i="1" s="1"/>
  <c r="A25" i="1"/>
  <c r="BP54" i="1"/>
  <c r="AP24" i="1"/>
  <c r="J24" i="1" s="1"/>
  <c r="AN24" i="1"/>
  <c r="AI24" i="1" s="1"/>
  <c r="O24" i="1" s="1"/>
  <c r="A24" i="1"/>
  <c r="BP53" i="1"/>
  <c r="BP52" i="1"/>
  <c r="AP23" i="1"/>
  <c r="J23" i="1" s="1"/>
  <c r="AN23" i="1"/>
  <c r="A23" i="1"/>
  <c r="BP51" i="1"/>
  <c r="BP50" i="1"/>
  <c r="BG50" i="1"/>
  <c r="AO860" i="1" s="1"/>
  <c r="L860" i="1" s="1"/>
  <c r="BE50" i="1"/>
  <c r="AZ50" i="1"/>
  <c r="BB50" i="1" s="1"/>
  <c r="BP49" i="1"/>
  <c r="BG49" i="1"/>
  <c r="BE49" i="1"/>
  <c r="AZ49" i="1"/>
  <c r="BB49" i="1" s="1"/>
  <c r="BA49" i="1"/>
  <c r="BP48" i="1"/>
  <c r="BG48" i="1"/>
  <c r="BE48" i="1"/>
  <c r="AZ48" i="1"/>
  <c r="BA48" i="1"/>
  <c r="BP47" i="1"/>
  <c r="BG47" i="1"/>
  <c r="BE47" i="1"/>
  <c r="AZ47" i="1"/>
  <c r="BB47" i="1" s="1"/>
  <c r="BA47" i="1"/>
  <c r="AP22" i="1"/>
  <c r="J22" i="1" s="1"/>
  <c r="AN22" i="1"/>
  <c r="AH22" i="1" s="1"/>
  <c r="A22" i="1"/>
  <c r="BP46" i="1"/>
  <c r="BG46" i="1"/>
  <c r="BE46" i="1"/>
  <c r="AZ46" i="1"/>
  <c r="BA46" i="1"/>
  <c r="BP45" i="1"/>
  <c r="BG45" i="1"/>
  <c r="BE45" i="1"/>
  <c r="AZ45" i="1"/>
  <c r="BB45" i="1" s="1"/>
  <c r="BP44" i="1"/>
  <c r="BG44" i="1"/>
  <c r="BE44" i="1"/>
  <c r="AZ44" i="1"/>
  <c r="BB44" i="1" s="1"/>
  <c r="AP21" i="1"/>
  <c r="J21" i="1" s="1"/>
  <c r="AN21" i="1"/>
  <c r="AI21" i="1" s="1"/>
  <c r="O21" i="1" s="1"/>
  <c r="A21" i="1"/>
  <c r="BP43" i="1"/>
  <c r="BG43" i="1"/>
  <c r="BE43" i="1"/>
  <c r="AZ43" i="1"/>
  <c r="BB43" i="1" s="1"/>
  <c r="BP42" i="1"/>
  <c r="BG42" i="1"/>
  <c r="BE42" i="1"/>
  <c r="AZ42" i="1"/>
  <c r="BD42" i="1" s="1"/>
  <c r="BP41" i="1"/>
  <c r="BG41" i="1"/>
  <c r="BE41" i="1"/>
  <c r="AZ41" i="1"/>
  <c r="BB41" i="1" s="1"/>
  <c r="BP40" i="1"/>
  <c r="BG40" i="1"/>
  <c r="BE40" i="1"/>
  <c r="AZ40" i="1"/>
  <c r="AP20" i="1"/>
  <c r="J20" i="1" s="1"/>
  <c r="AN20" i="1"/>
  <c r="AI20" i="1" s="1"/>
  <c r="O20" i="1" s="1"/>
  <c r="A20" i="1"/>
  <c r="BP39" i="1"/>
  <c r="BG39" i="1"/>
  <c r="BE39" i="1"/>
  <c r="AZ39" i="1"/>
  <c r="BB39" i="1" s="1"/>
  <c r="AP19" i="1"/>
  <c r="J19" i="1" s="1"/>
  <c r="AN19" i="1"/>
  <c r="AI19" i="1" s="1"/>
  <c r="O19" i="1" s="1"/>
  <c r="A19" i="1"/>
  <c r="BP38" i="1"/>
  <c r="BG38" i="1"/>
  <c r="BE38" i="1"/>
  <c r="AZ38" i="1"/>
  <c r="BD38" i="1" s="1"/>
  <c r="BP37" i="1"/>
  <c r="BG37" i="1"/>
  <c r="BE37" i="1"/>
  <c r="AZ37" i="1"/>
  <c r="BD37" i="1" s="1"/>
  <c r="BP36" i="1"/>
  <c r="BG36" i="1"/>
  <c r="BE36" i="1"/>
  <c r="AZ36" i="1"/>
  <c r="BD36" i="1" s="1"/>
  <c r="AP18" i="1"/>
  <c r="J18" i="1" s="1"/>
  <c r="AN18" i="1"/>
  <c r="AI18" i="1" s="1"/>
  <c r="O18" i="1" s="1"/>
  <c r="A18" i="1"/>
  <c r="BP35" i="1"/>
  <c r="BG35" i="1"/>
  <c r="BE35" i="1"/>
  <c r="AZ35" i="1"/>
  <c r="AP17" i="1"/>
  <c r="J17" i="1" s="1"/>
  <c r="AN17" i="1"/>
  <c r="AH17" i="1" s="1"/>
  <c r="AL17" i="1" s="1"/>
  <c r="A17" i="1"/>
  <c r="BP34" i="1"/>
  <c r="BG34" i="1"/>
  <c r="BE34" i="1"/>
  <c r="AZ34" i="1"/>
  <c r="BD34" i="1" s="1"/>
  <c r="AP16" i="1"/>
  <c r="AN16" i="1"/>
  <c r="AI16" i="1" s="1"/>
  <c r="O16" i="1" s="1"/>
  <c r="A16" i="1"/>
  <c r="BP33" i="1"/>
  <c r="BG33" i="1"/>
  <c r="BE33" i="1"/>
  <c r="AZ33" i="1"/>
  <c r="BD33" i="1" s="1"/>
  <c r="AP15" i="1"/>
  <c r="J15" i="1" s="1"/>
  <c r="AN15" i="1"/>
  <c r="AI15" i="1" s="1"/>
  <c r="O15" i="1" s="1"/>
  <c r="A15" i="1"/>
  <c r="BP32" i="1"/>
  <c r="BG32" i="1"/>
  <c r="BE32" i="1"/>
  <c r="AZ32" i="1"/>
  <c r="AP14" i="1"/>
  <c r="J14" i="1" s="1"/>
  <c r="AN14" i="1"/>
  <c r="AI14" i="1" s="1"/>
  <c r="O14" i="1" s="1"/>
  <c r="A14" i="1"/>
  <c r="BP31" i="1"/>
  <c r="BG31" i="1"/>
  <c r="BE31" i="1"/>
  <c r="AZ31" i="1"/>
  <c r="BD31" i="1" s="1"/>
  <c r="AP13" i="1"/>
  <c r="J13" i="1" s="1"/>
  <c r="AN13" i="1"/>
  <c r="AH13" i="1" s="1"/>
  <c r="AL13" i="1" s="1"/>
  <c r="A13" i="1"/>
  <c r="BP30" i="1"/>
  <c r="BG30" i="1"/>
  <c r="BE30" i="1"/>
  <c r="AZ30" i="1"/>
  <c r="BD30" i="1" s="1"/>
  <c r="BP29" i="1"/>
  <c r="BG29" i="1"/>
  <c r="BE29" i="1"/>
  <c r="AZ29" i="1"/>
  <c r="BD29" i="1" s="1"/>
  <c r="BP28" i="1"/>
  <c r="BG28" i="1"/>
  <c r="BE28" i="1"/>
  <c r="AZ28" i="1"/>
  <c r="BP27" i="1"/>
  <c r="BG27" i="1"/>
  <c r="BE27" i="1"/>
  <c r="AZ27" i="1"/>
  <c r="BB27" i="1" s="1"/>
  <c r="AP12" i="1"/>
  <c r="J12" i="1" s="1"/>
  <c r="AN12" i="1"/>
  <c r="AI12" i="1" s="1"/>
  <c r="O12" i="1" s="1"/>
  <c r="A12" i="1"/>
  <c r="BP26" i="1"/>
  <c r="BG26" i="1"/>
  <c r="BE26" i="1"/>
  <c r="AZ26" i="1"/>
  <c r="BD26" i="1" s="1"/>
  <c r="BA26" i="1"/>
  <c r="AP11" i="1"/>
  <c r="J11" i="1" s="1"/>
  <c r="AN11" i="1"/>
  <c r="A11" i="1"/>
  <c r="BP25" i="1"/>
  <c r="BG25" i="1"/>
  <c r="BE25" i="1"/>
  <c r="AZ25" i="1"/>
  <c r="BD25" i="1" s="1"/>
  <c r="BA25" i="1"/>
  <c r="BP24" i="1"/>
  <c r="BG24" i="1"/>
  <c r="BE24" i="1"/>
  <c r="AZ24" i="1"/>
  <c r="BA24" i="1"/>
  <c r="BP23" i="1"/>
  <c r="BG23" i="1"/>
  <c r="BE23" i="1"/>
  <c r="AZ23" i="1"/>
  <c r="BB23" i="1" s="1"/>
  <c r="BA23" i="1"/>
  <c r="BP22" i="1"/>
  <c r="BG22" i="1"/>
  <c r="BE22" i="1"/>
  <c r="AZ22" i="1"/>
  <c r="BD22" i="1" s="1"/>
  <c r="BA22" i="1"/>
  <c r="AP10" i="1"/>
  <c r="J10" i="1" s="1"/>
  <c r="AN10" i="1"/>
  <c r="A10" i="1"/>
  <c r="BP21" i="1"/>
  <c r="BG21" i="1"/>
  <c r="BE21" i="1"/>
  <c r="AZ21" i="1"/>
  <c r="BD21" i="1" s="1"/>
  <c r="BA21" i="1"/>
  <c r="AP9" i="1"/>
  <c r="J9" i="1" s="1"/>
  <c r="AN9" i="1"/>
  <c r="AI9" i="1" s="1"/>
  <c r="O9" i="1" s="1"/>
  <c r="A9" i="1"/>
  <c r="BP20" i="1"/>
  <c r="BG20" i="1"/>
  <c r="BE20" i="1"/>
  <c r="AZ20" i="1"/>
  <c r="BA20" i="1"/>
  <c r="BP19" i="1"/>
  <c r="BG19" i="1"/>
  <c r="BE19" i="1"/>
  <c r="AZ19" i="1"/>
  <c r="BB19" i="1" s="1"/>
  <c r="AV79" i="1" s="1"/>
  <c r="BA19" i="1"/>
  <c r="AP8" i="1"/>
  <c r="J8" i="1" s="1"/>
  <c r="AN8" i="1"/>
  <c r="K8" i="1" s="1"/>
  <c r="A8" i="1"/>
  <c r="BP18" i="1"/>
  <c r="BG18" i="1"/>
  <c r="BE18" i="1"/>
  <c r="AZ18" i="1"/>
  <c r="BD18" i="1" s="1"/>
  <c r="BA18" i="1"/>
  <c r="BP17" i="1"/>
  <c r="BG17" i="1"/>
  <c r="BE17" i="1"/>
  <c r="AZ17" i="1"/>
  <c r="BD17" i="1" s="1"/>
  <c r="BA17" i="1"/>
  <c r="BP16" i="1"/>
  <c r="BG16" i="1"/>
  <c r="BE16" i="1"/>
  <c r="AZ16" i="1"/>
  <c r="BD16" i="1" s="1"/>
  <c r="BA16" i="1"/>
  <c r="BP15" i="1"/>
  <c r="BG15" i="1"/>
  <c r="BE15" i="1"/>
  <c r="AZ15" i="1"/>
  <c r="BD15" i="1" s="1"/>
  <c r="BA15" i="1"/>
  <c r="BP14" i="1"/>
  <c r="BG14" i="1"/>
  <c r="BE14" i="1"/>
  <c r="AZ14" i="1"/>
  <c r="BD14" i="1" s="1"/>
  <c r="BA14" i="1"/>
  <c r="AP7" i="1"/>
  <c r="J7" i="1" s="1"/>
  <c r="AN7" i="1"/>
  <c r="AI7" i="1" s="1"/>
  <c r="O7" i="1" s="1"/>
  <c r="A7" i="1"/>
  <c r="BP13" i="1"/>
  <c r="BG13" i="1"/>
  <c r="BE13" i="1"/>
  <c r="AZ13" i="1"/>
  <c r="BD13" i="1" s="1"/>
  <c r="BA13" i="1"/>
  <c r="BP12" i="1"/>
  <c r="BG12" i="1"/>
  <c r="BE12" i="1"/>
  <c r="AZ12" i="1"/>
  <c r="BD12" i="1" s="1"/>
  <c r="BA12" i="1"/>
  <c r="BP11" i="1"/>
  <c r="BG11" i="1"/>
  <c r="BE11" i="1"/>
  <c r="AZ11" i="1"/>
  <c r="BD11" i="1" s="1"/>
  <c r="BA11" i="1"/>
  <c r="AP6" i="1"/>
  <c r="J6" i="1" s="1"/>
  <c r="AN6" i="1"/>
  <c r="AI6" i="1" s="1"/>
  <c r="O6" i="1" s="1"/>
  <c r="A6" i="1"/>
  <c r="BP10" i="1"/>
  <c r="BG10" i="1"/>
  <c r="BE10" i="1"/>
  <c r="AZ10" i="1"/>
  <c r="BD10" i="1" s="1"/>
  <c r="BA10" i="1"/>
  <c r="BP9" i="1"/>
  <c r="BG9" i="1"/>
  <c r="BE9" i="1"/>
  <c r="AZ9" i="1"/>
  <c r="BD9" i="1" s="1"/>
  <c r="BA9" i="1"/>
  <c r="BP8" i="1"/>
  <c r="BG8" i="1"/>
  <c r="BE8" i="1"/>
  <c r="AZ8" i="1"/>
  <c r="BD8" i="1" s="1"/>
  <c r="BP7" i="1"/>
  <c r="BG7" i="1"/>
  <c r="BE7" i="1"/>
  <c r="AZ7" i="1"/>
  <c r="BD7" i="1" s="1"/>
  <c r="AP5" i="1"/>
  <c r="J5" i="1" s="1"/>
  <c r="AN5" i="1"/>
  <c r="AI5" i="1" s="1"/>
  <c r="O5" i="1" s="1"/>
  <c r="A5" i="1"/>
  <c r="BP6" i="1"/>
  <c r="BG6" i="1"/>
  <c r="BE6" i="1"/>
  <c r="AZ6" i="1"/>
  <c r="BD6" i="1" s="1"/>
  <c r="AP4" i="1"/>
  <c r="J4" i="1" s="1"/>
  <c r="AN4" i="1"/>
  <c r="AI4" i="1" s="1"/>
  <c r="O4" i="1" s="1"/>
  <c r="AF4" i="1"/>
  <c r="A4" i="1"/>
  <c r="BP5" i="1"/>
  <c r="BG5" i="1"/>
  <c r="BE5" i="1"/>
  <c r="AZ5" i="1"/>
  <c r="BD5" i="1" s="1"/>
  <c r="BP4" i="1"/>
  <c r="AH446" i="1" l="1"/>
  <c r="AL446" i="1" s="1"/>
  <c r="AI500" i="1"/>
  <c r="O500" i="1" s="1"/>
  <c r="K508" i="1"/>
  <c r="K736" i="1"/>
  <c r="AO429" i="1"/>
  <c r="L429" i="1" s="1"/>
  <c r="AO838" i="1"/>
  <c r="L838" i="1" s="1"/>
  <c r="AO850" i="1"/>
  <c r="L850" i="1" s="1"/>
  <c r="AO826" i="1"/>
  <c r="L826" i="1" s="1"/>
  <c r="AO814" i="1"/>
  <c r="L814" i="1" s="1"/>
  <c r="AO802" i="1"/>
  <c r="L802" i="1" s="1"/>
  <c r="AO433" i="1"/>
  <c r="L433" i="1" s="1"/>
  <c r="AO854" i="1"/>
  <c r="L854" i="1" s="1"/>
  <c r="AO842" i="1"/>
  <c r="L842" i="1" s="1"/>
  <c r="AO818" i="1"/>
  <c r="L818" i="1" s="1"/>
  <c r="AO830" i="1"/>
  <c r="L830" i="1" s="1"/>
  <c r="AO806" i="1"/>
  <c r="L806" i="1" s="1"/>
  <c r="AO431" i="1"/>
  <c r="L431" i="1" s="1"/>
  <c r="AO828" i="1"/>
  <c r="L828" i="1" s="1"/>
  <c r="AO852" i="1"/>
  <c r="L852" i="1" s="1"/>
  <c r="AO804" i="1"/>
  <c r="L804" i="1" s="1"/>
  <c r="AO840" i="1"/>
  <c r="L840" i="1" s="1"/>
  <c r="AO816" i="1"/>
  <c r="L816" i="1" s="1"/>
  <c r="AO845" i="1"/>
  <c r="L845" i="1" s="1"/>
  <c r="AO833" i="1"/>
  <c r="L833" i="1" s="1"/>
  <c r="AO857" i="1"/>
  <c r="L857" i="1" s="1"/>
  <c r="AO821" i="1"/>
  <c r="L821" i="1" s="1"/>
  <c r="AO809" i="1"/>
  <c r="L809" i="1" s="1"/>
  <c r="AO432" i="1"/>
  <c r="L432" i="1" s="1"/>
  <c r="AO829" i="1"/>
  <c r="L829" i="1" s="1"/>
  <c r="AO805" i="1"/>
  <c r="L805" i="1" s="1"/>
  <c r="AO817" i="1"/>
  <c r="L817" i="1" s="1"/>
  <c r="AO853" i="1"/>
  <c r="L853" i="1" s="1"/>
  <c r="AO841" i="1"/>
  <c r="L841" i="1" s="1"/>
  <c r="AO856" i="1"/>
  <c r="L856" i="1" s="1"/>
  <c r="AO844" i="1"/>
  <c r="L844" i="1" s="1"/>
  <c r="AO832" i="1"/>
  <c r="L832" i="1" s="1"/>
  <c r="AO820" i="1"/>
  <c r="L820" i="1" s="1"/>
  <c r="AO808" i="1"/>
  <c r="L808" i="1" s="1"/>
  <c r="AO861" i="1"/>
  <c r="L861" i="1" s="1"/>
  <c r="AO859" i="1"/>
  <c r="L859" i="1" s="1"/>
  <c r="AO847" i="1"/>
  <c r="L847" i="1" s="1"/>
  <c r="AO823" i="1"/>
  <c r="L823" i="1" s="1"/>
  <c r="AO811" i="1"/>
  <c r="L811" i="1" s="1"/>
  <c r="AO835" i="1"/>
  <c r="L835" i="1" s="1"/>
  <c r="AO430" i="1"/>
  <c r="L430" i="1" s="1"/>
  <c r="AO827" i="1"/>
  <c r="L827" i="1" s="1"/>
  <c r="AO815" i="1"/>
  <c r="L815" i="1" s="1"/>
  <c r="AO803" i="1"/>
  <c r="L803" i="1" s="1"/>
  <c r="AO839" i="1"/>
  <c r="L839" i="1" s="1"/>
  <c r="AO851" i="1"/>
  <c r="L851" i="1" s="1"/>
  <c r="AO434" i="1"/>
  <c r="L434" i="1" s="1"/>
  <c r="AO831" i="1"/>
  <c r="L831" i="1" s="1"/>
  <c r="AO855" i="1"/>
  <c r="L855" i="1" s="1"/>
  <c r="AO807" i="1"/>
  <c r="L807" i="1" s="1"/>
  <c r="AO843" i="1"/>
  <c r="L843" i="1" s="1"/>
  <c r="AO819" i="1"/>
  <c r="L819" i="1" s="1"/>
  <c r="AK836" i="1"/>
  <c r="Q836" i="1" s="1"/>
  <c r="AK832" i="1"/>
  <c r="Q832" i="1" s="1"/>
  <c r="AJ830" i="1"/>
  <c r="P830" i="1" s="1"/>
  <c r="AJ826" i="1"/>
  <c r="P826" i="1" s="1"/>
  <c r="AK856" i="1"/>
  <c r="Q856" i="1" s="1"/>
  <c r="AJ856" i="1"/>
  <c r="P856" i="1" s="1"/>
  <c r="AJ848" i="1"/>
  <c r="P848" i="1" s="1"/>
  <c r="AJ850" i="1"/>
  <c r="P850" i="1" s="1"/>
  <c r="AJ838" i="1"/>
  <c r="P838" i="1" s="1"/>
  <c r="AJ836" i="1"/>
  <c r="AK824" i="1"/>
  <c r="Q824" i="1" s="1"/>
  <c r="AJ820" i="1"/>
  <c r="P820" i="1" s="1"/>
  <c r="AK830" i="1"/>
  <c r="Q830" i="1" s="1"/>
  <c r="AJ824" i="1"/>
  <c r="P824" i="1" s="1"/>
  <c r="AK818" i="1"/>
  <c r="Q818" i="1" s="1"/>
  <c r="AK814" i="1"/>
  <c r="Q814" i="1" s="1"/>
  <c r="AK808" i="1"/>
  <c r="Q808" i="1" s="1"/>
  <c r="AK806" i="1"/>
  <c r="Q806" i="1" s="1"/>
  <c r="AK854" i="1"/>
  <c r="Q854" i="1" s="1"/>
  <c r="AK844" i="1"/>
  <c r="Q844" i="1" s="1"/>
  <c r="AK842" i="1"/>
  <c r="Q842" i="1" s="1"/>
  <c r="AJ854" i="1"/>
  <c r="P854" i="1" s="1"/>
  <c r="AK850" i="1"/>
  <c r="Q850" i="1" s="1"/>
  <c r="AJ832" i="1"/>
  <c r="AK820" i="1"/>
  <c r="Q820" i="1" s="1"/>
  <c r="AJ818" i="1"/>
  <c r="P818" i="1" s="1"/>
  <c r="AJ814" i="1"/>
  <c r="P814" i="1" s="1"/>
  <c r="AJ808" i="1"/>
  <c r="AJ800" i="1"/>
  <c r="P800" i="1" s="1"/>
  <c r="AJ806" i="1"/>
  <c r="AK800" i="1"/>
  <c r="Q800" i="1" s="1"/>
  <c r="AK848" i="1"/>
  <c r="Q848" i="1" s="1"/>
  <c r="AJ842" i="1"/>
  <c r="AK826" i="1"/>
  <c r="Q826" i="1" s="1"/>
  <c r="AK812" i="1"/>
  <c r="Q812" i="1" s="1"/>
  <c r="AK802" i="1"/>
  <c r="Q802" i="1" s="1"/>
  <c r="AJ812" i="1"/>
  <c r="P812" i="1" s="1"/>
  <c r="AJ844" i="1"/>
  <c r="P844" i="1" s="1"/>
  <c r="AK838" i="1"/>
  <c r="Q838" i="1" s="1"/>
  <c r="AJ802" i="1"/>
  <c r="AJ852" i="1"/>
  <c r="P852" i="1" s="1"/>
  <c r="AJ840" i="1"/>
  <c r="P840" i="1" s="1"/>
  <c r="AK852" i="1"/>
  <c r="Q852" i="1" s="1"/>
  <c r="AK840" i="1"/>
  <c r="Q840" i="1" s="1"/>
  <c r="AK816" i="1"/>
  <c r="Q816" i="1" s="1"/>
  <c r="AJ804" i="1"/>
  <c r="P804" i="1" s="1"/>
  <c r="AK828" i="1"/>
  <c r="Q828" i="1" s="1"/>
  <c r="AK804" i="1"/>
  <c r="Q804" i="1" s="1"/>
  <c r="AJ816" i="1"/>
  <c r="AJ828" i="1"/>
  <c r="P828" i="1" s="1"/>
  <c r="BA29" i="1"/>
  <c r="AJ861" i="1"/>
  <c r="AK861" i="1"/>
  <c r="AK859" i="1"/>
  <c r="Q859" i="1" s="1"/>
  <c r="AJ847" i="1"/>
  <c r="P847" i="1" s="1"/>
  <c r="AJ835" i="1"/>
  <c r="AJ859" i="1"/>
  <c r="P859" i="1" s="1"/>
  <c r="AK811" i="1"/>
  <c r="Q811" i="1" s="1"/>
  <c r="AK835" i="1"/>
  <c r="Q835" i="1" s="1"/>
  <c r="AK823" i="1"/>
  <c r="Q823" i="1" s="1"/>
  <c r="AJ811" i="1"/>
  <c r="P811" i="1" s="1"/>
  <c r="AJ823" i="1"/>
  <c r="P823" i="1" s="1"/>
  <c r="AK847" i="1"/>
  <c r="Q847" i="1" s="1"/>
  <c r="AJ849" i="1"/>
  <c r="P849" i="1" s="1"/>
  <c r="AK849" i="1"/>
  <c r="Q849" i="1" s="1"/>
  <c r="AK837" i="1"/>
  <c r="Q837" i="1" s="1"/>
  <c r="AJ825" i="1"/>
  <c r="P825" i="1" s="1"/>
  <c r="AJ813" i="1"/>
  <c r="AJ837" i="1"/>
  <c r="P837" i="1" s="1"/>
  <c r="AJ801" i="1"/>
  <c r="P801" i="1" s="1"/>
  <c r="AK813" i="1"/>
  <c r="Q813" i="1" s="1"/>
  <c r="AK801" i="1"/>
  <c r="Q801" i="1" s="1"/>
  <c r="AK825" i="1"/>
  <c r="Q825" i="1" s="1"/>
  <c r="BA34" i="1"/>
  <c r="AK857" i="1"/>
  <c r="Q857" i="1" s="1"/>
  <c r="AJ833" i="1"/>
  <c r="AJ809" i="1"/>
  <c r="P809" i="1" s="1"/>
  <c r="AJ857" i="1"/>
  <c r="P857" i="1" s="1"/>
  <c r="AK845" i="1"/>
  <c r="Q845" i="1" s="1"/>
  <c r="AJ845" i="1"/>
  <c r="AK821" i="1"/>
  <c r="Q821" i="1" s="1"/>
  <c r="AK809" i="1"/>
  <c r="Q809" i="1" s="1"/>
  <c r="AK833" i="1"/>
  <c r="Q833" i="1" s="1"/>
  <c r="AJ821" i="1"/>
  <c r="AK851" i="1"/>
  <c r="Q851" i="1" s="1"/>
  <c r="AK839" i="1"/>
  <c r="Q839" i="1" s="1"/>
  <c r="AK827" i="1"/>
  <c r="Q827" i="1" s="1"/>
  <c r="AJ839" i="1"/>
  <c r="AJ851" i="1"/>
  <c r="AJ827" i="1"/>
  <c r="P827" i="1" s="1"/>
  <c r="AK803" i="1"/>
  <c r="Q803" i="1" s="1"/>
  <c r="AK815" i="1"/>
  <c r="Q815" i="1" s="1"/>
  <c r="AJ815" i="1"/>
  <c r="P815" i="1" s="1"/>
  <c r="AJ803" i="1"/>
  <c r="P803" i="1" s="1"/>
  <c r="AJ855" i="1"/>
  <c r="P855" i="1" s="1"/>
  <c r="AJ843" i="1"/>
  <c r="AK855" i="1"/>
  <c r="Q855" i="1" s="1"/>
  <c r="AK831" i="1"/>
  <c r="Q831" i="1" s="1"/>
  <c r="AK843" i="1"/>
  <c r="Q843" i="1" s="1"/>
  <c r="AJ831" i="1"/>
  <c r="AK807" i="1"/>
  <c r="Q807" i="1" s="1"/>
  <c r="AK819" i="1"/>
  <c r="Q819" i="1" s="1"/>
  <c r="AJ807" i="1"/>
  <c r="P807" i="1" s="1"/>
  <c r="AJ819" i="1"/>
  <c r="BA40" i="1"/>
  <c r="AJ858" i="1"/>
  <c r="P858" i="1" s="1"/>
  <c r="AK846" i="1"/>
  <c r="Q846" i="1" s="1"/>
  <c r="AK834" i="1"/>
  <c r="Q834" i="1" s="1"/>
  <c r="AK858" i="1"/>
  <c r="Q858" i="1" s="1"/>
  <c r="AJ834" i="1"/>
  <c r="P834" i="1" s="1"/>
  <c r="AK822" i="1"/>
  <c r="Q822" i="1" s="1"/>
  <c r="AJ810" i="1"/>
  <c r="AJ822" i="1"/>
  <c r="P822" i="1" s="1"/>
  <c r="AJ846" i="1"/>
  <c r="P846" i="1" s="1"/>
  <c r="AK810" i="1"/>
  <c r="Q810" i="1" s="1"/>
  <c r="AK853" i="1"/>
  <c r="Q853" i="1" s="1"/>
  <c r="AK841" i="1"/>
  <c r="Q841" i="1" s="1"/>
  <c r="AJ853" i="1"/>
  <c r="P853" i="1" s="1"/>
  <c r="AJ841" i="1"/>
  <c r="P841" i="1" s="1"/>
  <c r="AJ817" i="1"/>
  <c r="AK829" i="1"/>
  <c r="Q829" i="1" s="1"/>
  <c r="AJ829" i="1"/>
  <c r="P829" i="1" s="1"/>
  <c r="AK805" i="1"/>
  <c r="Q805" i="1" s="1"/>
  <c r="AJ805" i="1"/>
  <c r="AK817" i="1"/>
  <c r="Q817" i="1" s="1"/>
  <c r="K581" i="1"/>
  <c r="AI759" i="1"/>
  <c r="O759" i="1" s="1"/>
  <c r="BA5" i="1"/>
  <c r="AK860" i="1"/>
  <c r="AJ860" i="1"/>
  <c r="AO427" i="1"/>
  <c r="L427" i="1" s="1"/>
  <c r="AO848" i="1"/>
  <c r="L848" i="1" s="1"/>
  <c r="AO812" i="1"/>
  <c r="L812" i="1" s="1"/>
  <c r="AO800" i="1"/>
  <c r="L800" i="1" s="1"/>
  <c r="AO836" i="1"/>
  <c r="L836" i="1" s="1"/>
  <c r="AO824" i="1"/>
  <c r="L824" i="1" s="1"/>
  <c r="AO428" i="1"/>
  <c r="L428" i="1" s="1"/>
  <c r="AO837" i="1"/>
  <c r="L837" i="1" s="1"/>
  <c r="AO825" i="1"/>
  <c r="L825" i="1" s="1"/>
  <c r="AO813" i="1"/>
  <c r="L813" i="1" s="1"/>
  <c r="AO801" i="1"/>
  <c r="L801" i="1" s="1"/>
  <c r="AO849" i="1"/>
  <c r="L849" i="1" s="1"/>
  <c r="AO858" i="1"/>
  <c r="L858" i="1" s="1"/>
  <c r="AO846" i="1"/>
  <c r="L846" i="1" s="1"/>
  <c r="AO810" i="1"/>
  <c r="L810" i="1" s="1"/>
  <c r="AO834" i="1"/>
  <c r="L834" i="1" s="1"/>
  <c r="AO822" i="1"/>
  <c r="L822" i="1" s="1"/>
  <c r="K586" i="1"/>
  <c r="AH750" i="1"/>
  <c r="AI548" i="1"/>
  <c r="O548" i="1" s="1"/>
  <c r="K600" i="1"/>
  <c r="AI620" i="1"/>
  <c r="O620" i="1" s="1"/>
  <c r="K636" i="1"/>
  <c r="K442" i="1"/>
  <c r="K532" i="1"/>
  <c r="K561" i="1"/>
  <c r="K606" i="1"/>
  <c r="K643" i="1"/>
  <c r="K750" i="1"/>
  <c r="AI68" i="1"/>
  <c r="O68" i="1" s="1"/>
  <c r="K548" i="1"/>
  <c r="K620" i="1"/>
  <c r="AI762" i="1"/>
  <c r="O762" i="1" s="1"/>
  <c r="K496" i="1"/>
  <c r="K475" i="1"/>
  <c r="K71" i="1"/>
  <c r="K446" i="1"/>
  <c r="AH475" i="1"/>
  <c r="AL475" i="1" s="1"/>
  <c r="K517" i="1"/>
  <c r="K576" i="1"/>
  <c r="K588" i="1"/>
  <c r="K621" i="1"/>
  <c r="K688" i="1"/>
  <c r="K754" i="1"/>
  <c r="AH777" i="1"/>
  <c r="AL777" i="1" s="1"/>
  <c r="K68" i="1"/>
  <c r="K472" i="1"/>
  <c r="AI496" i="1"/>
  <c r="O496" i="1" s="1"/>
  <c r="K592" i="1"/>
  <c r="AI612" i="1"/>
  <c r="O612" i="1" s="1"/>
  <c r="K616" i="1"/>
  <c r="K630" i="1"/>
  <c r="K648" i="1"/>
  <c r="K704" i="1"/>
  <c r="K759" i="1"/>
  <c r="AI442" i="1"/>
  <c r="O442" i="1" s="1"/>
  <c r="K445" i="1"/>
  <c r="K448" i="1"/>
  <c r="AI438" i="1"/>
  <c r="O438" i="1" s="1"/>
  <c r="K441" i="1"/>
  <c r="AK433" i="1"/>
  <c r="Q433" i="1" s="1"/>
  <c r="AJ427" i="1"/>
  <c r="P427" i="1" s="1"/>
  <c r="AJ429" i="1"/>
  <c r="P429" i="1" s="1"/>
  <c r="AK429" i="1"/>
  <c r="Q429" i="1" s="1"/>
  <c r="AJ433" i="1"/>
  <c r="P433" i="1" s="1"/>
  <c r="AK427" i="1"/>
  <c r="Q427" i="1" s="1"/>
  <c r="BA28" i="1"/>
  <c r="AJ431" i="1"/>
  <c r="P431" i="1" s="1"/>
  <c r="AK431" i="1"/>
  <c r="Q431" i="1" s="1"/>
  <c r="BA33" i="1"/>
  <c r="AJ428" i="1"/>
  <c r="P428" i="1" s="1"/>
  <c r="AK428" i="1"/>
  <c r="Q428" i="1" s="1"/>
  <c r="BA35" i="1"/>
  <c r="AJ430" i="1"/>
  <c r="P430" i="1" s="1"/>
  <c r="AK430" i="1"/>
  <c r="Q430" i="1" s="1"/>
  <c r="BA36" i="1"/>
  <c r="AK434" i="1"/>
  <c r="Q434" i="1" s="1"/>
  <c r="AJ434" i="1"/>
  <c r="P434" i="1" s="1"/>
  <c r="BA41" i="1"/>
  <c r="AJ432" i="1"/>
  <c r="P432" i="1" s="1"/>
  <c r="AK432" i="1"/>
  <c r="Q432" i="1" s="1"/>
  <c r="K615" i="1"/>
  <c r="K631" i="1"/>
  <c r="AH71" i="1"/>
  <c r="AL71" i="1" s="1"/>
  <c r="AM71" i="1" s="1"/>
  <c r="S71" i="1" s="1"/>
  <c r="K436" i="1"/>
  <c r="K501" i="1"/>
  <c r="K516" i="1"/>
  <c r="K540" i="1"/>
  <c r="K549" i="1"/>
  <c r="K569" i="1"/>
  <c r="AH581" i="1"/>
  <c r="N581" i="1" s="1"/>
  <c r="K584" i="1"/>
  <c r="AH593" i="1"/>
  <c r="AH600" i="1"/>
  <c r="AL600" i="1" s="1"/>
  <c r="AM600" i="1" s="1"/>
  <c r="S600" i="1" s="1"/>
  <c r="AI606" i="1"/>
  <c r="O606" i="1" s="1"/>
  <c r="AI616" i="1"/>
  <c r="O616" i="1" s="1"/>
  <c r="AI636" i="1"/>
  <c r="O636" i="1" s="1"/>
  <c r="K637" i="1"/>
  <c r="AH643" i="1"/>
  <c r="AL643" i="1" s="1"/>
  <c r="AM643" i="1" s="1"/>
  <c r="S643" i="1" s="1"/>
  <c r="AH648" i="1"/>
  <c r="AL648" i="1" s="1"/>
  <c r="AM648" i="1" s="1"/>
  <c r="S648" i="1" s="1"/>
  <c r="K652" i="1"/>
  <c r="K659" i="1"/>
  <c r="K682" i="1"/>
  <c r="AI688" i="1"/>
  <c r="O688" i="1" s="1"/>
  <c r="K689" i="1"/>
  <c r="AH717" i="1"/>
  <c r="AL717" i="1" s="1"/>
  <c r="R717" i="1" s="1"/>
  <c r="K726" i="1"/>
  <c r="AI746" i="1"/>
  <c r="O746" i="1" s="1"/>
  <c r="K67" i="1"/>
  <c r="AI108" i="1"/>
  <c r="O108" i="1" s="1"/>
  <c r="AI445" i="1"/>
  <c r="O445" i="1" s="1"/>
  <c r="AI472" i="1"/>
  <c r="O472" i="1" s="1"/>
  <c r="AH484" i="1"/>
  <c r="AL484" i="1" s="1"/>
  <c r="K524" i="1"/>
  <c r="AI532" i="1"/>
  <c r="O532" i="1" s="1"/>
  <c r="K533" i="1"/>
  <c r="AI554" i="1"/>
  <c r="O554" i="1" s="1"/>
  <c r="AH578" i="1"/>
  <c r="AL578" i="1" s="1"/>
  <c r="R578" i="1" s="1"/>
  <c r="AH588" i="1"/>
  <c r="AL588" i="1" s="1"/>
  <c r="R588" i="1" s="1"/>
  <c r="K596" i="1"/>
  <c r="AI602" i="1"/>
  <c r="O602" i="1" s="1"/>
  <c r="AH615" i="1"/>
  <c r="AL615" i="1" s="1"/>
  <c r="R615" i="1" s="1"/>
  <c r="AI624" i="1"/>
  <c r="O624" i="1" s="1"/>
  <c r="AH631" i="1"/>
  <c r="N631" i="1" s="1"/>
  <c r="K642" i="1"/>
  <c r="K685" i="1"/>
  <c r="AI708" i="1"/>
  <c r="O708" i="1" s="1"/>
  <c r="K709" i="1"/>
  <c r="AH754" i="1"/>
  <c r="AL754" i="1" s="1"/>
  <c r="AJ5" i="1"/>
  <c r="P5" i="1" s="1"/>
  <c r="BA31" i="1"/>
  <c r="BA38" i="1"/>
  <c r="BA42" i="1"/>
  <c r="K65" i="1"/>
  <c r="AH67" i="1"/>
  <c r="N67" i="1" s="1"/>
  <c r="K70" i="1"/>
  <c r="K86" i="1"/>
  <c r="AI436" i="1"/>
  <c r="O436" i="1" s="1"/>
  <c r="AI457" i="1"/>
  <c r="O457" i="1" s="1"/>
  <c r="AH465" i="1"/>
  <c r="N465" i="1" s="1"/>
  <c r="K479" i="1"/>
  <c r="K491" i="1"/>
  <c r="AI516" i="1"/>
  <c r="O516" i="1" s="1"/>
  <c r="AI584" i="1"/>
  <c r="O584" i="1" s="1"/>
  <c r="AH590" i="1"/>
  <c r="AL590" i="1" s="1"/>
  <c r="AM590" i="1" s="1"/>
  <c r="S590" i="1" s="1"/>
  <c r="AI603" i="1"/>
  <c r="O603" i="1" s="1"/>
  <c r="AH627" i="1"/>
  <c r="AL627" i="1" s="1"/>
  <c r="AM627" i="1" s="1"/>
  <c r="S627" i="1" s="1"/>
  <c r="AH652" i="1"/>
  <c r="AL652" i="1" s="1"/>
  <c r="AI698" i="1"/>
  <c r="O698" i="1" s="1"/>
  <c r="K717" i="1"/>
  <c r="AH730" i="1"/>
  <c r="AL730" i="1" s="1"/>
  <c r="AM730" i="1" s="1"/>
  <c r="S730" i="1" s="1"/>
  <c r="AI744" i="1"/>
  <c r="O744" i="1" s="1"/>
  <c r="BA45" i="1"/>
  <c r="AH110" i="1"/>
  <c r="AL110" i="1" s="1"/>
  <c r="R110" i="1" s="1"/>
  <c r="BA30" i="1"/>
  <c r="BA37" i="1"/>
  <c r="BA50" i="1"/>
  <c r="AI114" i="1"/>
  <c r="O114" i="1" s="1"/>
  <c r="K107" i="1"/>
  <c r="K111" i="1"/>
  <c r="K114" i="1"/>
  <c r="K108" i="1"/>
  <c r="AI109" i="1"/>
  <c r="O109" i="1" s="1"/>
  <c r="AI116" i="1"/>
  <c r="O116" i="1" s="1"/>
  <c r="K64" i="1"/>
  <c r="K72" i="1"/>
  <c r="K85" i="1"/>
  <c r="K63" i="1"/>
  <c r="K78" i="1"/>
  <c r="AH78" i="1"/>
  <c r="AL78" i="1" s="1"/>
  <c r="AM78" i="1" s="1"/>
  <c r="S78" i="1" s="1"/>
  <c r="K87" i="1"/>
  <c r="AI441" i="1"/>
  <c r="O441" i="1" s="1"/>
  <c r="AI448" i="1"/>
  <c r="O448" i="1" s="1"/>
  <c r="K449" i="1"/>
  <c r="AI452" i="1"/>
  <c r="O452" i="1" s="1"/>
  <c r="AI456" i="1"/>
  <c r="O456" i="1" s="1"/>
  <c r="K457" i="1"/>
  <c r="AI460" i="1"/>
  <c r="O460" i="1" s="1"/>
  <c r="AI464" i="1"/>
  <c r="O464" i="1" s="1"/>
  <c r="K465" i="1"/>
  <c r="AI468" i="1"/>
  <c r="O468" i="1" s="1"/>
  <c r="K469" i="1"/>
  <c r="AI476" i="1"/>
  <c r="O476" i="1" s="1"/>
  <c r="AH479" i="1"/>
  <c r="N479" i="1" s="1"/>
  <c r="AI483" i="1"/>
  <c r="O483" i="1" s="1"/>
  <c r="AI491" i="1"/>
  <c r="O491" i="1" s="1"/>
  <c r="K622" i="1"/>
  <c r="K626" i="1"/>
  <c r="N635" i="1"/>
  <c r="K699" i="1"/>
  <c r="AI705" i="1"/>
  <c r="O705" i="1" s="1"/>
  <c r="K712" i="1"/>
  <c r="K765" i="1"/>
  <c r="AH768" i="1"/>
  <c r="N768" i="1" s="1"/>
  <c r="AH772" i="1"/>
  <c r="N772" i="1" s="1"/>
  <c r="N779" i="1"/>
  <c r="K789" i="1"/>
  <c r="AI444" i="1"/>
  <c r="O444" i="1" s="1"/>
  <c r="AH461" i="1"/>
  <c r="AL461" i="1" s="1"/>
  <c r="K497" i="1"/>
  <c r="AH511" i="1"/>
  <c r="AL511" i="1" s="1"/>
  <c r="R511" i="1" s="1"/>
  <c r="AH527" i="1"/>
  <c r="AL527" i="1" s="1"/>
  <c r="R527" i="1" s="1"/>
  <c r="AH543" i="1"/>
  <c r="N543" i="1" s="1"/>
  <c r="K550" i="1"/>
  <c r="K553" i="1"/>
  <c r="K568" i="1"/>
  <c r="AH569" i="1"/>
  <c r="AL569" i="1" s="1"/>
  <c r="K580" i="1"/>
  <c r="K585" i="1"/>
  <c r="K604" i="1"/>
  <c r="AI630" i="1"/>
  <c r="O630" i="1" s="1"/>
  <c r="AI642" i="1"/>
  <c r="O642" i="1" s="1"/>
  <c r="AI656" i="1"/>
  <c r="O656" i="1" s="1"/>
  <c r="K657" i="1"/>
  <c r="AI673" i="1"/>
  <c r="O673" i="1" s="1"/>
  <c r="K674" i="1"/>
  <c r="AH685" i="1"/>
  <c r="AL685" i="1" s="1"/>
  <c r="R685" i="1" s="1"/>
  <c r="AI689" i="1"/>
  <c r="O689" i="1" s="1"/>
  <c r="AH707" i="1"/>
  <c r="AL707" i="1" s="1"/>
  <c r="AM707" i="1" s="1"/>
  <c r="S707" i="1" s="1"/>
  <c r="AH726" i="1"/>
  <c r="AL726" i="1" s="1"/>
  <c r="K728" i="1"/>
  <c r="AH737" i="1"/>
  <c r="AL737" i="1" s="1"/>
  <c r="AM737" i="1" s="1"/>
  <c r="S737" i="1" s="1"/>
  <c r="K745" i="1"/>
  <c r="K799" i="1"/>
  <c r="K483" i="1"/>
  <c r="K500" i="1"/>
  <c r="AI508" i="1"/>
  <c r="O508" i="1" s="1"/>
  <c r="K509" i="1"/>
  <c r="AI524" i="1"/>
  <c r="O524" i="1" s="1"/>
  <c r="K525" i="1"/>
  <c r="AI540" i="1"/>
  <c r="O540" i="1" s="1"/>
  <c r="K541" i="1"/>
  <c r="AI557" i="1"/>
  <c r="O557" i="1" s="1"/>
  <c r="K558" i="1"/>
  <c r="AH577" i="1"/>
  <c r="AL577" i="1" s="1"/>
  <c r="R577" i="1" s="1"/>
  <c r="AH582" i="1"/>
  <c r="AL582" i="1" s="1"/>
  <c r="AM582" i="1" s="1"/>
  <c r="S582" i="1" s="1"/>
  <c r="AH586" i="1"/>
  <c r="AL586" i="1" s="1"/>
  <c r="R586" i="1" s="1"/>
  <c r="K590" i="1"/>
  <c r="AH592" i="1"/>
  <c r="N592" i="1" s="1"/>
  <c r="K602" i="1"/>
  <c r="AI622" i="1"/>
  <c r="O622" i="1" s="1"/>
  <c r="N624" i="1"/>
  <c r="AI626" i="1"/>
  <c r="O626" i="1" s="1"/>
  <c r="AI635" i="1"/>
  <c r="O635" i="1" s="1"/>
  <c r="AI640" i="1"/>
  <c r="O640" i="1" s="1"/>
  <c r="K641" i="1"/>
  <c r="AI646" i="1"/>
  <c r="O646" i="1" s="1"/>
  <c r="AI651" i="1"/>
  <c r="O651" i="1" s="1"/>
  <c r="AI659" i="1"/>
  <c r="O659" i="1" s="1"/>
  <c r="AI677" i="1"/>
  <c r="O677" i="1" s="1"/>
  <c r="K678" i="1"/>
  <c r="AI693" i="1"/>
  <c r="O693" i="1" s="1"/>
  <c r="K724" i="1"/>
  <c r="K730" i="1"/>
  <c r="AI732" i="1"/>
  <c r="O732" i="1" s="1"/>
  <c r="K733" i="1"/>
  <c r="AH741" i="1"/>
  <c r="AL741" i="1" s="1"/>
  <c r="R741" i="1" s="1"/>
  <c r="K753" i="1"/>
  <c r="AH755" i="1"/>
  <c r="AL755" i="1" s="1"/>
  <c r="R755" i="1" s="1"/>
  <c r="K756" i="1"/>
  <c r="AH765" i="1"/>
  <c r="AL765" i="1" s="1"/>
  <c r="AM765" i="1" s="1"/>
  <c r="S765" i="1" s="1"/>
  <c r="K768" i="1"/>
  <c r="K772" i="1"/>
  <c r="AI775" i="1"/>
  <c r="O775" i="1" s="1"/>
  <c r="AI779" i="1"/>
  <c r="O779" i="1" s="1"/>
  <c r="AI789" i="1"/>
  <c r="O789" i="1" s="1"/>
  <c r="K444" i="1"/>
  <c r="AI487" i="1"/>
  <c r="O487" i="1" s="1"/>
  <c r="AH503" i="1"/>
  <c r="AL503" i="1" s="1"/>
  <c r="AH519" i="1"/>
  <c r="AL519" i="1" s="1"/>
  <c r="R519" i="1" s="1"/>
  <c r="AH535" i="1"/>
  <c r="N535" i="1" s="1"/>
  <c r="AI550" i="1"/>
  <c r="O550" i="1" s="1"/>
  <c r="AI568" i="1"/>
  <c r="O568" i="1" s="1"/>
  <c r="AI573" i="1"/>
  <c r="O573" i="1" s="1"/>
  <c r="AI580" i="1"/>
  <c r="O580" i="1" s="1"/>
  <c r="AH585" i="1"/>
  <c r="AL585" i="1" s="1"/>
  <c r="AH597" i="1"/>
  <c r="AL597" i="1" s="1"/>
  <c r="R597" i="1" s="1"/>
  <c r="AI604" i="1"/>
  <c r="O604" i="1" s="1"/>
  <c r="AI607" i="1"/>
  <c r="O607" i="1" s="1"/>
  <c r="AH662" i="1"/>
  <c r="AL662" i="1" s="1"/>
  <c r="R662" i="1" s="1"/>
  <c r="AK8" i="1"/>
  <c r="Q8" i="1" s="1"/>
  <c r="BG99" i="1"/>
  <c r="BL99" i="1"/>
  <c r="K62" i="1"/>
  <c r="K69" i="1"/>
  <c r="K73" i="1"/>
  <c r="K75" i="1"/>
  <c r="AH76" i="1"/>
  <c r="AL76" i="1" s="1"/>
  <c r="AM76" i="1" s="1"/>
  <c r="S76" i="1" s="1"/>
  <c r="AH83" i="1"/>
  <c r="K106" i="1"/>
  <c r="K125" i="1"/>
  <c r="AL500" i="1"/>
  <c r="AM500" i="1" s="1"/>
  <c r="S500" i="1" s="1"/>
  <c r="N500" i="1"/>
  <c r="AL516" i="1"/>
  <c r="AM516" i="1" s="1"/>
  <c r="S516" i="1" s="1"/>
  <c r="N516" i="1"/>
  <c r="AL532" i="1"/>
  <c r="AM532" i="1" s="1"/>
  <c r="S532" i="1" s="1"/>
  <c r="N532" i="1"/>
  <c r="AL548" i="1"/>
  <c r="AM548" i="1" s="1"/>
  <c r="S548" i="1" s="1"/>
  <c r="N548" i="1"/>
  <c r="AH64" i="1"/>
  <c r="N64" i="1" s="1"/>
  <c r="K77" i="1"/>
  <c r="K83" i="1"/>
  <c r="AH87" i="1"/>
  <c r="AL87" i="1" s="1"/>
  <c r="R87" i="1" s="1"/>
  <c r="AH88" i="1"/>
  <c r="K101" i="1"/>
  <c r="BB42" i="1"/>
  <c r="K61" i="1"/>
  <c r="AH62" i="1"/>
  <c r="AL62" i="1" s="1"/>
  <c r="AM62" i="1" s="1"/>
  <c r="S62" i="1" s="1"/>
  <c r="AI73" i="1"/>
  <c r="O73" i="1" s="1"/>
  <c r="K76" i="1"/>
  <c r="K88" i="1"/>
  <c r="K92" i="1"/>
  <c r="AH104" i="1"/>
  <c r="AL104" i="1" s="1"/>
  <c r="R104" i="1" s="1"/>
  <c r="AI106" i="1"/>
  <c r="O106" i="1" s="1"/>
  <c r="AI107" i="1"/>
  <c r="O107" i="1" s="1"/>
  <c r="AI115" i="1"/>
  <c r="O115" i="1" s="1"/>
  <c r="AI125" i="1"/>
  <c r="O125" i="1" s="1"/>
  <c r="AL508" i="1"/>
  <c r="AM508" i="1" s="1"/>
  <c r="S508" i="1" s="1"/>
  <c r="N508" i="1"/>
  <c r="AL524" i="1"/>
  <c r="AM524" i="1" s="1"/>
  <c r="S524" i="1" s="1"/>
  <c r="N524" i="1"/>
  <c r="AL540" i="1"/>
  <c r="R540" i="1" s="1"/>
  <c r="N540" i="1"/>
  <c r="AI611" i="1"/>
  <c r="O611" i="1" s="1"/>
  <c r="AH611" i="1"/>
  <c r="N611" i="1" s="1"/>
  <c r="AL681" i="1"/>
  <c r="R681" i="1" s="1"/>
  <c r="N681" i="1"/>
  <c r="AI690" i="1"/>
  <c r="O690" i="1" s="1"/>
  <c r="AH690" i="1"/>
  <c r="AL690" i="1" s="1"/>
  <c r="AM690" i="1" s="1"/>
  <c r="S690" i="1" s="1"/>
  <c r="AH696" i="1"/>
  <c r="AL696" i="1" s="1"/>
  <c r="AI696" i="1"/>
  <c r="O696" i="1" s="1"/>
  <c r="AH700" i="1"/>
  <c r="AL700" i="1" s="1"/>
  <c r="K700" i="1"/>
  <c r="AH719" i="1"/>
  <c r="AL719" i="1" s="1"/>
  <c r="AM719" i="1" s="1"/>
  <c r="S719" i="1" s="1"/>
  <c r="AI719" i="1"/>
  <c r="O719" i="1" s="1"/>
  <c r="AI752" i="1"/>
  <c r="O752" i="1" s="1"/>
  <c r="AH752" i="1"/>
  <c r="N752" i="1" s="1"/>
  <c r="AI782" i="1"/>
  <c r="O782" i="1" s="1"/>
  <c r="K782" i="1"/>
  <c r="N491" i="1"/>
  <c r="N551" i="1"/>
  <c r="K570" i="1"/>
  <c r="K574" i="1"/>
  <c r="K589" i="1"/>
  <c r="K594" i="1"/>
  <c r="K598" i="1"/>
  <c r="K632" i="1"/>
  <c r="K638" i="1"/>
  <c r="K647" i="1"/>
  <c r="AH654" i="1"/>
  <c r="N654" i="1" s="1"/>
  <c r="AI654" i="1"/>
  <c r="O654" i="1" s="1"/>
  <c r="AH658" i="1"/>
  <c r="AL658" i="1" s="1"/>
  <c r="K658" i="1"/>
  <c r="K696" i="1"/>
  <c r="AI701" i="1"/>
  <c r="O701" i="1" s="1"/>
  <c r="AH701" i="1"/>
  <c r="AL701" i="1" s="1"/>
  <c r="AM701" i="1" s="1"/>
  <c r="S701" i="1" s="1"/>
  <c r="AI714" i="1"/>
  <c r="O714" i="1" s="1"/>
  <c r="AH714" i="1"/>
  <c r="AL714" i="1" s="1"/>
  <c r="AI760" i="1"/>
  <c r="O760" i="1" s="1"/>
  <c r="AH760" i="1"/>
  <c r="AL760" i="1" s="1"/>
  <c r="K760" i="1"/>
  <c r="N438" i="1"/>
  <c r="K461" i="1"/>
  <c r="K464" i="1"/>
  <c r="AH469" i="1"/>
  <c r="AL469" i="1" s="1"/>
  <c r="AH474" i="1"/>
  <c r="K487" i="1"/>
  <c r="K493" i="1"/>
  <c r="K506" i="1"/>
  <c r="K514" i="1"/>
  <c r="K522" i="1"/>
  <c r="K530" i="1"/>
  <c r="K538" i="1"/>
  <c r="K546" i="1"/>
  <c r="K554" i="1"/>
  <c r="AH555" i="1"/>
  <c r="N555" i="1" s="1"/>
  <c r="AH558" i="1"/>
  <c r="AL558" i="1" s="1"/>
  <c r="AM558" i="1" s="1"/>
  <c r="S558" i="1" s="1"/>
  <c r="AH561" i="1"/>
  <c r="AL561" i="1" s="1"/>
  <c r="AM561" i="1" s="1"/>
  <c r="S561" i="1" s="1"/>
  <c r="AH565" i="1"/>
  <c r="AL565" i="1" s="1"/>
  <c r="AH576" i="1"/>
  <c r="AL576" i="1" s="1"/>
  <c r="R576" i="1" s="1"/>
  <c r="K578" i="1"/>
  <c r="K582" i="1"/>
  <c r="K593" i="1"/>
  <c r="AH596" i="1"/>
  <c r="AL596" i="1" s="1"/>
  <c r="K603" i="1"/>
  <c r="K611" i="1"/>
  <c r="AH619" i="1"/>
  <c r="AL619" i="1" s="1"/>
  <c r="AM619" i="1" s="1"/>
  <c r="S619" i="1" s="1"/>
  <c r="AI619" i="1"/>
  <c r="O619" i="1" s="1"/>
  <c r="K625" i="1"/>
  <c r="K627" i="1"/>
  <c r="K654" i="1"/>
  <c r="AL656" i="1"/>
  <c r="R656" i="1" s="1"/>
  <c r="N656" i="1"/>
  <c r="K662" i="1"/>
  <c r="AI670" i="1"/>
  <c r="O670" i="1" s="1"/>
  <c r="AH670" i="1"/>
  <c r="AL673" i="1"/>
  <c r="R673" i="1" s="1"/>
  <c r="N673" i="1"/>
  <c r="K690" i="1"/>
  <c r="AI694" i="1"/>
  <c r="O694" i="1" s="1"/>
  <c r="AH694" i="1"/>
  <c r="AL694" i="1" s="1"/>
  <c r="AI695" i="1"/>
  <c r="O695" i="1" s="1"/>
  <c r="K695" i="1"/>
  <c r="AH716" i="1"/>
  <c r="AL716" i="1" s="1"/>
  <c r="AI716" i="1"/>
  <c r="O716" i="1" s="1"/>
  <c r="AI764" i="1"/>
  <c r="O764" i="1" s="1"/>
  <c r="K764" i="1"/>
  <c r="AH764" i="1"/>
  <c r="AI769" i="1"/>
  <c r="O769" i="1" s="1"/>
  <c r="AH769" i="1"/>
  <c r="AL769" i="1" s="1"/>
  <c r="AM769" i="1" s="1"/>
  <c r="S769" i="1" s="1"/>
  <c r="AI785" i="1"/>
  <c r="O785" i="1" s="1"/>
  <c r="AH785" i="1"/>
  <c r="N785" i="1" s="1"/>
  <c r="AI794" i="1"/>
  <c r="O794" i="1" s="1"/>
  <c r="K794" i="1"/>
  <c r="AI797" i="1"/>
  <c r="O797" i="1" s="1"/>
  <c r="AH797" i="1"/>
  <c r="K797" i="1"/>
  <c r="AI440" i="1"/>
  <c r="O440" i="1" s="1"/>
  <c r="AH449" i="1"/>
  <c r="AL449" i="1" s="1"/>
  <c r="R449" i="1" s="1"/>
  <c r="K456" i="1"/>
  <c r="K474" i="1"/>
  <c r="AI478" i="1"/>
  <c r="O478" i="1" s="1"/>
  <c r="K481" i="1"/>
  <c r="K503" i="1"/>
  <c r="K511" i="1"/>
  <c r="K519" i="1"/>
  <c r="K527" i="1"/>
  <c r="K535" i="1"/>
  <c r="K543" i="1"/>
  <c r="AI551" i="1"/>
  <c r="O551" i="1" s="1"/>
  <c r="K560" i="1"/>
  <c r="K565" i="1"/>
  <c r="AH570" i="1"/>
  <c r="AL570" i="1" s="1"/>
  <c r="R570" i="1" s="1"/>
  <c r="AH574" i="1"/>
  <c r="AL574" i="1" s="1"/>
  <c r="AM574" i="1" s="1"/>
  <c r="S574" i="1" s="1"/>
  <c r="K577" i="1"/>
  <c r="AH589" i="1"/>
  <c r="AL589" i="1" s="1"/>
  <c r="R589" i="1" s="1"/>
  <c r="AH594" i="1"/>
  <c r="AL594" i="1" s="1"/>
  <c r="R594" i="1" s="1"/>
  <c r="K597" i="1"/>
  <c r="AH598" i="1"/>
  <c r="AL598" i="1" s="1"/>
  <c r="AM598" i="1" s="1"/>
  <c r="S598" i="1" s="1"/>
  <c r="AH601" i="1"/>
  <c r="AL601" i="1" s="1"/>
  <c r="AM601" i="1" s="1"/>
  <c r="S601" i="1" s="1"/>
  <c r="AH605" i="1"/>
  <c r="AL605" i="1" s="1"/>
  <c r="R605" i="1" s="1"/>
  <c r="K607" i="1"/>
  <c r="AH614" i="1"/>
  <c r="N614" i="1" s="1"/>
  <c r="AI614" i="1"/>
  <c r="O614" i="1" s="1"/>
  <c r="AI632" i="1"/>
  <c r="O632" i="1" s="1"/>
  <c r="AI638" i="1"/>
  <c r="O638" i="1" s="1"/>
  <c r="K646" i="1"/>
  <c r="AH647" i="1"/>
  <c r="N647" i="1" s="1"/>
  <c r="AI653" i="1"/>
  <c r="O653" i="1" s="1"/>
  <c r="K653" i="1"/>
  <c r="K670" i="1"/>
  <c r="AL677" i="1"/>
  <c r="R677" i="1" s="1"/>
  <c r="N677" i="1"/>
  <c r="AI681" i="1"/>
  <c r="O681" i="1" s="1"/>
  <c r="AI700" i="1"/>
  <c r="O700" i="1" s="1"/>
  <c r="K701" i="1"/>
  <c r="K714" i="1"/>
  <c r="AI729" i="1"/>
  <c r="O729" i="1" s="1"/>
  <c r="AH729" i="1"/>
  <c r="AL729" i="1" s="1"/>
  <c r="AM729" i="1" s="1"/>
  <c r="S729" i="1" s="1"/>
  <c r="AI791" i="1"/>
  <c r="O791" i="1" s="1"/>
  <c r="K791" i="1"/>
  <c r="AH674" i="1"/>
  <c r="AL674" i="1" s="1"/>
  <c r="R674" i="1" s="1"/>
  <c r="AH678" i="1"/>
  <c r="AL678" i="1" s="1"/>
  <c r="AM678" i="1" s="1"/>
  <c r="S678" i="1" s="1"/>
  <c r="AH682" i="1"/>
  <c r="AL682" i="1" s="1"/>
  <c r="AM682" i="1" s="1"/>
  <c r="S682" i="1" s="1"/>
  <c r="AI704" i="1"/>
  <c r="O704" i="1" s="1"/>
  <c r="K708" i="1"/>
  <c r="AH709" i="1"/>
  <c r="N709" i="1" s="1"/>
  <c r="AI712" i="1"/>
  <c r="O712" i="1" s="1"/>
  <c r="AI721" i="1"/>
  <c r="O721" i="1" s="1"/>
  <c r="AI724" i="1"/>
  <c r="O724" i="1" s="1"/>
  <c r="AI728" i="1"/>
  <c r="O728" i="1" s="1"/>
  <c r="AH733" i="1"/>
  <c r="AL733" i="1" s="1"/>
  <c r="AM733" i="1" s="1"/>
  <c r="S733" i="1" s="1"/>
  <c r="AI736" i="1"/>
  <c r="O736" i="1" s="1"/>
  <c r="K737" i="1"/>
  <c r="AI738" i="1"/>
  <c r="O738" i="1" s="1"/>
  <c r="K744" i="1"/>
  <c r="AH745" i="1"/>
  <c r="AL745" i="1" s="1"/>
  <c r="R745" i="1" s="1"/>
  <c r="AI753" i="1"/>
  <c r="O753" i="1" s="1"/>
  <c r="K755" i="1"/>
  <c r="K762" i="1"/>
  <c r="AI763" i="1"/>
  <c r="O763" i="1" s="1"/>
  <c r="AI776" i="1"/>
  <c r="O776" i="1" s="1"/>
  <c r="K777" i="1"/>
  <c r="K779" i="1"/>
  <c r="AM779" i="1"/>
  <c r="S779" i="1" s="1"/>
  <c r="AH781" i="1"/>
  <c r="AL781" i="1" s="1"/>
  <c r="R781" i="1" s="1"/>
  <c r="AH799" i="1"/>
  <c r="AL799" i="1" s="1"/>
  <c r="AM799" i="1" s="1"/>
  <c r="S799" i="1" s="1"/>
  <c r="K715" i="1"/>
  <c r="K786" i="1"/>
  <c r="K98" i="1"/>
  <c r="K90" i="1"/>
  <c r="K100" i="1"/>
  <c r="AI117" i="1"/>
  <c r="O117" i="1" s="1"/>
  <c r="AI124" i="1"/>
  <c r="O124" i="1" s="1"/>
  <c r="AH98" i="1"/>
  <c r="AL98" i="1" s="1"/>
  <c r="R98" i="1" s="1"/>
  <c r="K123" i="1"/>
  <c r="K117" i="1"/>
  <c r="K99" i="1"/>
  <c r="K103" i="1"/>
  <c r="K89" i="1"/>
  <c r="K91" i="1"/>
  <c r="AH92" i="1"/>
  <c r="AL92" i="1" s="1"/>
  <c r="R92" i="1" s="1"/>
  <c r="AH94" i="1"/>
  <c r="AL94" i="1" s="1"/>
  <c r="R94" i="1" s="1"/>
  <c r="AH96" i="1"/>
  <c r="AL96" i="1" s="1"/>
  <c r="R96" i="1" s="1"/>
  <c r="AI100" i="1"/>
  <c r="O100" i="1" s="1"/>
  <c r="AI101" i="1"/>
  <c r="O101" i="1" s="1"/>
  <c r="K105" i="1"/>
  <c r="K110" i="1"/>
  <c r="K116" i="1"/>
  <c r="K124" i="1"/>
  <c r="AI99" i="1"/>
  <c r="O99" i="1" s="1"/>
  <c r="K109" i="1"/>
  <c r="K115" i="1"/>
  <c r="K119" i="1"/>
  <c r="AH120" i="1"/>
  <c r="AL120" i="1" s="1"/>
  <c r="R120" i="1" s="1"/>
  <c r="AL116" i="1"/>
  <c r="R116" i="1" s="1"/>
  <c r="N116" i="1"/>
  <c r="AL100" i="1"/>
  <c r="R100" i="1" s="1"/>
  <c r="N100" i="1"/>
  <c r="AH90" i="1"/>
  <c r="AL90" i="1" s="1"/>
  <c r="R90" i="1" s="1"/>
  <c r="K94" i="1"/>
  <c r="K96" i="1"/>
  <c r="K104" i="1"/>
  <c r="AI105" i="1"/>
  <c r="O105" i="1" s="1"/>
  <c r="N108" i="1"/>
  <c r="AI111" i="1"/>
  <c r="O111" i="1" s="1"/>
  <c r="K120" i="1"/>
  <c r="AI123" i="1"/>
  <c r="O123" i="1" s="1"/>
  <c r="K102" i="1"/>
  <c r="K113" i="1"/>
  <c r="K118" i="1"/>
  <c r="K21" i="1"/>
  <c r="K93" i="1"/>
  <c r="K95" i="1"/>
  <c r="K97" i="1"/>
  <c r="AH102" i="1"/>
  <c r="AL102" i="1" s="1"/>
  <c r="R102" i="1" s="1"/>
  <c r="AH112" i="1"/>
  <c r="AH118" i="1"/>
  <c r="AL118" i="1" s="1"/>
  <c r="R118" i="1" s="1"/>
  <c r="AI103" i="1"/>
  <c r="O103" i="1" s="1"/>
  <c r="K112" i="1"/>
  <c r="AI113" i="1"/>
  <c r="O113" i="1" s="1"/>
  <c r="AI119" i="1"/>
  <c r="O119" i="1" s="1"/>
  <c r="AO408" i="1"/>
  <c r="L408" i="1" s="1"/>
  <c r="AO399" i="1"/>
  <c r="L399" i="1" s="1"/>
  <c r="AO390" i="1"/>
  <c r="L390" i="1" s="1"/>
  <c r="AO362" i="1"/>
  <c r="L362" i="1" s="1"/>
  <c r="AO297" i="1"/>
  <c r="L297" i="1" s="1"/>
  <c r="AO371" i="1"/>
  <c r="L371" i="1" s="1"/>
  <c r="AO353" i="1"/>
  <c r="L353" i="1" s="1"/>
  <c r="AO316" i="1"/>
  <c r="L316" i="1" s="1"/>
  <c r="AO251" i="1"/>
  <c r="L251" i="1" s="1"/>
  <c r="AO177" i="1"/>
  <c r="L177" i="1" s="1"/>
  <c r="AO186" i="1"/>
  <c r="L186" i="1" s="1"/>
  <c r="AO149" i="1"/>
  <c r="L149" i="1" s="1"/>
  <c r="AO131" i="1"/>
  <c r="L131" i="1" s="1"/>
  <c r="AO334" i="1"/>
  <c r="L334" i="1" s="1"/>
  <c r="AO279" i="1"/>
  <c r="L279" i="1" s="1"/>
  <c r="AO260" i="1"/>
  <c r="L260" i="1" s="1"/>
  <c r="AO223" i="1"/>
  <c r="L223" i="1" s="1"/>
  <c r="AO140" i="1"/>
  <c r="L140" i="1" s="1"/>
  <c r="AO168" i="1"/>
  <c r="L168" i="1" s="1"/>
  <c r="AO288" i="1"/>
  <c r="L288" i="1" s="1"/>
  <c r="AO242" i="1"/>
  <c r="L242" i="1" s="1"/>
  <c r="AO325" i="1"/>
  <c r="L325" i="1" s="1"/>
  <c r="AO205" i="1"/>
  <c r="L205" i="1" s="1"/>
  <c r="AO214" i="1"/>
  <c r="L214" i="1" s="1"/>
  <c r="AJ417" i="1"/>
  <c r="P417" i="1" s="1"/>
  <c r="AJ400" i="1"/>
  <c r="P400" i="1" s="1"/>
  <c r="AK380" i="1"/>
  <c r="Q380" i="1" s="1"/>
  <c r="AK409" i="1"/>
  <c r="Q409" i="1" s="1"/>
  <c r="AK391" i="1"/>
  <c r="Q391" i="1" s="1"/>
  <c r="AJ380" i="1"/>
  <c r="P380" i="1" s="1"/>
  <c r="AK372" i="1"/>
  <c r="Q372" i="1" s="1"/>
  <c r="AJ409" i="1"/>
  <c r="P409" i="1" s="1"/>
  <c r="AD409" i="1" s="1"/>
  <c r="AJ391" i="1"/>
  <c r="P391" i="1" s="1"/>
  <c r="AD391" i="1" s="1"/>
  <c r="AJ372" i="1"/>
  <c r="P372" i="1" s="1"/>
  <c r="AK363" i="1"/>
  <c r="Q363" i="1" s="1"/>
  <c r="AK354" i="1"/>
  <c r="Q354" i="1" s="1"/>
  <c r="AJ335" i="1"/>
  <c r="P335" i="1" s="1"/>
  <c r="AK326" i="1"/>
  <c r="Q326" i="1" s="1"/>
  <c r="AK417" i="1"/>
  <c r="Q417" i="1" s="1"/>
  <c r="AK400" i="1"/>
  <c r="Q400" i="1" s="1"/>
  <c r="AJ363" i="1"/>
  <c r="P363" i="1" s="1"/>
  <c r="AJ354" i="1"/>
  <c r="P354" i="1" s="1"/>
  <c r="AK343" i="1"/>
  <c r="Q343" i="1" s="1"/>
  <c r="AJ326" i="1"/>
  <c r="P326" i="1" s="1"/>
  <c r="AK317" i="1"/>
  <c r="Q317" i="1" s="1"/>
  <c r="AK298" i="1"/>
  <c r="Q298" i="1" s="1"/>
  <c r="AK289" i="1"/>
  <c r="Q289" i="1" s="1"/>
  <c r="AJ280" i="1"/>
  <c r="P280" i="1" s="1"/>
  <c r="AJ306" i="1"/>
  <c r="P306" i="1" s="1"/>
  <c r="AJ269" i="1"/>
  <c r="P269" i="1" s="1"/>
  <c r="AJ243" i="1"/>
  <c r="P243" i="1" s="1"/>
  <c r="AJ317" i="1"/>
  <c r="P317" i="1" s="1"/>
  <c r="AJ289" i="1"/>
  <c r="P289" i="1" s="1"/>
  <c r="AJ261" i="1"/>
  <c r="P261" i="1" s="1"/>
  <c r="AJ252" i="1"/>
  <c r="P252" i="1" s="1"/>
  <c r="AK215" i="1"/>
  <c r="Q215" i="1" s="1"/>
  <c r="AK206" i="1"/>
  <c r="Q206" i="1" s="1"/>
  <c r="AJ178" i="1"/>
  <c r="P178" i="1" s="1"/>
  <c r="AJ132" i="1"/>
  <c r="P132" i="1" s="1"/>
  <c r="AK195" i="1"/>
  <c r="Q195" i="1" s="1"/>
  <c r="AK141" i="1"/>
  <c r="Q141" i="1" s="1"/>
  <c r="AJ343" i="1"/>
  <c r="P343" i="1" s="1"/>
  <c r="AJ298" i="1"/>
  <c r="P298" i="1" s="1"/>
  <c r="AK269" i="1"/>
  <c r="Q269" i="1" s="1"/>
  <c r="AK232" i="1"/>
  <c r="Q232" i="1" s="1"/>
  <c r="AK224" i="1"/>
  <c r="Q224" i="1" s="1"/>
  <c r="AJ215" i="1"/>
  <c r="P215" i="1" s="1"/>
  <c r="AJ206" i="1"/>
  <c r="P206" i="1" s="1"/>
  <c r="AK335" i="1"/>
  <c r="Q335" i="1" s="1"/>
  <c r="AK280" i="1"/>
  <c r="Q280" i="1" s="1"/>
  <c r="AK243" i="1"/>
  <c r="Q243" i="1" s="1"/>
  <c r="P232" i="1"/>
  <c r="AJ224" i="1"/>
  <c r="P224" i="1" s="1"/>
  <c r="AK169" i="1"/>
  <c r="Q169" i="1" s="1"/>
  <c r="AJ158" i="1"/>
  <c r="P158" i="1" s="1"/>
  <c r="AK150" i="1"/>
  <c r="Q150" i="1" s="1"/>
  <c r="AK187" i="1"/>
  <c r="Q187" i="1" s="1"/>
  <c r="AJ187" i="1"/>
  <c r="P187" i="1" s="1"/>
  <c r="AK178" i="1"/>
  <c r="Q178" i="1" s="1"/>
  <c r="AJ141" i="1"/>
  <c r="P141" i="1" s="1"/>
  <c r="AK132" i="1"/>
  <c r="Q132" i="1" s="1"/>
  <c r="AK252" i="1"/>
  <c r="Q252" i="1" s="1"/>
  <c r="AJ169" i="1"/>
  <c r="P169" i="1" s="1"/>
  <c r="AJ150" i="1"/>
  <c r="P150" i="1" s="1"/>
  <c r="AD150" i="1" s="1"/>
  <c r="AK306" i="1"/>
  <c r="Q306" i="1" s="1"/>
  <c r="AK261" i="1"/>
  <c r="Q261" i="1" s="1"/>
  <c r="AJ195" i="1"/>
  <c r="P195" i="1" s="1"/>
  <c r="AK158" i="1"/>
  <c r="Q158" i="1" s="1"/>
  <c r="AO122" i="1"/>
  <c r="L122" i="1" s="1"/>
  <c r="AO381" i="1"/>
  <c r="L381" i="1" s="1"/>
  <c r="AO418" i="1"/>
  <c r="L418" i="1" s="1"/>
  <c r="AO387" i="1"/>
  <c r="L387" i="1" s="1"/>
  <c r="AO424" i="1"/>
  <c r="L424" i="1" s="1"/>
  <c r="AO344" i="1"/>
  <c r="L344" i="1" s="1"/>
  <c r="AO307" i="1"/>
  <c r="L307" i="1" s="1"/>
  <c r="AO270" i="1"/>
  <c r="L270" i="1" s="1"/>
  <c r="AO313" i="1"/>
  <c r="L313" i="1" s="1"/>
  <c r="AO276" i="1"/>
  <c r="L276" i="1" s="1"/>
  <c r="AO202" i="1"/>
  <c r="L202" i="1" s="1"/>
  <c r="AO128" i="1"/>
  <c r="L128" i="1" s="1"/>
  <c r="AO165" i="1"/>
  <c r="L165" i="1" s="1"/>
  <c r="AO159" i="1"/>
  <c r="L159" i="1" s="1"/>
  <c r="AO239" i="1"/>
  <c r="L239" i="1" s="1"/>
  <c r="AO233" i="1"/>
  <c r="L233" i="1" s="1"/>
  <c r="AO196" i="1"/>
  <c r="L196" i="1" s="1"/>
  <c r="AO350" i="1"/>
  <c r="L350" i="1" s="1"/>
  <c r="AJ29" i="1"/>
  <c r="P29" i="1" s="1"/>
  <c r="AK421" i="1"/>
  <c r="Q421" i="1" s="1"/>
  <c r="AJ416" i="1"/>
  <c r="P416" i="1" s="1"/>
  <c r="AJ398" i="1"/>
  <c r="P398" i="1" s="1"/>
  <c r="AK383" i="1"/>
  <c r="Q383" i="1" s="1"/>
  <c r="AK379" i="1"/>
  <c r="Q379" i="1" s="1"/>
  <c r="AJ421" i="1"/>
  <c r="P421" i="1" s="1"/>
  <c r="AK420" i="1"/>
  <c r="Q420" i="1" s="1"/>
  <c r="AK407" i="1"/>
  <c r="Q407" i="1" s="1"/>
  <c r="AJ420" i="1"/>
  <c r="P420" i="1" s="1"/>
  <c r="AK384" i="1"/>
  <c r="Q384" i="1" s="1"/>
  <c r="AK370" i="1"/>
  <c r="Q370" i="1" s="1"/>
  <c r="AJ361" i="1"/>
  <c r="P361" i="1" s="1"/>
  <c r="AJ347" i="1"/>
  <c r="P347" i="1" s="1"/>
  <c r="AJ384" i="1"/>
  <c r="P384" i="1" s="1"/>
  <c r="AD384" i="1" s="1"/>
  <c r="AJ383" i="1"/>
  <c r="P383" i="1" s="1"/>
  <c r="AJ370" i="1"/>
  <c r="P370" i="1" s="1"/>
  <c r="AJ379" i="1"/>
  <c r="P379" i="1" s="1"/>
  <c r="AK361" i="1"/>
  <c r="Q361" i="1" s="1"/>
  <c r="AJ309" i="1"/>
  <c r="P309" i="1" s="1"/>
  <c r="AK296" i="1"/>
  <c r="Q296" i="1" s="1"/>
  <c r="AK347" i="1"/>
  <c r="Q347" i="1" s="1"/>
  <c r="AK346" i="1"/>
  <c r="Q346" i="1" s="1"/>
  <c r="AK324" i="1"/>
  <c r="Q324" i="1" s="1"/>
  <c r="AK310" i="1"/>
  <c r="Q310" i="1" s="1"/>
  <c r="AK305" i="1"/>
  <c r="Q305" i="1" s="1"/>
  <c r="AJ296" i="1"/>
  <c r="P296" i="1" s="1"/>
  <c r="AK287" i="1"/>
  <c r="Q287" i="1" s="1"/>
  <c r="AK342" i="1"/>
  <c r="Q342" i="1" s="1"/>
  <c r="AJ324" i="1"/>
  <c r="P324" i="1" s="1"/>
  <c r="AJ287" i="1"/>
  <c r="P287" i="1" s="1"/>
  <c r="AK272" i="1"/>
  <c r="Q272" i="1" s="1"/>
  <c r="AJ259" i="1"/>
  <c r="P259" i="1" s="1"/>
  <c r="AK250" i="1"/>
  <c r="Q250" i="1" s="1"/>
  <c r="AJ235" i="1"/>
  <c r="P235" i="1" s="1"/>
  <c r="AK231" i="1"/>
  <c r="Q231" i="1" s="1"/>
  <c r="AK416" i="1"/>
  <c r="Q416" i="1" s="1"/>
  <c r="AJ346" i="1"/>
  <c r="P346" i="1" s="1"/>
  <c r="AJ342" i="1"/>
  <c r="P342" i="1" s="1"/>
  <c r="AK309" i="1"/>
  <c r="Q309" i="1" s="1"/>
  <c r="AJ305" i="1"/>
  <c r="P305" i="1" s="1"/>
  <c r="AJ273" i="1"/>
  <c r="P273" i="1" s="1"/>
  <c r="AK259" i="1"/>
  <c r="Q259" i="1" s="1"/>
  <c r="AK194" i="1"/>
  <c r="Q194" i="1" s="1"/>
  <c r="AJ185" i="1"/>
  <c r="P185" i="1" s="1"/>
  <c r="AK176" i="1"/>
  <c r="Q176" i="1" s="1"/>
  <c r="AJ162" i="1"/>
  <c r="P162" i="1" s="1"/>
  <c r="AJ161" i="1"/>
  <c r="P161" i="1" s="1"/>
  <c r="AK148" i="1"/>
  <c r="Q148" i="1" s="1"/>
  <c r="AJ139" i="1"/>
  <c r="P139" i="1" s="1"/>
  <c r="AJ176" i="1"/>
  <c r="P176" i="1" s="1"/>
  <c r="AJ407" i="1"/>
  <c r="P407" i="1" s="1"/>
  <c r="AK398" i="1"/>
  <c r="Q398" i="1" s="1"/>
  <c r="AK333" i="1"/>
  <c r="Q333" i="1" s="1"/>
  <c r="AJ250" i="1"/>
  <c r="P250" i="1" s="1"/>
  <c r="AK236" i="1"/>
  <c r="Q236" i="1" s="1"/>
  <c r="AJ194" i="1"/>
  <c r="P194" i="1" s="1"/>
  <c r="AJ148" i="1"/>
  <c r="P148" i="1" s="1"/>
  <c r="AJ310" i="1"/>
  <c r="P310" i="1" s="1"/>
  <c r="AK222" i="1"/>
  <c r="Q222" i="1" s="1"/>
  <c r="AK185" i="1"/>
  <c r="Q185" i="1" s="1"/>
  <c r="AK199" i="1"/>
  <c r="Q199" i="1" s="1"/>
  <c r="AK161" i="1"/>
  <c r="Q161" i="1" s="1"/>
  <c r="AK157" i="1"/>
  <c r="Q157" i="1" s="1"/>
  <c r="AJ272" i="1"/>
  <c r="P272" i="1" s="1"/>
  <c r="AK213" i="1"/>
  <c r="Q213" i="1" s="1"/>
  <c r="AJ199" i="1"/>
  <c r="P199" i="1" s="1"/>
  <c r="AJ157" i="1"/>
  <c r="P157" i="1" s="1"/>
  <c r="AJ268" i="1"/>
  <c r="P268" i="1" s="1"/>
  <c r="AJ213" i="1"/>
  <c r="P213" i="1" s="1"/>
  <c r="AD213" i="1" s="1"/>
  <c r="AJ198" i="1"/>
  <c r="P198" i="1" s="1"/>
  <c r="AJ222" i="1"/>
  <c r="P222" i="1" s="1"/>
  <c r="AD222" i="1" s="1"/>
  <c r="AJ333" i="1"/>
  <c r="P333" i="1" s="1"/>
  <c r="AK268" i="1"/>
  <c r="Q268" i="1" s="1"/>
  <c r="AK235" i="1"/>
  <c r="Q235" i="1" s="1"/>
  <c r="AJ231" i="1"/>
  <c r="P231" i="1" s="1"/>
  <c r="AD231" i="1" s="1"/>
  <c r="AK198" i="1"/>
  <c r="Q198" i="1" s="1"/>
  <c r="AK162" i="1"/>
  <c r="Q162" i="1" s="1"/>
  <c r="AK273" i="1"/>
  <c r="Q273" i="1" s="1"/>
  <c r="AJ236" i="1"/>
  <c r="P236" i="1" s="1"/>
  <c r="AD236" i="1" s="1"/>
  <c r="AK139" i="1"/>
  <c r="Q139" i="1" s="1"/>
  <c r="AJ408" i="1"/>
  <c r="P408" i="1" s="1"/>
  <c r="AK390" i="1"/>
  <c r="Q390" i="1" s="1"/>
  <c r="AK399" i="1"/>
  <c r="Q399" i="1" s="1"/>
  <c r="AJ390" i="1"/>
  <c r="P390" i="1" s="1"/>
  <c r="AK371" i="1"/>
  <c r="Q371" i="1" s="1"/>
  <c r="AJ362" i="1"/>
  <c r="P362" i="1" s="1"/>
  <c r="AK353" i="1"/>
  <c r="Q353" i="1" s="1"/>
  <c r="AK408" i="1"/>
  <c r="Q408" i="1" s="1"/>
  <c r="AJ371" i="1"/>
  <c r="P371" i="1" s="1"/>
  <c r="AD371" i="1" s="1"/>
  <c r="AJ353" i="1"/>
  <c r="P353" i="1" s="1"/>
  <c r="AJ399" i="1"/>
  <c r="P399" i="1" s="1"/>
  <c r="AD399" i="1" s="1"/>
  <c r="AK325" i="1"/>
  <c r="Q325" i="1" s="1"/>
  <c r="AK362" i="1"/>
  <c r="Q362" i="1" s="1"/>
  <c r="AJ325" i="1"/>
  <c r="P325" i="1" s="1"/>
  <c r="AK316" i="1"/>
  <c r="Q316" i="1" s="1"/>
  <c r="AJ288" i="1"/>
  <c r="P288" i="1" s="1"/>
  <c r="AK288" i="1"/>
  <c r="Q288" i="1" s="1"/>
  <c r="AK260" i="1"/>
  <c r="Q260" i="1" s="1"/>
  <c r="AJ242" i="1"/>
  <c r="P242" i="1" s="1"/>
  <c r="AK334" i="1"/>
  <c r="Q334" i="1" s="1"/>
  <c r="AJ279" i="1"/>
  <c r="P279" i="1" s="1"/>
  <c r="AJ223" i="1"/>
  <c r="P223" i="1" s="1"/>
  <c r="AK214" i="1"/>
  <c r="Q214" i="1" s="1"/>
  <c r="AJ186" i="1"/>
  <c r="P186" i="1" s="1"/>
  <c r="AJ149" i="1"/>
  <c r="P149" i="1" s="1"/>
  <c r="AJ140" i="1"/>
  <c r="P140" i="1" s="1"/>
  <c r="AJ131" i="1"/>
  <c r="P131" i="1" s="1"/>
  <c r="AK251" i="1"/>
  <c r="Q251" i="1" s="1"/>
  <c r="AK242" i="1"/>
  <c r="Q242" i="1" s="1"/>
  <c r="AJ214" i="1"/>
  <c r="P214" i="1" s="1"/>
  <c r="AK205" i="1"/>
  <c r="Q205" i="1" s="1"/>
  <c r="AK168" i="1"/>
  <c r="Q168" i="1" s="1"/>
  <c r="AJ334" i="1"/>
  <c r="P334" i="1" s="1"/>
  <c r="AK186" i="1"/>
  <c r="Q186" i="1" s="1"/>
  <c r="AJ177" i="1"/>
  <c r="P177" i="1" s="1"/>
  <c r="AK140" i="1"/>
  <c r="Q140" i="1" s="1"/>
  <c r="AK131" i="1"/>
  <c r="Q131" i="1" s="1"/>
  <c r="AK279" i="1"/>
  <c r="Q279" i="1" s="1"/>
  <c r="AK149" i="1"/>
  <c r="Q149" i="1" s="1"/>
  <c r="AJ316" i="1"/>
  <c r="P316" i="1" s="1"/>
  <c r="AK297" i="1"/>
  <c r="Q297" i="1" s="1"/>
  <c r="AJ251" i="1"/>
  <c r="P251" i="1" s="1"/>
  <c r="AJ297" i="1"/>
  <c r="P297" i="1" s="1"/>
  <c r="AJ260" i="1"/>
  <c r="P260" i="1" s="1"/>
  <c r="AJ168" i="1"/>
  <c r="P168" i="1" s="1"/>
  <c r="AK223" i="1"/>
  <c r="Q223" i="1" s="1"/>
  <c r="AJ205" i="1"/>
  <c r="P205" i="1" s="1"/>
  <c r="AD205" i="1" s="1"/>
  <c r="AK177" i="1"/>
  <c r="Q177" i="1" s="1"/>
  <c r="AK5" i="1"/>
  <c r="Q5" i="1" s="1"/>
  <c r="BA8" i="1"/>
  <c r="AJ422" i="1"/>
  <c r="P422" i="1" s="1"/>
  <c r="AK392" i="1"/>
  <c r="Q392" i="1" s="1"/>
  <c r="AK410" i="1"/>
  <c r="Q410" i="1" s="1"/>
  <c r="AJ392" i="1"/>
  <c r="P392" i="1" s="1"/>
  <c r="AK422" i="1"/>
  <c r="Q422" i="1" s="1"/>
  <c r="AJ373" i="1"/>
  <c r="P373" i="1" s="1"/>
  <c r="AJ364" i="1"/>
  <c r="P364" i="1" s="1"/>
  <c r="AK401" i="1"/>
  <c r="Q401" i="1" s="1"/>
  <c r="AK355" i="1"/>
  <c r="Q355" i="1" s="1"/>
  <c r="AK373" i="1"/>
  <c r="Q373" i="1" s="1"/>
  <c r="AK348" i="1"/>
  <c r="Q348" i="1" s="1"/>
  <c r="AK311" i="1"/>
  <c r="Q311" i="1" s="1"/>
  <c r="AJ299" i="1"/>
  <c r="P299" i="1" s="1"/>
  <c r="AK290" i="1"/>
  <c r="Q290" i="1" s="1"/>
  <c r="AJ348" i="1"/>
  <c r="P348" i="1" s="1"/>
  <c r="AD348" i="1" s="1"/>
  <c r="AK336" i="1"/>
  <c r="Q336" i="1" s="1"/>
  <c r="AK327" i="1"/>
  <c r="Q327" i="1" s="1"/>
  <c r="AK318" i="1"/>
  <c r="Q318" i="1" s="1"/>
  <c r="AJ311" i="1"/>
  <c r="P311" i="1" s="1"/>
  <c r="AJ290" i="1"/>
  <c r="P290" i="1" s="1"/>
  <c r="AJ385" i="1"/>
  <c r="P385" i="1" s="1"/>
  <c r="AJ336" i="1"/>
  <c r="P336" i="1" s="1"/>
  <c r="AJ327" i="1"/>
  <c r="P327" i="1" s="1"/>
  <c r="AJ318" i="1"/>
  <c r="P318" i="1" s="1"/>
  <c r="AK281" i="1"/>
  <c r="Q281" i="1" s="1"/>
  <c r="AJ262" i="1"/>
  <c r="P262" i="1" s="1"/>
  <c r="AJ237" i="1"/>
  <c r="P237" i="1" s="1"/>
  <c r="AK364" i="1"/>
  <c r="Q364" i="1" s="1"/>
  <c r="AJ401" i="1"/>
  <c r="P401" i="1" s="1"/>
  <c r="AK385" i="1"/>
  <c r="Q385" i="1" s="1"/>
  <c r="AJ274" i="1"/>
  <c r="P274" i="1" s="1"/>
  <c r="AK237" i="1"/>
  <c r="Q237" i="1" s="1"/>
  <c r="AJ216" i="1"/>
  <c r="P216" i="1" s="1"/>
  <c r="AK207" i="1"/>
  <c r="Q207" i="1" s="1"/>
  <c r="AK188" i="1"/>
  <c r="Q188" i="1" s="1"/>
  <c r="AJ179" i="1"/>
  <c r="P179" i="1" s="1"/>
  <c r="AK170" i="1"/>
  <c r="Q170" i="1" s="1"/>
  <c r="AK163" i="1"/>
  <c r="Q163" i="1" s="1"/>
  <c r="AJ133" i="1"/>
  <c r="P133" i="1" s="1"/>
  <c r="AK126" i="1"/>
  <c r="Q126" i="1" s="1"/>
  <c r="AJ188" i="1"/>
  <c r="P188" i="1" s="1"/>
  <c r="AJ170" i="1"/>
  <c r="P170" i="1" s="1"/>
  <c r="AK151" i="1"/>
  <c r="Q151" i="1" s="1"/>
  <c r="AK142" i="1"/>
  <c r="Q142" i="1" s="1"/>
  <c r="AJ207" i="1"/>
  <c r="P207" i="1" s="1"/>
  <c r="AJ163" i="1"/>
  <c r="P163" i="1" s="1"/>
  <c r="AD163" i="1" s="1"/>
  <c r="AJ410" i="1"/>
  <c r="P410" i="1" s="1"/>
  <c r="AD410" i="1" s="1"/>
  <c r="AK299" i="1"/>
  <c r="Q299" i="1" s="1"/>
  <c r="AJ281" i="1"/>
  <c r="P281" i="1" s="1"/>
  <c r="AD281" i="1" s="1"/>
  <c r="AK274" i="1"/>
  <c r="Q274" i="1" s="1"/>
  <c r="AK262" i="1"/>
  <c r="Q262" i="1" s="1"/>
  <c r="AK216" i="1"/>
  <c r="Q216" i="1" s="1"/>
  <c r="AK200" i="1"/>
  <c r="Q200" i="1" s="1"/>
  <c r="AK179" i="1"/>
  <c r="Q179" i="1" s="1"/>
  <c r="AJ126" i="1"/>
  <c r="P126" i="1" s="1"/>
  <c r="AK133" i="1"/>
  <c r="Q133" i="1" s="1"/>
  <c r="AJ253" i="1"/>
  <c r="P253" i="1" s="1"/>
  <c r="AJ355" i="1"/>
  <c r="P355" i="1" s="1"/>
  <c r="AK253" i="1"/>
  <c r="Q253" i="1" s="1"/>
  <c r="AK244" i="1"/>
  <c r="Q244" i="1" s="1"/>
  <c r="AJ200" i="1"/>
  <c r="P200" i="1" s="1"/>
  <c r="AJ142" i="1"/>
  <c r="P142" i="1" s="1"/>
  <c r="AJ244" i="1"/>
  <c r="P244" i="1" s="1"/>
  <c r="AK225" i="1"/>
  <c r="Q225" i="1" s="1"/>
  <c r="AJ151" i="1"/>
  <c r="P151" i="1" s="1"/>
  <c r="AJ225" i="1"/>
  <c r="P225" i="1" s="1"/>
  <c r="AO388" i="1"/>
  <c r="L388" i="1" s="1"/>
  <c r="AO314" i="1"/>
  <c r="L314" i="1" s="1"/>
  <c r="AO240" i="1"/>
  <c r="L240" i="1" s="1"/>
  <c r="AO166" i="1"/>
  <c r="L166" i="1" s="1"/>
  <c r="AO203" i="1"/>
  <c r="L203" i="1" s="1"/>
  <c r="AO425" i="1"/>
  <c r="L425" i="1" s="1"/>
  <c r="AO351" i="1"/>
  <c r="L351" i="1" s="1"/>
  <c r="AO277" i="1"/>
  <c r="L277" i="1" s="1"/>
  <c r="AO129" i="1"/>
  <c r="L129" i="1" s="1"/>
  <c r="AO377" i="1"/>
  <c r="L377" i="1" s="1"/>
  <c r="AO405" i="1"/>
  <c r="L405" i="1" s="1"/>
  <c r="AO359" i="1"/>
  <c r="L359" i="1" s="1"/>
  <c r="AO396" i="1"/>
  <c r="L396" i="1" s="1"/>
  <c r="AO340" i="1"/>
  <c r="L340" i="1" s="1"/>
  <c r="AO331" i="1"/>
  <c r="L331" i="1" s="1"/>
  <c r="AO303" i="1"/>
  <c r="L303" i="1" s="1"/>
  <c r="AO322" i="1"/>
  <c r="L322" i="1" s="1"/>
  <c r="AO285" i="1"/>
  <c r="L285" i="1" s="1"/>
  <c r="AO248" i="1"/>
  <c r="L248" i="1" s="1"/>
  <c r="AO414" i="1"/>
  <c r="L414" i="1" s="1"/>
  <c r="AO183" i="1"/>
  <c r="L183" i="1" s="1"/>
  <c r="AO229" i="1"/>
  <c r="L229" i="1" s="1"/>
  <c r="AO174" i="1"/>
  <c r="L174" i="1" s="1"/>
  <c r="AO368" i="1"/>
  <c r="L368" i="1" s="1"/>
  <c r="AO294" i="1"/>
  <c r="L294" i="1" s="1"/>
  <c r="AO155" i="1"/>
  <c r="L155" i="1" s="1"/>
  <c r="AO257" i="1"/>
  <c r="L257" i="1" s="1"/>
  <c r="AO192" i="1"/>
  <c r="L192" i="1" s="1"/>
  <c r="AO266" i="1"/>
  <c r="L266" i="1" s="1"/>
  <c r="AO220" i="1"/>
  <c r="L220" i="1" s="1"/>
  <c r="AO211" i="1"/>
  <c r="L211" i="1" s="1"/>
  <c r="AO146" i="1"/>
  <c r="L146" i="1" s="1"/>
  <c r="AO137" i="1"/>
  <c r="L137" i="1" s="1"/>
  <c r="AO406" i="1"/>
  <c r="L406" i="1" s="1"/>
  <c r="AO397" i="1"/>
  <c r="L397" i="1" s="1"/>
  <c r="AO415" i="1"/>
  <c r="L415" i="1" s="1"/>
  <c r="AO341" i="1"/>
  <c r="L341" i="1" s="1"/>
  <c r="AO304" i="1"/>
  <c r="L304" i="1" s="1"/>
  <c r="AO267" i="1"/>
  <c r="L267" i="1" s="1"/>
  <c r="AO360" i="1"/>
  <c r="L360" i="1" s="1"/>
  <c r="AO212" i="1"/>
  <c r="L212" i="1" s="1"/>
  <c r="AO175" i="1"/>
  <c r="L175" i="1" s="1"/>
  <c r="AO156" i="1"/>
  <c r="L156" i="1" s="1"/>
  <c r="AO332" i="1"/>
  <c r="L332" i="1" s="1"/>
  <c r="AO323" i="1"/>
  <c r="L323" i="1" s="1"/>
  <c r="AO258" i="1"/>
  <c r="L258" i="1" s="1"/>
  <c r="AO249" i="1"/>
  <c r="L249" i="1" s="1"/>
  <c r="AO230" i="1"/>
  <c r="L230" i="1" s="1"/>
  <c r="AO378" i="1"/>
  <c r="L378" i="1" s="1"/>
  <c r="AO369" i="1"/>
  <c r="L369" i="1" s="1"/>
  <c r="AO295" i="1"/>
  <c r="L295" i="1" s="1"/>
  <c r="AO138" i="1"/>
  <c r="L138" i="1" s="1"/>
  <c r="AO286" i="1"/>
  <c r="L286" i="1" s="1"/>
  <c r="AO193" i="1"/>
  <c r="L193" i="1" s="1"/>
  <c r="AO147" i="1"/>
  <c r="L147" i="1" s="1"/>
  <c r="AO221" i="1"/>
  <c r="L221" i="1" s="1"/>
  <c r="AO184" i="1"/>
  <c r="L184" i="1" s="1"/>
  <c r="AO416" i="1"/>
  <c r="L416" i="1" s="1"/>
  <c r="AO398" i="1"/>
  <c r="L398" i="1" s="1"/>
  <c r="AO407" i="1"/>
  <c r="L407" i="1" s="1"/>
  <c r="AO379" i="1"/>
  <c r="L379" i="1" s="1"/>
  <c r="AO361" i="1"/>
  <c r="L361" i="1" s="1"/>
  <c r="AO333" i="1"/>
  <c r="L333" i="1" s="1"/>
  <c r="AO268" i="1"/>
  <c r="L268" i="1" s="1"/>
  <c r="AO370" i="1"/>
  <c r="L370" i="1" s="1"/>
  <c r="AO231" i="1"/>
  <c r="L231" i="1" s="1"/>
  <c r="AO222" i="1"/>
  <c r="L222" i="1" s="1"/>
  <c r="AO213" i="1"/>
  <c r="L213" i="1" s="1"/>
  <c r="AO157" i="1"/>
  <c r="L157" i="1" s="1"/>
  <c r="AO139" i="1"/>
  <c r="L139" i="1" s="1"/>
  <c r="AO342" i="1"/>
  <c r="L342" i="1" s="1"/>
  <c r="AO296" i="1"/>
  <c r="L296" i="1" s="1"/>
  <c r="AO185" i="1"/>
  <c r="L185" i="1" s="1"/>
  <c r="AO324" i="1"/>
  <c r="L324" i="1" s="1"/>
  <c r="AO259" i="1"/>
  <c r="L259" i="1" s="1"/>
  <c r="AO176" i="1"/>
  <c r="L176" i="1" s="1"/>
  <c r="AO148" i="1"/>
  <c r="L148" i="1" s="1"/>
  <c r="AO287" i="1"/>
  <c r="L287" i="1" s="1"/>
  <c r="AO250" i="1"/>
  <c r="L250" i="1" s="1"/>
  <c r="AO305" i="1"/>
  <c r="L305" i="1" s="1"/>
  <c r="AO194" i="1"/>
  <c r="L194" i="1" s="1"/>
  <c r="AK18" i="1"/>
  <c r="Q18" i="1" s="1"/>
  <c r="AJ412" i="1"/>
  <c r="P412" i="1" s="1"/>
  <c r="AJ403" i="1"/>
  <c r="P403" i="1" s="1"/>
  <c r="AJ395" i="1"/>
  <c r="P395" i="1" s="1"/>
  <c r="AK425" i="1"/>
  <c r="Q425" i="1" s="1"/>
  <c r="AK404" i="1"/>
  <c r="Q404" i="1" s="1"/>
  <c r="AK394" i="1"/>
  <c r="Q394" i="1" s="1"/>
  <c r="AJ413" i="1"/>
  <c r="P413" i="1" s="1"/>
  <c r="AK412" i="1"/>
  <c r="Q412" i="1" s="1"/>
  <c r="AJ394" i="1"/>
  <c r="P394" i="1" s="1"/>
  <c r="AK376" i="1"/>
  <c r="Q376" i="1" s="1"/>
  <c r="AJ367" i="1"/>
  <c r="P367" i="1" s="1"/>
  <c r="AK358" i="1"/>
  <c r="Q358" i="1" s="1"/>
  <c r="AJ425" i="1"/>
  <c r="P425" i="1" s="1"/>
  <c r="AK388" i="1"/>
  <c r="Q388" i="1" s="1"/>
  <c r="AJ376" i="1"/>
  <c r="P376" i="1" s="1"/>
  <c r="AK375" i="1"/>
  <c r="Q375" i="1" s="1"/>
  <c r="AK366" i="1"/>
  <c r="Q366" i="1" s="1"/>
  <c r="AJ358" i="1"/>
  <c r="P358" i="1" s="1"/>
  <c r="AJ375" i="1"/>
  <c r="P375" i="1" s="1"/>
  <c r="AK367" i="1"/>
  <c r="Q367" i="1" s="1"/>
  <c r="AK357" i="1"/>
  <c r="Q357" i="1" s="1"/>
  <c r="AK351" i="1"/>
  <c r="Q351" i="1" s="1"/>
  <c r="AK339" i="1"/>
  <c r="Q339" i="1" s="1"/>
  <c r="AJ338" i="1"/>
  <c r="P338" i="1" s="1"/>
  <c r="AK330" i="1"/>
  <c r="Q330" i="1" s="1"/>
  <c r="AK329" i="1"/>
  <c r="Q329" i="1" s="1"/>
  <c r="AK321" i="1"/>
  <c r="Q321" i="1" s="1"/>
  <c r="AK314" i="1"/>
  <c r="Q314" i="1" s="1"/>
  <c r="AK292" i="1"/>
  <c r="Q292" i="1" s="1"/>
  <c r="AJ388" i="1"/>
  <c r="P388" i="1" s="1"/>
  <c r="AD388" i="1" s="1"/>
  <c r="AJ357" i="1"/>
  <c r="P357" i="1" s="1"/>
  <c r="AJ351" i="1"/>
  <c r="P351" i="1" s="1"/>
  <c r="AJ339" i="1"/>
  <c r="P339" i="1" s="1"/>
  <c r="AJ330" i="1"/>
  <c r="P330" i="1" s="1"/>
  <c r="AJ329" i="1"/>
  <c r="P329" i="1" s="1"/>
  <c r="AJ321" i="1"/>
  <c r="P321" i="1" s="1"/>
  <c r="AK320" i="1"/>
  <c r="Q320" i="1" s="1"/>
  <c r="AJ314" i="1"/>
  <c r="P314" i="1" s="1"/>
  <c r="AK302" i="1"/>
  <c r="Q302" i="1" s="1"/>
  <c r="AJ292" i="1"/>
  <c r="P292" i="1" s="1"/>
  <c r="AK413" i="1"/>
  <c r="Q413" i="1" s="1"/>
  <c r="AK338" i="1"/>
  <c r="Q338" i="1" s="1"/>
  <c r="AJ265" i="1"/>
  <c r="P265" i="1" s="1"/>
  <c r="AK246" i="1"/>
  <c r="Q246" i="1" s="1"/>
  <c r="AK240" i="1"/>
  <c r="Q240" i="1" s="1"/>
  <c r="AK403" i="1"/>
  <c r="Q403" i="1" s="1"/>
  <c r="AK301" i="1"/>
  <c r="Q301" i="1" s="1"/>
  <c r="AJ284" i="1"/>
  <c r="P284" i="1" s="1"/>
  <c r="AK283" i="1"/>
  <c r="Q283" i="1" s="1"/>
  <c r="AK277" i="1"/>
  <c r="Q277" i="1" s="1"/>
  <c r="AK256" i="1"/>
  <c r="Q256" i="1" s="1"/>
  <c r="AJ255" i="1"/>
  <c r="P255" i="1" s="1"/>
  <c r="AJ247" i="1"/>
  <c r="P247" i="1" s="1"/>
  <c r="AJ228" i="1"/>
  <c r="P228" i="1" s="1"/>
  <c r="AJ219" i="1"/>
  <c r="P219" i="1" s="1"/>
  <c r="AK210" i="1"/>
  <c r="Q210" i="1" s="1"/>
  <c r="AJ203" i="1"/>
  <c r="P203" i="1" s="1"/>
  <c r="AK191" i="1"/>
  <c r="Q191" i="1" s="1"/>
  <c r="AK190" i="1"/>
  <c r="Q190" i="1" s="1"/>
  <c r="AJ182" i="1"/>
  <c r="P182" i="1" s="1"/>
  <c r="AJ181" i="1"/>
  <c r="P181" i="1" s="1"/>
  <c r="AJ172" i="1"/>
  <c r="P172" i="1" s="1"/>
  <c r="AJ166" i="1"/>
  <c r="P166" i="1" s="1"/>
  <c r="AJ153" i="1"/>
  <c r="P153" i="1" s="1"/>
  <c r="AJ145" i="1"/>
  <c r="P145" i="1" s="1"/>
  <c r="AJ144" i="1"/>
  <c r="P144" i="1" s="1"/>
  <c r="AJ136" i="1"/>
  <c r="P136" i="1" s="1"/>
  <c r="AJ135" i="1"/>
  <c r="P135" i="1" s="1"/>
  <c r="AK129" i="1"/>
  <c r="Q129" i="1" s="1"/>
  <c r="AK173" i="1"/>
  <c r="Q173" i="1" s="1"/>
  <c r="AJ404" i="1"/>
  <c r="P404" i="1" s="1"/>
  <c r="AK395" i="1"/>
  <c r="Q395" i="1" s="1"/>
  <c r="AJ301" i="1"/>
  <c r="P301" i="1" s="1"/>
  <c r="AK293" i="1"/>
  <c r="Q293" i="1" s="1"/>
  <c r="AJ283" i="1"/>
  <c r="P283" i="1" s="1"/>
  <c r="AJ277" i="1"/>
  <c r="P277" i="1" s="1"/>
  <c r="AK265" i="1"/>
  <c r="Q265" i="1" s="1"/>
  <c r="AK264" i="1"/>
  <c r="Q264" i="1" s="1"/>
  <c r="AJ256" i="1"/>
  <c r="P256" i="1" s="1"/>
  <c r="AD256" i="1" s="1"/>
  <c r="AJ210" i="1"/>
  <c r="P210" i="1" s="1"/>
  <c r="AD210" i="1" s="1"/>
  <c r="AK209" i="1"/>
  <c r="Q209" i="1" s="1"/>
  <c r="AJ191" i="1"/>
  <c r="P191" i="1" s="1"/>
  <c r="AD191" i="1" s="1"/>
  <c r="AJ190" i="1"/>
  <c r="P190" i="1" s="1"/>
  <c r="AD190" i="1" s="1"/>
  <c r="AJ366" i="1"/>
  <c r="P366" i="1" s="1"/>
  <c r="AJ240" i="1"/>
  <c r="P240" i="1" s="1"/>
  <c r="AD240" i="1" s="1"/>
  <c r="AK228" i="1"/>
  <c r="Q228" i="1" s="1"/>
  <c r="AK166" i="1"/>
  <c r="Q166" i="1" s="1"/>
  <c r="AK219" i="1"/>
  <c r="Q219" i="1" s="1"/>
  <c r="AK182" i="1"/>
  <c r="Q182" i="1" s="1"/>
  <c r="AK181" i="1"/>
  <c r="Q181" i="1" s="1"/>
  <c r="AK145" i="1"/>
  <c r="Q145" i="1" s="1"/>
  <c r="AJ293" i="1"/>
  <c r="P293" i="1" s="1"/>
  <c r="AJ227" i="1"/>
  <c r="P227" i="1" s="1"/>
  <c r="AK172" i="1"/>
  <c r="Q172" i="1" s="1"/>
  <c r="AJ154" i="1"/>
  <c r="P154" i="1" s="1"/>
  <c r="AJ320" i="1"/>
  <c r="P320" i="1" s="1"/>
  <c r="AJ209" i="1"/>
  <c r="P209" i="1" s="1"/>
  <c r="AD209" i="1" s="1"/>
  <c r="AJ173" i="1"/>
  <c r="P173" i="1" s="1"/>
  <c r="AJ302" i="1"/>
  <c r="P302" i="1" s="1"/>
  <c r="AD302" i="1" s="1"/>
  <c r="AJ264" i="1"/>
  <c r="P264" i="1" s="1"/>
  <c r="AK247" i="1"/>
  <c r="Q247" i="1" s="1"/>
  <c r="AJ246" i="1"/>
  <c r="P246" i="1" s="1"/>
  <c r="AK227" i="1"/>
  <c r="Q227" i="1" s="1"/>
  <c r="AK154" i="1"/>
  <c r="Q154" i="1" s="1"/>
  <c r="AK135" i="1"/>
  <c r="Q135" i="1" s="1"/>
  <c r="AJ129" i="1"/>
  <c r="P129" i="1" s="1"/>
  <c r="AK255" i="1"/>
  <c r="Q255" i="1" s="1"/>
  <c r="AK218" i="1"/>
  <c r="Q218" i="1" s="1"/>
  <c r="AK153" i="1"/>
  <c r="Q153" i="1" s="1"/>
  <c r="AK284" i="1"/>
  <c r="Q284" i="1" s="1"/>
  <c r="AJ218" i="1"/>
  <c r="P218" i="1" s="1"/>
  <c r="AK203" i="1"/>
  <c r="Q203" i="1" s="1"/>
  <c r="AK144" i="1"/>
  <c r="Q144" i="1" s="1"/>
  <c r="AK136" i="1"/>
  <c r="Q136" i="1" s="1"/>
  <c r="K19" i="1"/>
  <c r="AJ426" i="1"/>
  <c r="P426" i="1" s="1"/>
  <c r="AK415" i="1"/>
  <c r="Q415" i="1" s="1"/>
  <c r="AJ406" i="1"/>
  <c r="P406" i="1" s="1"/>
  <c r="AK405" i="1"/>
  <c r="Q405" i="1" s="1"/>
  <c r="AK397" i="1"/>
  <c r="Q397" i="1" s="1"/>
  <c r="AJ415" i="1"/>
  <c r="P415" i="1" s="1"/>
  <c r="AK414" i="1"/>
  <c r="Q414" i="1" s="1"/>
  <c r="AJ405" i="1"/>
  <c r="P405" i="1" s="1"/>
  <c r="AD405" i="1" s="1"/>
  <c r="AJ397" i="1"/>
  <c r="P397" i="1" s="1"/>
  <c r="AD397" i="1" s="1"/>
  <c r="AK396" i="1"/>
  <c r="Q396" i="1" s="1"/>
  <c r="AK389" i="1"/>
  <c r="Q389" i="1" s="1"/>
  <c r="AJ396" i="1"/>
  <c r="P396" i="1" s="1"/>
  <c r="AJ389" i="1"/>
  <c r="P389" i="1" s="1"/>
  <c r="AK382" i="1"/>
  <c r="Q382" i="1" s="1"/>
  <c r="AK369" i="1"/>
  <c r="Q369" i="1" s="1"/>
  <c r="AJ359" i="1"/>
  <c r="P359" i="1" s="1"/>
  <c r="AK345" i="1"/>
  <c r="Q345" i="1" s="1"/>
  <c r="AJ414" i="1"/>
  <c r="P414" i="1" s="1"/>
  <c r="AK406" i="1"/>
  <c r="Q406" i="1" s="1"/>
  <c r="AJ382" i="1"/>
  <c r="P382" i="1" s="1"/>
  <c r="AK378" i="1"/>
  <c r="Q378" i="1" s="1"/>
  <c r="AK377" i="1"/>
  <c r="Q377" i="1" s="1"/>
  <c r="AJ369" i="1"/>
  <c r="P369" i="1" s="1"/>
  <c r="AD369" i="1" s="1"/>
  <c r="AK368" i="1"/>
  <c r="Q368" i="1" s="1"/>
  <c r="AK360" i="1"/>
  <c r="Q360" i="1" s="1"/>
  <c r="AJ368" i="1"/>
  <c r="P368" i="1" s="1"/>
  <c r="AJ360" i="1"/>
  <c r="P360" i="1" s="1"/>
  <c r="AJ345" i="1"/>
  <c r="P345" i="1" s="1"/>
  <c r="AK332" i="1"/>
  <c r="Q332" i="1" s="1"/>
  <c r="AK315" i="1"/>
  <c r="Q315" i="1" s="1"/>
  <c r="AK295" i="1"/>
  <c r="Q295" i="1" s="1"/>
  <c r="AK294" i="1"/>
  <c r="Q294" i="1" s="1"/>
  <c r="AJ378" i="1"/>
  <c r="P378" i="1" s="1"/>
  <c r="AD378" i="1" s="1"/>
  <c r="AJ332" i="1"/>
  <c r="P332" i="1" s="1"/>
  <c r="AK323" i="1"/>
  <c r="Q323" i="1" s="1"/>
  <c r="AK322" i="1"/>
  <c r="Q322" i="1" s="1"/>
  <c r="AJ315" i="1"/>
  <c r="P315" i="1" s="1"/>
  <c r="AK308" i="1"/>
  <c r="Q308" i="1" s="1"/>
  <c r="AK304" i="1"/>
  <c r="Q304" i="1" s="1"/>
  <c r="AJ295" i="1"/>
  <c r="P295" i="1" s="1"/>
  <c r="AJ294" i="1"/>
  <c r="P294" i="1" s="1"/>
  <c r="AJ352" i="1"/>
  <c r="P352" i="1" s="1"/>
  <c r="AK340" i="1"/>
  <c r="Q340" i="1" s="1"/>
  <c r="AJ303" i="1"/>
  <c r="P303" i="1" s="1"/>
  <c r="AJ286" i="1"/>
  <c r="P286" i="1" s="1"/>
  <c r="AJ278" i="1"/>
  <c r="P278" i="1" s="1"/>
  <c r="AK266" i="1"/>
  <c r="Q266" i="1" s="1"/>
  <c r="AK258" i="1"/>
  <c r="Q258" i="1" s="1"/>
  <c r="AJ257" i="1"/>
  <c r="P257" i="1" s="1"/>
  <c r="AK249" i="1"/>
  <c r="Q249" i="1" s="1"/>
  <c r="AK241" i="1"/>
  <c r="Q241" i="1" s="1"/>
  <c r="AJ230" i="1"/>
  <c r="P230" i="1" s="1"/>
  <c r="AJ377" i="1"/>
  <c r="P377" i="1" s="1"/>
  <c r="AJ340" i="1"/>
  <c r="P340" i="1" s="1"/>
  <c r="AK331" i="1"/>
  <c r="Q331" i="1" s="1"/>
  <c r="AJ323" i="1"/>
  <c r="P323" i="1" s="1"/>
  <c r="AK359" i="1"/>
  <c r="Q359" i="1" s="1"/>
  <c r="AK352" i="1"/>
  <c r="Q352" i="1" s="1"/>
  <c r="AK341" i="1"/>
  <c r="Q341" i="1" s="1"/>
  <c r="AJ322" i="1"/>
  <c r="P322" i="1" s="1"/>
  <c r="AD322" i="1" s="1"/>
  <c r="AK267" i="1"/>
  <c r="Q267" i="1" s="1"/>
  <c r="AJ266" i="1"/>
  <c r="P266" i="1" s="1"/>
  <c r="AK257" i="1"/>
  <c r="Q257" i="1" s="1"/>
  <c r="AJ241" i="1"/>
  <c r="P241" i="1" s="1"/>
  <c r="AJ234" i="1"/>
  <c r="P234" i="1" s="1"/>
  <c r="AJ229" i="1"/>
  <c r="P229" i="1" s="1"/>
  <c r="AK221" i="1"/>
  <c r="Q221" i="1" s="1"/>
  <c r="AK220" i="1"/>
  <c r="Q220" i="1" s="1"/>
  <c r="AK204" i="1"/>
  <c r="Q204" i="1" s="1"/>
  <c r="AK193" i="1"/>
  <c r="Q193" i="1" s="1"/>
  <c r="AK184" i="1"/>
  <c r="Q184" i="1" s="1"/>
  <c r="AJ174" i="1"/>
  <c r="P174" i="1" s="1"/>
  <c r="AJ160" i="1"/>
  <c r="P160" i="1" s="1"/>
  <c r="AJ156" i="1"/>
  <c r="P156" i="1" s="1"/>
  <c r="AK138" i="1"/>
  <c r="Q138" i="1" s="1"/>
  <c r="AK137" i="1"/>
  <c r="Q137" i="1" s="1"/>
  <c r="AJ130" i="1"/>
  <c r="P130" i="1" s="1"/>
  <c r="AK197" i="1"/>
  <c r="Q197" i="1" s="1"/>
  <c r="AJ193" i="1"/>
  <c r="P193" i="1" s="1"/>
  <c r="AK155" i="1"/>
  <c r="Q155" i="1" s="1"/>
  <c r="AK146" i="1"/>
  <c r="Q146" i="1" s="1"/>
  <c r="AJ341" i="1"/>
  <c r="P341" i="1" s="1"/>
  <c r="AJ308" i="1"/>
  <c r="P308" i="1" s="1"/>
  <c r="AK286" i="1"/>
  <c r="Q286" i="1" s="1"/>
  <c r="AK285" i="1"/>
  <c r="Q285" i="1" s="1"/>
  <c r="AJ267" i="1"/>
  <c r="P267" i="1" s="1"/>
  <c r="AJ221" i="1"/>
  <c r="P221" i="1" s="1"/>
  <c r="AD221" i="1" s="1"/>
  <c r="AJ220" i="1"/>
  <c r="P220" i="1" s="1"/>
  <c r="AK211" i="1"/>
  <c r="Q211" i="1" s="1"/>
  <c r="AJ204" i="1"/>
  <c r="P204" i="1" s="1"/>
  <c r="AK192" i="1"/>
  <c r="Q192" i="1" s="1"/>
  <c r="AJ184" i="1"/>
  <c r="P184" i="1" s="1"/>
  <c r="AK167" i="1"/>
  <c r="Q167" i="1" s="1"/>
  <c r="AK147" i="1"/>
  <c r="Q147" i="1" s="1"/>
  <c r="AJ138" i="1"/>
  <c r="P138" i="1" s="1"/>
  <c r="AD138" i="1" s="1"/>
  <c r="AJ137" i="1"/>
  <c r="P137" i="1" s="1"/>
  <c r="AD137" i="1" s="1"/>
  <c r="AK130" i="1"/>
  <c r="Q130" i="1" s="1"/>
  <c r="AK426" i="1"/>
  <c r="Q426" i="1" s="1"/>
  <c r="AK419" i="1"/>
  <c r="Q419" i="1" s="1"/>
  <c r="AJ419" i="1"/>
  <c r="P419" i="1" s="1"/>
  <c r="AJ331" i="1"/>
  <c r="P331" i="1" s="1"/>
  <c r="AJ271" i="1"/>
  <c r="P271" i="1" s="1"/>
  <c r="AJ258" i="1"/>
  <c r="P258" i="1" s="1"/>
  <c r="AK230" i="1"/>
  <c r="Q230" i="1" s="1"/>
  <c r="AJ212" i="1"/>
  <c r="P212" i="1" s="1"/>
  <c r="AJ197" i="1"/>
  <c r="P197" i="1" s="1"/>
  <c r="AD197" i="1" s="1"/>
  <c r="AJ183" i="1"/>
  <c r="P183" i="1" s="1"/>
  <c r="AK175" i="1"/>
  <c r="Q175" i="1" s="1"/>
  <c r="AK160" i="1"/>
  <c r="Q160" i="1" s="1"/>
  <c r="AJ192" i="1"/>
  <c r="P192" i="1" s="1"/>
  <c r="AJ167" i="1"/>
  <c r="P167" i="1" s="1"/>
  <c r="AK303" i="1"/>
  <c r="Q303" i="1" s="1"/>
  <c r="AJ285" i="1"/>
  <c r="P285" i="1" s="1"/>
  <c r="AD285" i="1" s="1"/>
  <c r="AJ248" i="1"/>
  <c r="P248" i="1" s="1"/>
  <c r="AK174" i="1"/>
  <c r="Q174" i="1" s="1"/>
  <c r="AK156" i="1"/>
  <c r="Q156" i="1" s="1"/>
  <c r="AK278" i="1"/>
  <c r="Q278" i="1" s="1"/>
  <c r="AK271" i="1"/>
  <c r="Q271" i="1" s="1"/>
  <c r="AJ211" i="1"/>
  <c r="P211" i="1" s="1"/>
  <c r="AK183" i="1"/>
  <c r="Q183" i="1" s="1"/>
  <c r="AJ155" i="1"/>
  <c r="P155" i="1" s="1"/>
  <c r="AK248" i="1"/>
  <c r="Q248" i="1" s="1"/>
  <c r="AK234" i="1"/>
  <c r="Q234" i="1" s="1"/>
  <c r="AJ175" i="1"/>
  <c r="P175" i="1" s="1"/>
  <c r="AD175" i="1" s="1"/>
  <c r="AJ147" i="1"/>
  <c r="P147" i="1" s="1"/>
  <c r="AJ304" i="1"/>
  <c r="P304" i="1" s="1"/>
  <c r="AJ249" i="1"/>
  <c r="P249" i="1" s="1"/>
  <c r="AK229" i="1"/>
  <c r="Q229" i="1" s="1"/>
  <c r="AK212" i="1"/>
  <c r="Q212" i="1" s="1"/>
  <c r="AJ146" i="1"/>
  <c r="P146" i="1" s="1"/>
  <c r="K40" i="1"/>
  <c r="BH99" i="1"/>
  <c r="BM99" i="1"/>
  <c r="AI65" i="1"/>
  <c r="O65" i="1" s="1"/>
  <c r="K66" i="1"/>
  <c r="AI69" i="1"/>
  <c r="O69" i="1" s="1"/>
  <c r="AH70" i="1"/>
  <c r="N70" i="1" s="1"/>
  <c r="AI72" i="1"/>
  <c r="O72" i="1" s="1"/>
  <c r="AH74" i="1"/>
  <c r="AL74" i="1" s="1"/>
  <c r="R74" i="1" s="1"/>
  <c r="AH79" i="1"/>
  <c r="N79" i="1" s="1"/>
  <c r="AI79" i="1"/>
  <c r="O79" i="1" s="1"/>
  <c r="AH80" i="1"/>
  <c r="AL80" i="1" s="1"/>
  <c r="AM80" i="1" s="1"/>
  <c r="S80" i="1" s="1"/>
  <c r="AH81" i="1"/>
  <c r="K81" i="1"/>
  <c r="AI85" i="1"/>
  <c r="O85" i="1" s="1"/>
  <c r="N106" i="1"/>
  <c r="N114" i="1"/>
  <c r="AL476" i="1"/>
  <c r="N476" i="1"/>
  <c r="AI702" i="1"/>
  <c r="O702" i="1" s="1"/>
  <c r="AH702" i="1"/>
  <c r="K702" i="1"/>
  <c r="AO19" i="1"/>
  <c r="L19" i="1" s="1"/>
  <c r="AO401" i="1"/>
  <c r="L401" i="1" s="1"/>
  <c r="AO385" i="1"/>
  <c r="L385" i="1" s="1"/>
  <c r="AO422" i="1"/>
  <c r="L422" i="1" s="1"/>
  <c r="AO410" i="1"/>
  <c r="L410" i="1" s="1"/>
  <c r="AO373" i="1"/>
  <c r="L373" i="1" s="1"/>
  <c r="AO364" i="1"/>
  <c r="L364" i="1" s="1"/>
  <c r="AO355" i="1"/>
  <c r="L355" i="1" s="1"/>
  <c r="AO299" i="1"/>
  <c r="L299" i="1" s="1"/>
  <c r="AO281" i="1"/>
  <c r="L281" i="1" s="1"/>
  <c r="AO392" i="1"/>
  <c r="L392" i="1" s="1"/>
  <c r="AO253" i="1"/>
  <c r="L253" i="1" s="1"/>
  <c r="AO311" i="1"/>
  <c r="L311" i="1" s="1"/>
  <c r="AO290" i="1"/>
  <c r="L290" i="1" s="1"/>
  <c r="AO262" i="1"/>
  <c r="L262" i="1" s="1"/>
  <c r="AO244" i="1"/>
  <c r="L244" i="1" s="1"/>
  <c r="AO225" i="1"/>
  <c r="L225" i="1" s="1"/>
  <c r="AO200" i="1"/>
  <c r="L200" i="1" s="1"/>
  <c r="AO179" i="1"/>
  <c r="L179" i="1" s="1"/>
  <c r="AO133" i="1"/>
  <c r="L133" i="1" s="1"/>
  <c r="AO327" i="1"/>
  <c r="L327" i="1" s="1"/>
  <c r="AO318" i="1"/>
  <c r="L318" i="1" s="1"/>
  <c r="AO274" i="1"/>
  <c r="L274" i="1" s="1"/>
  <c r="AO216" i="1"/>
  <c r="L216" i="1" s="1"/>
  <c r="AO336" i="1"/>
  <c r="L336" i="1" s="1"/>
  <c r="AO207" i="1"/>
  <c r="L207" i="1" s="1"/>
  <c r="AO163" i="1"/>
  <c r="L163" i="1" s="1"/>
  <c r="AO151" i="1"/>
  <c r="L151" i="1" s="1"/>
  <c r="AO170" i="1"/>
  <c r="L170" i="1" s="1"/>
  <c r="AO237" i="1"/>
  <c r="L237" i="1" s="1"/>
  <c r="AO188" i="1"/>
  <c r="L188" i="1" s="1"/>
  <c r="AO126" i="1"/>
  <c r="L126" i="1" s="1"/>
  <c r="AO348" i="1"/>
  <c r="L348" i="1" s="1"/>
  <c r="AO142" i="1"/>
  <c r="L142" i="1" s="1"/>
  <c r="AO413" i="1"/>
  <c r="L413" i="1" s="1"/>
  <c r="AO395" i="1"/>
  <c r="L395" i="1" s="1"/>
  <c r="AO404" i="1"/>
  <c r="L404" i="1" s="1"/>
  <c r="AO367" i="1"/>
  <c r="L367" i="1" s="1"/>
  <c r="AO293" i="1"/>
  <c r="L293" i="1" s="1"/>
  <c r="AO358" i="1"/>
  <c r="L358" i="1" s="1"/>
  <c r="AO284" i="1"/>
  <c r="L284" i="1" s="1"/>
  <c r="AO376" i="1"/>
  <c r="L376" i="1" s="1"/>
  <c r="AO339" i="1"/>
  <c r="L339" i="1" s="1"/>
  <c r="AO321" i="1"/>
  <c r="L321" i="1" s="1"/>
  <c r="AO256" i="1"/>
  <c r="L256" i="1" s="1"/>
  <c r="AO247" i="1"/>
  <c r="L247" i="1" s="1"/>
  <c r="AO330" i="1"/>
  <c r="L330" i="1" s="1"/>
  <c r="AO154" i="1"/>
  <c r="L154" i="1" s="1"/>
  <c r="AO182" i="1"/>
  <c r="L182" i="1" s="1"/>
  <c r="AO145" i="1"/>
  <c r="L145" i="1" s="1"/>
  <c r="AO136" i="1"/>
  <c r="L136" i="1" s="1"/>
  <c r="AO302" i="1"/>
  <c r="L302" i="1" s="1"/>
  <c r="AO228" i="1"/>
  <c r="L228" i="1" s="1"/>
  <c r="AO219" i="1"/>
  <c r="L219" i="1" s="1"/>
  <c r="AO173" i="1"/>
  <c r="L173" i="1" s="1"/>
  <c r="AO191" i="1"/>
  <c r="L191" i="1" s="1"/>
  <c r="AO265" i="1"/>
  <c r="L265" i="1" s="1"/>
  <c r="AO210" i="1"/>
  <c r="L210" i="1" s="1"/>
  <c r="AO13" i="1"/>
  <c r="L13" i="1" s="1"/>
  <c r="AO419" i="1"/>
  <c r="L419" i="1" s="1"/>
  <c r="AO426" i="1"/>
  <c r="L426" i="1" s="1"/>
  <c r="AO352" i="1"/>
  <c r="L352" i="1" s="1"/>
  <c r="AO315" i="1"/>
  <c r="L315" i="1" s="1"/>
  <c r="AO345" i="1"/>
  <c r="L345" i="1" s="1"/>
  <c r="AO278" i="1"/>
  <c r="L278" i="1" s="1"/>
  <c r="AO389" i="1"/>
  <c r="L389" i="1" s="1"/>
  <c r="AO308" i="1"/>
  <c r="L308" i="1" s="1"/>
  <c r="AO271" i="1"/>
  <c r="L271" i="1" s="1"/>
  <c r="AO382" i="1"/>
  <c r="L382" i="1" s="1"/>
  <c r="AO234" i="1"/>
  <c r="L234" i="1" s="1"/>
  <c r="AO160" i="1"/>
  <c r="L160" i="1" s="1"/>
  <c r="AO241" i="1"/>
  <c r="L241" i="1" s="1"/>
  <c r="AO197" i="1"/>
  <c r="L197" i="1" s="1"/>
  <c r="AO130" i="1"/>
  <c r="L130" i="1" s="1"/>
  <c r="AO204" i="1"/>
  <c r="L204" i="1" s="1"/>
  <c r="AO167" i="1"/>
  <c r="L167" i="1" s="1"/>
  <c r="AH82" i="1"/>
  <c r="N82" i="1" s="1"/>
  <c r="AI82" i="1"/>
  <c r="O82" i="1" s="1"/>
  <c r="AI798" i="1"/>
  <c r="O798" i="1" s="1"/>
  <c r="AH798" i="1"/>
  <c r="AL798" i="1" s="1"/>
  <c r="R798" i="1" s="1"/>
  <c r="K798" i="1"/>
  <c r="AO423" i="1"/>
  <c r="L423" i="1" s="1"/>
  <c r="AO312" i="1"/>
  <c r="L312" i="1" s="1"/>
  <c r="AO386" i="1"/>
  <c r="L386" i="1" s="1"/>
  <c r="AO275" i="1"/>
  <c r="L275" i="1" s="1"/>
  <c r="AO238" i="1"/>
  <c r="L238" i="1" s="1"/>
  <c r="AO201" i="1"/>
  <c r="L201" i="1" s="1"/>
  <c r="AO349" i="1"/>
  <c r="L349" i="1" s="1"/>
  <c r="AO127" i="1"/>
  <c r="L127" i="1" s="1"/>
  <c r="AO164" i="1"/>
  <c r="L164" i="1" s="1"/>
  <c r="AO412" i="1"/>
  <c r="L412" i="1" s="1"/>
  <c r="AO403" i="1"/>
  <c r="L403" i="1" s="1"/>
  <c r="AO357" i="1"/>
  <c r="L357" i="1" s="1"/>
  <c r="AO394" i="1"/>
  <c r="L394" i="1" s="1"/>
  <c r="AO366" i="1"/>
  <c r="L366" i="1" s="1"/>
  <c r="AO338" i="1"/>
  <c r="L338" i="1" s="1"/>
  <c r="AO301" i="1"/>
  <c r="L301" i="1" s="1"/>
  <c r="AO283" i="1"/>
  <c r="L283" i="1" s="1"/>
  <c r="AO320" i="1"/>
  <c r="L320" i="1" s="1"/>
  <c r="AO264" i="1"/>
  <c r="L264" i="1" s="1"/>
  <c r="AO375" i="1"/>
  <c r="L375" i="1" s="1"/>
  <c r="AO329" i="1"/>
  <c r="L329" i="1" s="1"/>
  <c r="AO292" i="1"/>
  <c r="L292" i="1" s="1"/>
  <c r="AO227" i="1"/>
  <c r="L227" i="1" s="1"/>
  <c r="AO218" i="1"/>
  <c r="L218" i="1" s="1"/>
  <c r="AO153" i="1"/>
  <c r="L153" i="1" s="1"/>
  <c r="AO144" i="1"/>
  <c r="L144" i="1" s="1"/>
  <c r="AO255" i="1"/>
  <c r="L255" i="1" s="1"/>
  <c r="AO246" i="1"/>
  <c r="L246" i="1" s="1"/>
  <c r="AO181" i="1"/>
  <c r="L181" i="1" s="1"/>
  <c r="AO172" i="1"/>
  <c r="L172" i="1" s="1"/>
  <c r="AO135" i="1"/>
  <c r="L135" i="1" s="1"/>
  <c r="AO190" i="1"/>
  <c r="L190" i="1" s="1"/>
  <c r="AO209" i="1"/>
  <c r="L209" i="1" s="1"/>
  <c r="AO309" i="1"/>
  <c r="L309" i="1" s="1"/>
  <c r="AO235" i="1"/>
  <c r="L235" i="1" s="1"/>
  <c r="AO198" i="1"/>
  <c r="L198" i="1" s="1"/>
  <c r="AO161" i="1"/>
  <c r="L161" i="1" s="1"/>
  <c r="AO272" i="1"/>
  <c r="L272" i="1" s="1"/>
  <c r="AO383" i="1"/>
  <c r="L383" i="1" s="1"/>
  <c r="AO420" i="1"/>
  <c r="L420" i="1" s="1"/>
  <c r="AO346" i="1"/>
  <c r="L346" i="1" s="1"/>
  <c r="AH8" i="1"/>
  <c r="AL8" i="1" s="1"/>
  <c r="AM8" i="1" s="1"/>
  <c r="S8" i="1" s="1"/>
  <c r="BI99" i="1"/>
  <c r="K49" i="1"/>
  <c r="AI61" i="1"/>
  <c r="O61" i="1" s="1"/>
  <c r="AI63" i="1"/>
  <c r="O63" i="1" s="1"/>
  <c r="K74" i="1"/>
  <c r="AI75" i="1"/>
  <c r="O75" i="1" s="1"/>
  <c r="AI77" i="1"/>
  <c r="O77" i="1" s="1"/>
  <c r="K80" i="1"/>
  <c r="AI84" i="1"/>
  <c r="O84" i="1" s="1"/>
  <c r="AH84" i="1"/>
  <c r="N84" i="1" s="1"/>
  <c r="AL124" i="1"/>
  <c r="R124" i="1" s="1"/>
  <c r="N124" i="1"/>
  <c r="AI587" i="1"/>
  <c r="O587" i="1" s="1"/>
  <c r="K587" i="1"/>
  <c r="AO409" i="1"/>
  <c r="L409" i="1" s="1"/>
  <c r="AO391" i="1"/>
  <c r="L391" i="1" s="1"/>
  <c r="AO417" i="1"/>
  <c r="L417" i="1" s="1"/>
  <c r="AO400" i="1"/>
  <c r="L400" i="1" s="1"/>
  <c r="AO354" i="1"/>
  <c r="L354" i="1" s="1"/>
  <c r="AO306" i="1"/>
  <c r="L306" i="1" s="1"/>
  <c r="AO335" i="1"/>
  <c r="L335" i="1" s="1"/>
  <c r="AO363" i="1"/>
  <c r="L363" i="1" s="1"/>
  <c r="AO343" i="1"/>
  <c r="L343" i="1" s="1"/>
  <c r="AO261" i="1"/>
  <c r="L261" i="1" s="1"/>
  <c r="AO252" i="1"/>
  <c r="L252" i="1" s="1"/>
  <c r="AO232" i="1"/>
  <c r="L232" i="1" s="1"/>
  <c r="AO380" i="1"/>
  <c r="L380" i="1" s="1"/>
  <c r="AO326" i="1"/>
  <c r="L326" i="1" s="1"/>
  <c r="AO317" i="1"/>
  <c r="L317" i="1" s="1"/>
  <c r="AO187" i="1"/>
  <c r="L187" i="1" s="1"/>
  <c r="AO169" i="1"/>
  <c r="L169" i="1" s="1"/>
  <c r="AO150" i="1"/>
  <c r="L150" i="1" s="1"/>
  <c r="AO178" i="1"/>
  <c r="L178" i="1" s="1"/>
  <c r="AO132" i="1"/>
  <c r="L132" i="1" s="1"/>
  <c r="AO280" i="1"/>
  <c r="L280" i="1" s="1"/>
  <c r="AO243" i="1"/>
  <c r="L243" i="1" s="1"/>
  <c r="AO206" i="1"/>
  <c r="L206" i="1" s="1"/>
  <c r="AO158" i="1"/>
  <c r="L158" i="1" s="1"/>
  <c r="AO372" i="1"/>
  <c r="L372" i="1" s="1"/>
  <c r="AO289" i="1"/>
  <c r="L289" i="1" s="1"/>
  <c r="AO224" i="1"/>
  <c r="L224" i="1" s="1"/>
  <c r="AO269" i="1"/>
  <c r="L269" i="1" s="1"/>
  <c r="AO195" i="1"/>
  <c r="L195" i="1" s="1"/>
  <c r="AO141" i="1"/>
  <c r="L141" i="1" s="1"/>
  <c r="AO298" i="1"/>
  <c r="L298" i="1" s="1"/>
  <c r="AO215" i="1"/>
  <c r="L215" i="1" s="1"/>
  <c r="AO393" i="1"/>
  <c r="L393" i="1" s="1"/>
  <c r="AO374" i="1"/>
  <c r="L374" i="1" s="1"/>
  <c r="AO402" i="1"/>
  <c r="L402" i="1" s="1"/>
  <c r="AO300" i="1"/>
  <c r="L300" i="1" s="1"/>
  <c r="AO282" i="1"/>
  <c r="L282" i="1" s="1"/>
  <c r="AO356" i="1"/>
  <c r="L356" i="1" s="1"/>
  <c r="AO328" i="1"/>
  <c r="L328" i="1" s="1"/>
  <c r="AO319" i="1"/>
  <c r="L319" i="1" s="1"/>
  <c r="AO152" i="1"/>
  <c r="L152" i="1" s="1"/>
  <c r="AO134" i="1"/>
  <c r="L134" i="1" s="1"/>
  <c r="AO411" i="1"/>
  <c r="L411" i="1" s="1"/>
  <c r="AO337" i="1"/>
  <c r="L337" i="1" s="1"/>
  <c r="AO291" i="1"/>
  <c r="L291" i="1" s="1"/>
  <c r="AO245" i="1"/>
  <c r="L245" i="1" s="1"/>
  <c r="AO208" i="1"/>
  <c r="L208" i="1" s="1"/>
  <c r="AO189" i="1"/>
  <c r="L189" i="1" s="1"/>
  <c r="AO365" i="1"/>
  <c r="L365" i="1" s="1"/>
  <c r="AO263" i="1"/>
  <c r="L263" i="1" s="1"/>
  <c r="AO254" i="1"/>
  <c r="L254" i="1" s="1"/>
  <c r="AO180" i="1"/>
  <c r="L180" i="1" s="1"/>
  <c r="AO143" i="1"/>
  <c r="L143" i="1" s="1"/>
  <c r="AO226" i="1"/>
  <c r="L226" i="1" s="1"/>
  <c r="AO171" i="1"/>
  <c r="L171" i="1" s="1"/>
  <c r="AO217" i="1"/>
  <c r="L217" i="1" s="1"/>
  <c r="AO384" i="1"/>
  <c r="L384" i="1" s="1"/>
  <c r="AO421" i="1"/>
  <c r="L421" i="1" s="1"/>
  <c r="AO310" i="1"/>
  <c r="L310" i="1" s="1"/>
  <c r="AO273" i="1"/>
  <c r="L273" i="1" s="1"/>
  <c r="AO199" i="1"/>
  <c r="L199" i="1" s="1"/>
  <c r="AO162" i="1"/>
  <c r="L162" i="1" s="1"/>
  <c r="AO347" i="1"/>
  <c r="L347" i="1" s="1"/>
  <c r="AO236" i="1"/>
  <c r="L236" i="1" s="1"/>
  <c r="AK423" i="1"/>
  <c r="Q423" i="1" s="1"/>
  <c r="AJ418" i="1"/>
  <c r="P418" i="1" s="1"/>
  <c r="AK411" i="1"/>
  <c r="Q411" i="1" s="1"/>
  <c r="AJ393" i="1"/>
  <c r="P393" i="1" s="1"/>
  <c r="AJ387" i="1"/>
  <c r="P387" i="1" s="1"/>
  <c r="AK386" i="1"/>
  <c r="Q386" i="1" s="1"/>
  <c r="AK424" i="1"/>
  <c r="Q424" i="1" s="1"/>
  <c r="AJ423" i="1"/>
  <c r="P423" i="1" s="1"/>
  <c r="AJ411" i="1"/>
  <c r="P411" i="1" s="1"/>
  <c r="AK402" i="1"/>
  <c r="Q402" i="1" s="1"/>
  <c r="AJ386" i="1"/>
  <c r="P386" i="1" s="1"/>
  <c r="AK387" i="1"/>
  <c r="Q387" i="1" s="1"/>
  <c r="AJ381" i="1"/>
  <c r="P381" i="1" s="1"/>
  <c r="AK365" i="1"/>
  <c r="Q365" i="1" s="1"/>
  <c r="AK356" i="1"/>
  <c r="Q356" i="1" s="1"/>
  <c r="AK418" i="1"/>
  <c r="Q418" i="1" s="1"/>
  <c r="AJ365" i="1"/>
  <c r="P365" i="1" s="1"/>
  <c r="AJ356" i="1"/>
  <c r="P356" i="1" s="1"/>
  <c r="AK350" i="1"/>
  <c r="Q350" i="1" s="1"/>
  <c r="AK349" i="1"/>
  <c r="Q349" i="1" s="1"/>
  <c r="AJ344" i="1"/>
  <c r="P344" i="1" s="1"/>
  <c r="AK313" i="1"/>
  <c r="Q313" i="1" s="1"/>
  <c r="AJ312" i="1"/>
  <c r="P312" i="1" s="1"/>
  <c r="AJ424" i="1"/>
  <c r="P424" i="1" s="1"/>
  <c r="AJ402" i="1"/>
  <c r="P402" i="1" s="1"/>
  <c r="AK393" i="1"/>
  <c r="Q393" i="1" s="1"/>
  <c r="AK381" i="1"/>
  <c r="Q381" i="1" s="1"/>
  <c r="AJ350" i="1"/>
  <c r="P350" i="1" s="1"/>
  <c r="AJ349" i="1"/>
  <c r="P349" i="1" s="1"/>
  <c r="AK337" i="1"/>
  <c r="Q337" i="1" s="1"/>
  <c r="AK328" i="1"/>
  <c r="Q328" i="1" s="1"/>
  <c r="AK319" i="1"/>
  <c r="Q319" i="1" s="1"/>
  <c r="AJ313" i="1"/>
  <c r="P313" i="1" s="1"/>
  <c r="AK291" i="1"/>
  <c r="Q291" i="1" s="1"/>
  <c r="AJ374" i="1"/>
  <c r="P374" i="1" s="1"/>
  <c r="AJ337" i="1"/>
  <c r="P337" i="1" s="1"/>
  <c r="AK300" i="1"/>
  <c r="Q300" i="1" s="1"/>
  <c r="AJ282" i="1"/>
  <c r="P282" i="1" s="1"/>
  <c r="AK276" i="1"/>
  <c r="Q276" i="1" s="1"/>
  <c r="AJ263" i="1"/>
  <c r="P263" i="1" s="1"/>
  <c r="AJ254" i="1"/>
  <c r="P254" i="1" s="1"/>
  <c r="AJ238" i="1"/>
  <c r="P238" i="1" s="1"/>
  <c r="AJ233" i="1"/>
  <c r="P233" i="1" s="1"/>
  <c r="AK307" i="1"/>
  <c r="Q307" i="1" s="1"/>
  <c r="AK312" i="1"/>
  <c r="Q312" i="1" s="1"/>
  <c r="AJ245" i="1"/>
  <c r="P245" i="1" s="1"/>
  <c r="AK217" i="1"/>
  <c r="Q217" i="1" s="1"/>
  <c r="AJ208" i="1"/>
  <c r="P208" i="1" s="1"/>
  <c r="AJ201" i="1"/>
  <c r="P201" i="1" s="1"/>
  <c r="AK196" i="1"/>
  <c r="Q196" i="1" s="1"/>
  <c r="AK189" i="1"/>
  <c r="Q189" i="1" s="1"/>
  <c r="AK180" i="1"/>
  <c r="Q180" i="1" s="1"/>
  <c r="AK171" i="1"/>
  <c r="Q171" i="1" s="1"/>
  <c r="AJ165" i="1"/>
  <c r="P165" i="1" s="1"/>
  <c r="AK164" i="1"/>
  <c r="Q164" i="1" s="1"/>
  <c r="AK159" i="1"/>
  <c r="Q159" i="1" s="1"/>
  <c r="AJ152" i="1"/>
  <c r="P152" i="1" s="1"/>
  <c r="AK143" i="1"/>
  <c r="Q143" i="1" s="1"/>
  <c r="AJ134" i="1"/>
  <c r="P134" i="1" s="1"/>
  <c r="AJ127" i="1"/>
  <c r="P127" i="1" s="1"/>
  <c r="AK128" i="1"/>
  <c r="Q128" i="1" s="1"/>
  <c r="AJ196" i="1"/>
  <c r="P196" i="1" s="1"/>
  <c r="AD196" i="1" s="1"/>
  <c r="AJ189" i="1"/>
  <c r="P189" i="1" s="1"/>
  <c r="AD189" i="1" s="1"/>
  <c r="AJ180" i="1"/>
  <c r="P180" i="1" s="1"/>
  <c r="AD180" i="1" s="1"/>
  <c r="AJ159" i="1"/>
  <c r="P159" i="1" s="1"/>
  <c r="AK374" i="1"/>
  <c r="Q374" i="1" s="1"/>
  <c r="AK275" i="1"/>
  <c r="Q275" i="1" s="1"/>
  <c r="AK270" i="1"/>
  <c r="Q270" i="1" s="1"/>
  <c r="AK263" i="1"/>
  <c r="Q263" i="1" s="1"/>
  <c r="AK254" i="1"/>
  <c r="Q254" i="1" s="1"/>
  <c r="AK239" i="1"/>
  <c r="Q239" i="1" s="1"/>
  <c r="AK233" i="1"/>
  <c r="Q233" i="1" s="1"/>
  <c r="AK226" i="1"/>
  <c r="Q226" i="1" s="1"/>
  <c r="AJ217" i="1"/>
  <c r="P217" i="1" s="1"/>
  <c r="AJ171" i="1"/>
  <c r="P171" i="1" s="1"/>
  <c r="AJ164" i="1"/>
  <c r="P164" i="1" s="1"/>
  <c r="AJ143" i="1"/>
  <c r="P143" i="1" s="1"/>
  <c r="AK127" i="1"/>
  <c r="Q127" i="1" s="1"/>
  <c r="AK344" i="1"/>
  <c r="Q344" i="1" s="1"/>
  <c r="AJ300" i="1"/>
  <c r="P300" i="1" s="1"/>
  <c r="AJ291" i="1"/>
  <c r="P291" i="1" s="1"/>
  <c r="AK245" i="1"/>
  <c r="Q245" i="1" s="1"/>
  <c r="AK238" i="1"/>
  <c r="Q238" i="1" s="1"/>
  <c r="AJ202" i="1"/>
  <c r="P202" i="1" s="1"/>
  <c r="AJ128" i="1"/>
  <c r="P128" i="1" s="1"/>
  <c r="AD128" i="1" s="1"/>
  <c r="AK165" i="1"/>
  <c r="Q165" i="1" s="1"/>
  <c r="AJ226" i="1"/>
  <c r="P226" i="1" s="1"/>
  <c r="AJ328" i="1"/>
  <c r="P328" i="1" s="1"/>
  <c r="AJ276" i="1"/>
  <c r="P276" i="1" s="1"/>
  <c r="AJ270" i="1"/>
  <c r="P270" i="1" s="1"/>
  <c r="AJ239" i="1"/>
  <c r="P239" i="1" s="1"/>
  <c r="AD239" i="1" s="1"/>
  <c r="AK208" i="1"/>
  <c r="Q208" i="1" s="1"/>
  <c r="AK201" i="1"/>
  <c r="Q201" i="1" s="1"/>
  <c r="AK152" i="1"/>
  <c r="Q152" i="1" s="1"/>
  <c r="AJ319" i="1"/>
  <c r="P319" i="1" s="1"/>
  <c r="AJ307" i="1"/>
  <c r="P307" i="1" s="1"/>
  <c r="AD307" i="1" s="1"/>
  <c r="AK282" i="1"/>
  <c r="Q282" i="1" s="1"/>
  <c r="AJ275" i="1"/>
  <c r="P275" i="1" s="1"/>
  <c r="AK202" i="1"/>
  <c r="Q202" i="1" s="1"/>
  <c r="AK134" i="1"/>
  <c r="Q134" i="1" s="1"/>
  <c r="AI40" i="1"/>
  <c r="O40" i="1" s="1"/>
  <c r="BK99" i="1"/>
  <c r="AI66" i="1"/>
  <c r="O66" i="1" s="1"/>
  <c r="N445" i="1"/>
  <c r="AL445" i="1"/>
  <c r="AL457" i="1"/>
  <c r="AM457" i="1" s="1"/>
  <c r="S457" i="1" s="1"/>
  <c r="N457" i="1"/>
  <c r="AI492" i="1"/>
  <c r="O492" i="1" s="1"/>
  <c r="AH492" i="1"/>
  <c r="K492" i="1"/>
  <c r="AI86" i="1"/>
  <c r="O86" i="1" s="1"/>
  <c r="AI89" i="1"/>
  <c r="O89" i="1" s="1"/>
  <c r="AI91" i="1"/>
  <c r="O91" i="1" s="1"/>
  <c r="AI93" i="1"/>
  <c r="O93" i="1" s="1"/>
  <c r="AI95" i="1"/>
  <c r="O95" i="1" s="1"/>
  <c r="AI97" i="1"/>
  <c r="O97" i="1" s="1"/>
  <c r="AL441" i="1"/>
  <c r="R441" i="1" s="1"/>
  <c r="N441" i="1"/>
  <c r="AI453" i="1"/>
  <c r="O453" i="1" s="1"/>
  <c r="AH453" i="1"/>
  <c r="AL496" i="1"/>
  <c r="AM496" i="1" s="1"/>
  <c r="S496" i="1" s="1"/>
  <c r="N496" i="1"/>
  <c r="AH507" i="1"/>
  <c r="K507" i="1"/>
  <c r="AI507" i="1"/>
  <c r="O507" i="1" s="1"/>
  <c r="AH523" i="1"/>
  <c r="K523" i="1"/>
  <c r="AI523" i="1"/>
  <c r="O523" i="1" s="1"/>
  <c r="AH539" i="1"/>
  <c r="K539" i="1"/>
  <c r="AI539" i="1"/>
  <c r="O539" i="1" s="1"/>
  <c r="AI562" i="1"/>
  <c r="O562" i="1" s="1"/>
  <c r="AH562" i="1"/>
  <c r="K562" i="1"/>
  <c r="AL580" i="1"/>
  <c r="AM580" i="1" s="1"/>
  <c r="S580" i="1" s="1"/>
  <c r="N580" i="1"/>
  <c r="AL636" i="1"/>
  <c r="AM636" i="1" s="1"/>
  <c r="S636" i="1" s="1"/>
  <c r="N636" i="1"/>
  <c r="AL698" i="1"/>
  <c r="AM698" i="1" s="1"/>
  <c r="S698" i="1" s="1"/>
  <c r="N698" i="1"/>
  <c r="AH482" i="1"/>
  <c r="N482" i="1" s="1"/>
  <c r="K482" i="1"/>
  <c r="AI482" i="1"/>
  <c r="O482" i="1" s="1"/>
  <c r="AH488" i="1"/>
  <c r="AL488" i="1" s="1"/>
  <c r="AM488" i="1" s="1"/>
  <c r="S488" i="1" s="1"/>
  <c r="AI488" i="1"/>
  <c r="O488" i="1" s="1"/>
  <c r="AI552" i="1"/>
  <c r="O552" i="1" s="1"/>
  <c r="AH552" i="1"/>
  <c r="K552" i="1"/>
  <c r="AH556" i="1"/>
  <c r="N556" i="1" s="1"/>
  <c r="AI556" i="1"/>
  <c r="O556" i="1" s="1"/>
  <c r="K556" i="1"/>
  <c r="AH572" i="1"/>
  <c r="N572" i="1" s="1"/>
  <c r="AI572" i="1"/>
  <c r="O572" i="1" s="1"/>
  <c r="K572" i="1"/>
  <c r="AI608" i="1"/>
  <c r="O608" i="1" s="1"/>
  <c r="AH608" i="1"/>
  <c r="K608" i="1"/>
  <c r="AI633" i="1"/>
  <c r="O633" i="1" s="1"/>
  <c r="K633" i="1"/>
  <c r="AI665" i="1"/>
  <c r="O665" i="1" s="1"/>
  <c r="AH665" i="1"/>
  <c r="K665" i="1"/>
  <c r="AI437" i="1"/>
  <c r="O437" i="1" s="1"/>
  <c r="AH437" i="1"/>
  <c r="AH462" i="1"/>
  <c r="K462" i="1"/>
  <c r="AI462" i="1"/>
  <c r="O462" i="1" s="1"/>
  <c r="AI470" i="1"/>
  <c r="O470" i="1" s="1"/>
  <c r="AH470" i="1"/>
  <c r="K470" i="1"/>
  <c r="AI499" i="1"/>
  <c r="O499" i="1" s="1"/>
  <c r="AH499" i="1"/>
  <c r="AH515" i="1"/>
  <c r="K515" i="1"/>
  <c r="AI515" i="1"/>
  <c r="O515" i="1" s="1"/>
  <c r="AH531" i="1"/>
  <c r="K531" i="1"/>
  <c r="AI531" i="1"/>
  <c r="O531" i="1" s="1"/>
  <c r="AH547" i="1"/>
  <c r="K547" i="1"/>
  <c r="AI547" i="1"/>
  <c r="O547" i="1" s="1"/>
  <c r="AH692" i="1"/>
  <c r="AL692" i="1" s="1"/>
  <c r="AI692" i="1"/>
  <c r="O692" i="1" s="1"/>
  <c r="K692" i="1"/>
  <c r="AI480" i="1"/>
  <c r="O480" i="1" s="1"/>
  <c r="AH480" i="1"/>
  <c r="K480" i="1"/>
  <c r="AH564" i="1"/>
  <c r="AL564" i="1" s="1"/>
  <c r="AI564" i="1"/>
  <c r="O564" i="1" s="1"/>
  <c r="K564" i="1"/>
  <c r="AI575" i="1"/>
  <c r="O575" i="1" s="1"/>
  <c r="K575" i="1"/>
  <c r="AL584" i="1"/>
  <c r="R584" i="1" s="1"/>
  <c r="N584" i="1"/>
  <c r="AI591" i="1"/>
  <c r="O591" i="1" s="1"/>
  <c r="K591" i="1"/>
  <c r="AH610" i="1"/>
  <c r="AL610" i="1" s="1"/>
  <c r="AI610" i="1"/>
  <c r="O610" i="1" s="1"/>
  <c r="K610" i="1"/>
  <c r="AI623" i="1"/>
  <c r="O623" i="1" s="1"/>
  <c r="AH623" i="1"/>
  <c r="K623" i="1"/>
  <c r="AH634" i="1"/>
  <c r="AL634" i="1" s="1"/>
  <c r="AI634" i="1"/>
  <c r="O634" i="1" s="1"/>
  <c r="AI644" i="1"/>
  <c r="O644" i="1" s="1"/>
  <c r="AH644" i="1"/>
  <c r="K644" i="1"/>
  <c r="AI655" i="1"/>
  <c r="O655" i="1" s="1"/>
  <c r="AH655" i="1"/>
  <c r="K655" i="1"/>
  <c r="AI683" i="1"/>
  <c r="O683" i="1" s="1"/>
  <c r="K683" i="1"/>
  <c r="AH720" i="1"/>
  <c r="N720" i="1" s="1"/>
  <c r="AI720" i="1"/>
  <c r="O720" i="1" s="1"/>
  <c r="K720" i="1"/>
  <c r="AI722" i="1"/>
  <c r="O722" i="1" s="1"/>
  <c r="AH722" i="1"/>
  <c r="K722" i="1"/>
  <c r="AI734" i="1"/>
  <c r="O734" i="1" s="1"/>
  <c r="AH734" i="1"/>
  <c r="K734" i="1"/>
  <c r="AI742" i="1"/>
  <c r="O742" i="1" s="1"/>
  <c r="AH742" i="1"/>
  <c r="K742" i="1"/>
  <c r="AL750" i="1"/>
  <c r="AM750" i="1" s="1"/>
  <c r="S750" i="1" s="1"/>
  <c r="N750" i="1"/>
  <c r="AI773" i="1"/>
  <c r="O773" i="1" s="1"/>
  <c r="AH773" i="1"/>
  <c r="AL773" i="1" s="1"/>
  <c r="R773" i="1" s="1"/>
  <c r="K773" i="1"/>
  <c r="AI787" i="1"/>
  <c r="O787" i="1" s="1"/>
  <c r="K787" i="1"/>
  <c r="AI795" i="1"/>
  <c r="O795" i="1" s="1"/>
  <c r="K795" i="1"/>
  <c r="K440" i="1"/>
  <c r="N442" i="1"/>
  <c r="N446" i="1"/>
  <c r="AH450" i="1"/>
  <c r="K450" i="1"/>
  <c r="K452" i="1"/>
  <c r="N483" i="1"/>
  <c r="AL483" i="1"/>
  <c r="AM483" i="1" s="1"/>
  <c r="S483" i="1" s="1"/>
  <c r="AH495" i="1"/>
  <c r="K495" i="1"/>
  <c r="AI502" i="1"/>
  <c r="O502" i="1" s="1"/>
  <c r="K502" i="1"/>
  <c r="AI504" i="1"/>
  <c r="O504" i="1" s="1"/>
  <c r="AH504" i="1"/>
  <c r="K504" i="1"/>
  <c r="AI505" i="1"/>
  <c r="O505" i="1" s="1"/>
  <c r="K505" i="1"/>
  <c r="AI510" i="1"/>
  <c r="O510" i="1" s="1"/>
  <c r="K510" i="1"/>
  <c r="AI512" i="1"/>
  <c r="O512" i="1" s="1"/>
  <c r="AH512" i="1"/>
  <c r="K512" i="1"/>
  <c r="AI513" i="1"/>
  <c r="O513" i="1" s="1"/>
  <c r="K513" i="1"/>
  <c r="AI518" i="1"/>
  <c r="O518" i="1" s="1"/>
  <c r="K518" i="1"/>
  <c r="AI520" i="1"/>
  <c r="O520" i="1" s="1"/>
  <c r="AH520" i="1"/>
  <c r="K520" i="1"/>
  <c r="AI521" i="1"/>
  <c r="O521" i="1" s="1"/>
  <c r="K521" i="1"/>
  <c r="AI526" i="1"/>
  <c r="O526" i="1" s="1"/>
  <c r="K526" i="1"/>
  <c r="AI528" i="1"/>
  <c r="O528" i="1" s="1"/>
  <c r="AH528" i="1"/>
  <c r="K528" i="1"/>
  <c r="AI529" i="1"/>
  <c r="O529" i="1" s="1"/>
  <c r="K529" i="1"/>
  <c r="AI534" i="1"/>
  <c r="O534" i="1" s="1"/>
  <c r="K534" i="1"/>
  <c r="AI536" i="1"/>
  <c r="O536" i="1" s="1"/>
  <c r="AH536" i="1"/>
  <c r="K536" i="1"/>
  <c r="AI537" i="1"/>
  <c r="O537" i="1" s="1"/>
  <c r="K537" i="1"/>
  <c r="AI542" i="1"/>
  <c r="O542" i="1" s="1"/>
  <c r="K542" i="1"/>
  <c r="AI544" i="1"/>
  <c r="O544" i="1" s="1"/>
  <c r="AH544" i="1"/>
  <c r="K544" i="1"/>
  <c r="AI545" i="1"/>
  <c r="O545" i="1" s="1"/>
  <c r="K545" i="1"/>
  <c r="AI579" i="1"/>
  <c r="O579" i="1" s="1"/>
  <c r="K579" i="1"/>
  <c r="AL593" i="1"/>
  <c r="R593" i="1" s="1"/>
  <c r="N593" i="1"/>
  <c r="AI595" i="1"/>
  <c r="O595" i="1" s="1"/>
  <c r="K595" i="1"/>
  <c r="N604" i="1"/>
  <c r="AL604" i="1"/>
  <c r="AL607" i="1"/>
  <c r="R607" i="1" s="1"/>
  <c r="N607" i="1"/>
  <c r="N612" i="1"/>
  <c r="AI617" i="1"/>
  <c r="O617" i="1" s="1"/>
  <c r="K617" i="1"/>
  <c r="AL620" i="1"/>
  <c r="AM620" i="1" s="1"/>
  <c r="S620" i="1" s="1"/>
  <c r="N620" i="1"/>
  <c r="N640" i="1"/>
  <c r="AI649" i="1"/>
  <c r="O649" i="1" s="1"/>
  <c r="K649" i="1"/>
  <c r="N651" i="1"/>
  <c r="AI669" i="1"/>
  <c r="O669" i="1" s="1"/>
  <c r="AH669" i="1"/>
  <c r="K669" i="1"/>
  <c r="AI686" i="1"/>
  <c r="O686" i="1" s="1"/>
  <c r="AH686" i="1"/>
  <c r="K686" i="1"/>
  <c r="AL689" i="1"/>
  <c r="AM689" i="1" s="1"/>
  <c r="S689" i="1" s="1"/>
  <c r="N689" i="1"/>
  <c r="AI697" i="1"/>
  <c r="O697" i="1" s="1"/>
  <c r="AH697" i="1"/>
  <c r="K697" i="1"/>
  <c r="AI706" i="1"/>
  <c r="O706" i="1" s="1"/>
  <c r="K706" i="1"/>
  <c r="AH706" i="1"/>
  <c r="AI710" i="1"/>
  <c r="O710" i="1" s="1"/>
  <c r="AH710" i="1"/>
  <c r="K710" i="1"/>
  <c r="AI713" i="1"/>
  <c r="O713" i="1" s="1"/>
  <c r="AH713" i="1"/>
  <c r="AI718" i="1"/>
  <c r="O718" i="1" s="1"/>
  <c r="AH718" i="1"/>
  <c r="K718" i="1"/>
  <c r="N738" i="1"/>
  <c r="AH740" i="1"/>
  <c r="AL740" i="1" s="1"/>
  <c r="AI740" i="1"/>
  <c r="O740" i="1" s="1"/>
  <c r="K740" i="1"/>
  <c r="N746" i="1"/>
  <c r="AH748" i="1"/>
  <c r="N748" i="1" s="1"/>
  <c r="AI748" i="1"/>
  <c r="O748" i="1" s="1"/>
  <c r="K748" i="1"/>
  <c r="AL789" i="1"/>
  <c r="N789" i="1"/>
  <c r="AI790" i="1"/>
  <c r="O790" i="1" s="1"/>
  <c r="AH790" i="1"/>
  <c r="AL790" i="1" s="1"/>
  <c r="AM790" i="1" s="1"/>
  <c r="S790" i="1" s="1"/>
  <c r="K790" i="1"/>
  <c r="K438" i="1"/>
  <c r="AH454" i="1"/>
  <c r="K454" i="1"/>
  <c r="AI458" i="1"/>
  <c r="O458" i="1" s="1"/>
  <c r="AH458" i="1"/>
  <c r="K458" i="1"/>
  <c r="K460" i="1"/>
  <c r="AI466" i="1"/>
  <c r="O466" i="1" s="1"/>
  <c r="AH466" i="1"/>
  <c r="K466" i="1"/>
  <c r="K468" i="1"/>
  <c r="AI473" i="1"/>
  <c r="O473" i="1" s="1"/>
  <c r="AH473" i="1"/>
  <c r="K473" i="1"/>
  <c r="AI566" i="1"/>
  <c r="O566" i="1" s="1"/>
  <c r="AH566" i="1"/>
  <c r="K566" i="1"/>
  <c r="AI571" i="1"/>
  <c r="O571" i="1" s="1"/>
  <c r="K571" i="1"/>
  <c r="N573" i="1"/>
  <c r="AI583" i="1"/>
  <c r="O583" i="1" s="1"/>
  <c r="K583" i="1"/>
  <c r="AI599" i="1"/>
  <c r="O599" i="1" s="1"/>
  <c r="K599" i="1"/>
  <c r="AH618" i="1"/>
  <c r="AL618" i="1" s="1"/>
  <c r="AI618" i="1"/>
  <c r="O618" i="1" s="1"/>
  <c r="AI628" i="1"/>
  <c r="O628" i="1" s="1"/>
  <c r="AH628" i="1"/>
  <c r="K628" i="1"/>
  <c r="AL631" i="1"/>
  <c r="AM631" i="1" s="1"/>
  <c r="S631" i="1" s="1"/>
  <c r="K634" i="1"/>
  <c r="AI639" i="1"/>
  <c r="O639" i="1" s="1"/>
  <c r="AH639" i="1"/>
  <c r="K639" i="1"/>
  <c r="AH650" i="1"/>
  <c r="AL650" i="1" s="1"/>
  <c r="AI650" i="1"/>
  <c r="O650" i="1" s="1"/>
  <c r="AI660" i="1"/>
  <c r="O660" i="1" s="1"/>
  <c r="AH660" i="1"/>
  <c r="K660" i="1"/>
  <c r="AI691" i="1"/>
  <c r="O691" i="1" s="1"/>
  <c r="K691" i="1"/>
  <c r="N693" i="1"/>
  <c r="AL709" i="1"/>
  <c r="AM709" i="1" s="1"/>
  <c r="S709" i="1" s="1"/>
  <c r="AI749" i="1"/>
  <c r="O749" i="1" s="1"/>
  <c r="K749" i="1"/>
  <c r="AH749" i="1"/>
  <c r="N776" i="1"/>
  <c r="AI793" i="1"/>
  <c r="O793" i="1" s="1"/>
  <c r="AH793" i="1"/>
  <c r="K781" i="1"/>
  <c r="AH782" i="1"/>
  <c r="K785" i="1"/>
  <c r="AH786" i="1"/>
  <c r="AH794" i="1"/>
  <c r="AL794" i="1" s="1"/>
  <c r="AM794" i="1" s="1"/>
  <c r="S794" i="1" s="1"/>
  <c r="K484" i="1"/>
  <c r="K601" i="1"/>
  <c r="K605" i="1"/>
  <c r="K614" i="1"/>
  <c r="N616" i="1"/>
  <c r="N632" i="1"/>
  <c r="N659" i="1"/>
  <c r="K729" i="1"/>
  <c r="AH756" i="1"/>
  <c r="AL756" i="1" s="1"/>
  <c r="R756" i="1" s="1"/>
  <c r="K769" i="1"/>
  <c r="K476" i="1"/>
  <c r="K478" i="1"/>
  <c r="K551" i="1"/>
  <c r="K573" i="1"/>
  <c r="K612" i="1"/>
  <c r="K619" i="1"/>
  <c r="K624" i="1"/>
  <c r="K629" i="1"/>
  <c r="K635" i="1"/>
  <c r="K640" i="1"/>
  <c r="K645" i="1"/>
  <c r="K651" i="1"/>
  <c r="K656" i="1"/>
  <c r="K661" i="1"/>
  <c r="K666" i="1"/>
  <c r="AH666" i="1"/>
  <c r="K668" i="1"/>
  <c r="K671" i="1"/>
  <c r="K673" i="1"/>
  <c r="K675" i="1"/>
  <c r="K677" i="1"/>
  <c r="K679" i="1"/>
  <c r="K681" i="1"/>
  <c r="K687" i="1"/>
  <c r="K693" i="1"/>
  <c r="K698" i="1"/>
  <c r="K703" i="1"/>
  <c r="K707" i="1"/>
  <c r="K711" i="1"/>
  <c r="K719" i="1"/>
  <c r="K723" i="1"/>
  <c r="AH723" i="1"/>
  <c r="K732" i="1"/>
  <c r="K738" i="1"/>
  <c r="K741" i="1"/>
  <c r="K746" i="1"/>
  <c r="K771" i="1"/>
  <c r="K776" i="1"/>
  <c r="AK14" i="1"/>
  <c r="Q14" i="1" s="1"/>
  <c r="K51" i="1"/>
  <c r="AH5" i="1"/>
  <c r="AO121" i="1"/>
  <c r="L121" i="1" s="1"/>
  <c r="AK20" i="1"/>
  <c r="Q20" i="1" s="1"/>
  <c r="AJ122" i="1"/>
  <c r="P122" i="1" s="1"/>
  <c r="AK122" i="1"/>
  <c r="Q122" i="1" s="1"/>
  <c r="K14" i="1"/>
  <c r="BB36" i="1"/>
  <c r="K30" i="1"/>
  <c r="K54" i="1"/>
  <c r="AK4" i="1"/>
  <c r="Q4" i="1" s="1"/>
  <c r="AJ22" i="1"/>
  <c r="P22" i="1" s="1"/>
  <c r="AJ121" i="1"/>
  <c r="P121" i="1" s="1"/>
  <c r="AK121" i="1"/>
  <c r="Q121" i="1" s="1"/>
  <c r="BD49" i="1"/>
  <c r="AI51" i="1"/>
  <c r="O51" i="1" s="1"/>
  <c r="AL51" i="1"/>
  <c r="AM51" i="1" s="1"/>
  <c r="S51" i="1" s="1"/>
  <c r="N51" i="1"/>
  <c r="BD39" i="1"/>
  <c r="K37" i="1"/>
  <c r="K5" i="1"/>
  <c r="K6" i="1"/>
  <c r="AH12" i="1"/>
  <c r="AL12" i="1" s="1"/>
  <c r="R12" i="1" s="1"/>
  <c r="K15" i="1"/>
  <c r="AH21" i="1"/>
  <c r="N21" i="1" s="1"/>
  <c r="AI30" i="1"/>
  <c r="O30" i="1" s="1"/>
  <c r="K53" i="1"/>
  <c r="K57" i="1"/>
  <c r="K59" i="1"/>
  <c r="K12" i="1"/>
  <c r="AU108" i="1"/>
  <c r="AW108" i="1" s="1"/>
  <c r="AK11" i="1"/>
  <c r="Q11" i="1" s="1"/>
  <c r="AK12" i="1"/>
  <c r="Q12" i="1" s="1"/>
  <c r="K47" i="1"/>
  <c r="AH6" i="1"/>
  <c r="AL6" i="1" s="1"/>
  <c r="R6" i="1" s="1"/>
  <c r="AI8" i="1"/>
  <c r="O8" i="1" s="1"/>
  <c r="AI13" i="1"/>
  <c r="O13" i="1" s="1"/>
  <c r="BA32" i="1"/>
  <c r="K16" i="1"/>
  <c r="AI17" i="1"/>
  <c r="O17" i="1" s="1"/>
  <c r="AH19" i="1"/>
  <c r="K41" i="1"/>
  <c r="AI45" i="1"/>
  <c r="O45" i="1" s="1"/>
  <c r="AI47" i="1"/>
  <c r="O47" i="1" s="1"/>
  <c r="AI49" i="1"/>
  <c r="O49" i="1" s="1"/>
  <c r="AI53" i="1"/>
  <c r="O53" i="1" s="1"/>
  <c r="AI54" i="1"/>
  <c r="O54" i="1" s="1"/>
  <c r="AH57" i="1"/>
  <c r="AL57" i="1" s="1"/>
  <c r="K52" i="1"/>
  <c r="AJ4" i="1"/>
  <c r="P4" i="1" s="1"/>
  <c r="AJ11" i="1"/>
  <c r="P11" i="1" s="1"/>
  <c r="AJ12" i="1"/>
  <c r="P12" i="1" s="1"/>
  <c r="AI22" i="1"/>
  <c r="O22" i="1" s="1"/>
  <c r="K50" i="1"/>
  <c r="AI52" i="1"/>
  <c r="O52" i="1" s="1"/>
  <c r="K55" i="1"/>
  <c r="AL47" i="1"/>
  <c r="AM47" i="1" s="1"/>
  <c r="S47" i="1" s="1"/>
  <c r="N47" i="1"/>
  <c r="AL53" i="1"/>
  <c r="AM53" i="1" s="1"/>
  <c r="S53" i="1" s="1"/>
  <c r="N53" i="1"/>
  <c r="AL54" i="1"/>
  <c r="N54" i="1"/>
  <c r="BB7" i="1"/>
  <c r="AV67" i="1" s="1"/>
  <c r="AW67" i="1" s="1"/>
  <c r="BE67" i="1" s="1"/>
  <c r="BB16" i="1"/>
  <c r="AV76" i="1" s="1"/>
  <c r="AW76" i="1" s="1"/>
  <c r="BD76" i="1" s="1"/>
  <c r="BD19" i="1"/>
  <c r="BD27" i="1"/>
  <c r="AK13" i="1"/>
  <c r="Q13" i="1" s="1"/>
  <c r="AJ15" i="1"/>
  <c r="P15" i="1" s="1"/>
  <c r="K18" i="1"/>
  <c r="AH20" i="1"/>
  <c r="AL20" i="1" s="1"/>
  <c r="BD43" i="1"/>
  <c r="AH24" i="1"/>
  <c r="AH28" i="1"/>
  <c r="AL28" i="1" s="1"/>
  <c r="R28" i="1" s="1"/>
  <c r="K32" i="1"/>
  <c r="AI39" i="1"/>
  <c r="O39" i="1" s="1"/>
  <c r="K46" i="1"/>
  <c r="K48" i="1"/>
  <c r="AJ6" i="1"/>
  <c r="P6" i="1" s="1"/>
  <c r="K7" i="1"/>
  <c r="BB15" i="1"/>
  <c r="AV75" i="1" s="1"/>
  <c r="AW75" i="1" s="1"/>
  <c r="BD75" i="1" s="1"/>
  <c r="AJ9" i="1"/>
  <c r="P9" i="1" s="1"/>
  <c r="BB31" i="1"/>
  <c r="AK15" i="1"/>
  <c r="Q15" i="1" s="1"/>
  <c r="BD41" i="1"/>
  <c r="BD44" i="1"/>
  <c r="K45" i="1"/>
  <c r="K56" i="1"/>
  <c r="AH58" i="1"/>
  <c r="N58" i="1" s="1"/>
  <c r="K58" i="1"/>
  <c r="AK6" i="1"/>
  <c r="Q6" i="1" s="1"/>
  <c r="AJ8" i="1"/>
  <c r="P8" i="1" s="1"/>
  <c r="K9" i="1"/>
  <c r="AK9" i="1"/>
  <c r="Q9" i="1" s="1"/>
  <c r="BD23" i="1"/>
  <c r="K13" i="1"/>
  <c r="AJ14" i="1"/>
  <c r="P14" i="1" s="1"/>
  <c r="AH18" i="1"/>
  <c r="K20" i="1"/>
  <c r="BD45" i="1"/>
  <c r="K39" i="1"/>
  <c r="AI46" i="1"/>
  <c r="O46" i="1" s="1"/>
  <c r="AI48" i="1"/>
  <c r="O48" i="1" s="1"/>
  <c r="K4" i="1"/>
  <c r="BB11" i="1"/>
  <c r="AV71" i="1" s="1"/>
  <c r="AW71" i="1" s="1"/>
  <c r="BD71" i="1" s="1"/>
  <c r="BB12" i="1"/>
  <c r="AV72" i="1" s="1"/>
  <c r="AW72" i="1" s="1"/>
  <c r="AY72" i="1" s="1"/>
  <c r="BD24" i="1"/>
  <c r="BB24" i="1"/>
  <c r="N17" i="1"/>
  <c r="AI23" i="1"/>
  <c r="O23" i="1" s="1"/>
  <c r="AH23" i="1"/>
  <c r="K23" i="1"/>
  <c r="AI31" i="1"/>
  <c r="O31" i="1" s="1"/>
  <c r="K31" i="1"/>
  <c r="AH31" i="1"/>
  <c r="N13" i="1"/>
  <c r="BD20" i="1"/>
  <c r="BB20" i="1"/>
  <c r="AV80" i="1" s="1"/>
  <c r="AW80" i="1" s="1"/>
  <c r="BD80" i="1" s="1"/>
  <c r="AI10" i="1"/>
  <c r="O10" i="1" s="1"/>
  <c r="K10" i="1"/>
  <c r="BD32" i="1"/>
  <c r="BB32" i="1"/>
  <c r="BD40" i="1"/>
  <c r="BB40" i="1"/>
  <c r="BD48" i="1"/>
  <c r="BB48" i="1"/>
  <c r="AI27" i="1"/>
  <c r="O27" i="1" s="1"/>
  <c r="AH27" i="1"/>
  <c r="K27" i="1"/>
  <c r="AH44" i="1"/>
  <c r="N44" i="1" s="1"/>
  <c r="AI44" i="1"/>
  <c r="O44" i="1" s="1"/>
  <c r="K44" i="1"/>
  <c r="AI38" i="1"/>
  <c r="O38" i="1" s="1"/>
  <c r="AH38" i="1"/>
  <c r="K38" i="1"/>
  <c r="AI60" i="1"/>
  <c r="O60" i="1" s="1"/>
  <c r="K60" i="1"/>
  <c r="AH60" i="1"/>
  <c r="AL60" i="1" s="1"/>
  <c r="R60" i="1" s="1"/>
  <c r="AO5" i="1"/>
  <c r="L5" i="1" s="1"/>
  <c r="BB8" i="1"/>
  <c r="AV68" i="1" s="1"/>
  <c r="AW68" i="1" s="1"/>
  <c r="AO9" i="1"/>
  <c r="L9" i="1" s="1"/>
  <c r="AI11" i="1"/>
  <c r="O11" i="1" s="1"/>
  <c r="K11" i="1"/>
  <c r="BD28" i="1"/>
  <c r="BB28" i="1"/>
  <c r="BD35" i="1"/>
  <c r="BB35" i="1"/>
  <c r="AI35" i="1"/>
  <c r="O35" i="1" s="1"/>
  <c r="K35" i="1"/>
  <c r="AH42" i="1"/>
  <c r="AI42" i="1"/>
  <c r="O42" i="1" s="1"/>
  <c r="AJ18" i="1"/>
  <c r="P18" i="1" s="1"/>
  <c r="AI41" i="1"/>
  <c r="O41" i="1" s="1"/>
  <c r="AI43" i="1"/>
  <c r="O43" i="1" s="1"/>
  <c r="AI59" i="1"/>
  <c r="O59" i="1" s="1"/>
  <c r="AH14" i="1"/>
  <c r="K24" i="1"/>
  <c r="N30" i="1"/>
  <c r="AI50" i="1"/>
  <c r="O50" i="1" s="1"/>
  <c r="AI55" i="1"/>
  <c r="O55" i="1" s="1"/>
  <c r="AI56" i="1"/>
  <c r="O56" i="1" s="1"/>
  <c r="K17" i="1"/>
  <c r="BD47" i="1"/>
  <c r="K28" i="1"/>
  <c r="K34" i="1"/>
  <c r="K36" i="1"/>
  <c r="K43" i="1"/>
  <c r="AM13" i="1"/>
  <c r="S13" i="1" s="1"/>
  <c r="R13" i="1"/>
  <c r="AM17" i="1"/>
  <c r="S17" i="1" s="1"/>
  <c r="R17" i="1"/>
  <c r="AO91" i="1"/>
  <c r="L91" i="1" s="1"/>
  <c r="AO61" i="1"/>
  <c r="L61" i="1" s="1"/>
  <c r="AO46" i="1"/>
  <c r="L46" i="1" s="1"/>
  <c r="AO76" i="1"/>
  <c r="L76" i="1" s="1"/>
  <c r="AO31" i="1"/>
  <c r="L31" i="1" s="1"/>
  <c r="AO116" i="1"/>
  <c r="L116" i="1" s="1"/>
  <c r="AO98" i="1"/>
  <c r="L98" i="1" s="1"/>
  <c r="AO26" i="1"/>
  <c r="L26" i="1" s="1"/>
  <c r="AO107" i="1"/>
  <c r="L107" i="1" s="1"/>
  <c r="AO86" i="1"/>
  <c r="L86" i="1" s="1"/>
  <c r="AO56" i="1"/>
  <c r="L56" i="1" s="1"/>
  <c r="AO71" i="1"/>
  <c r="L71" i="1" s="1"/>
  <c r="AO41" i="1"/>
  <c r="L41" i="1" s="1"/>
  <c r="BB5" i="1"/>
  <c r="AV65" i="1" s="1"/>
  <c r="AO4" i="1"/>
  <c r="L4" i="1" s="1"/>
  <c r="BA6" i="1"/>
  <c r="AO112" i="1"/>
  <c r="L112" i="1" s="1"/>
  <c r="AO94" i="1"/>
  <c r="L94" i="1" s="1"/>
  <c r="AO70" i="1"/>
  <c r="L70" i="1" s="1"/>
  <c r="AO25" i="1"/>
  <c r="L25" i="1" s="1"/>
  <c r="AO103" i="1"/>
  <c r="L103" i="1" s="1"/>
  <c r="AO40" i="1"/>
  <c r="L40" i="1" s="1"/>
  <c r="AO85" i="1"/>
  <c r="L85" i="1" s="1"/>
  <c r="AO55" i="1"/>
  <c r="L55" i="1" s="1"/>
  <c r="AK603" i="1"/>
  <c r="Q603" i="1" s="1"/>
  <c r="AJ603" i="1"/>
  <c r="P603" i="1" s="1"/>
  <c r="AJ595" i="1"/>
  <c r="P595" i="1" s="1"/>
  <c r="AJ591" i="1"/>
  <c r="P591" i="1" s="1"/>
  <c r="AJ583" i="1"/>
  <c r="P583" i="1" s="1"/>
  <c r="AJ579" i="1"/>
  <c r="P579" i="1" s="1"/>
  <c r="AJ571" i="1"/>
  <c r="P571" i="1" s="1"/>
  <c r="AK597" i="1"/>
  <c r="Q597" i="1" s="1"/>
  <c r="AK589" i="1"/>
  <c r="Q589" i="1" s="1"/>
  <c r="AK585" i="1"/>
  <c r="Q585" i="1" s="1"/>
  <c r="AK577" i="1"/>
  <c r="Q577" i="1" s="1"/>
  <c r="AK573" i="1"/>
  <c r="Q573" i="1" s="1"/>
  <c r="AK565" i="1"/>
  <c r="Q565" i="1" s="1"/>
  <c r="AK561" i="1"/>
  <c r="Q561" i="1" s="1"/>
  <c r="AK601" i="1"/>
  <c r="Q601" i="1" s="1"/>
  <c r="AJ597" i="1"/>
  <c r="P597" i="1" s="1"/>
  <c r="AJ589" i="1"/>
  <c r="P589" i="1" s="1"/>
  <c r="AJ585" i="1"/>
  <c r="P585" i="1" s="1"/>
  <c r="AJ577" i="1"/>
  <c r="P577" i="1" s="1"/>
  <c r="AJ573" i="1"/>
  <c r="P573" i="1" s="1"/>
  <c r="AJ565" i="1"/>
  <c r="P565" i="1" s="1"/>
  <c r="AJ561" i="1"/>
  <c r="P561" i="1" s="1"/>
  <c r="AJ601" i="1"/>
  <c r="P601" i="1" s="1"/>
  <c r="AK595" i="1"/>
  <c r="Q595" i="1" s="1"/>
  <c r="AK591" i="1"/>
  <c r="Q591" i="1" s="1"/>
  <c r="AK583" i="1"/>
  <c r="Q583" i="1" s="1"/>
  <c r="AK579" i="1"/>
  <c r="Q579" i="1" s="1"/>
  <c r="AK571" i="1"/>
  <c r="Q571" i="1" s="1"/>
  <c r="AK567" i="1"/>
  <c r="Q567" i="1" s="1"/>
  <c r="AJ553" i="1"/>
  <c r="P553" i="1" s="1"/>
  <c r="AJ549" i="1"/>
  <c r="P549" i="1" s="1"/>
  <c r="AJ541" i="1"/>
  <c r="P541" i="1" s="1"/>
  <c r="AJ537" i="1"/>
  <c r="P537" i="1" s="1"/>
  <c r="AJ529" i="1"/>
  <c r="P529" i="1" s="1"/>
  <c r="AJ525" i="1"/>
  <c r="P525" i="1" s="1"/>
  <c r="AJ517" i="1"/>
  <c r="P517" i="1" s="1"/>
  <c r="AJ513" i="1"/>
  <c r="P513" i="1" s="1"/>
  <c r="AJ505" i="1"/>
  <c r="P505" i="1" s="1"/>
  <c r="AJ501" i="1"/>
  <c r="P501" i="1" s="1"/>
  <c r="AJ493" i="1"/>
  <c r="P493" i="1" s="1"/>
  <c r="AK547" i="1"/>
  <c r="Q547" i="1" s="1"/>
  <c r="AK543" i="1"/>
  <c r="Q543" i="1" s="1"/>
  <c r="AK535" i="1"/>
  <c r="Q535" i="1" s="1"/>
  <c r="AK531" i="1"/>
  <c r="Q531" i="1" s="1"/>
  <c r="AK523" i="1"/>
  <c r="Q523" i="1" s="1"/>
  <c r="AK519" i="1"/>
  <c r="Q519" i="1" s="1"/>
  <c r="AK511" i="1"/>
  <c r="Q511" i="1" s="1"/>
  <c r="AK507" i="1"/>
  <c r="Q507" i="1" s="1"/>
  <c r="AK499" i="1"/>
  <c r="Q499" i="1" s="1"/>
  <c r="AK495" i="1"/>
  <c r="Q495" i="1" s="1"/>
  <c r="AK487" i="1"/>
  <c r="Q487" i="1" s="1"/>
  <c r="AK483" i="1"/>
  <c r="Q483" i="1" s="1"/>
  <c r="AK475" i="1"/>
  <c r="Q475" i="1" s="1"/>
  <c r="AJ567" i="1"/>
  <c r="P567" i="1" s="1"/>
  <c r="AK559" i="1"/>
  <c r="Q559" i="1" s="1"/>
  <c r="AK555" i="1"/>
  <c r="Q555" i="1" s="1"/>
  <c r="AJ547" i="1"/>
  <c r="P547" i="1" s="1"/>
  <c r="AJ543" i="1"/>
  <c r="P543" i="1" s="1"/>
  <c r="AJ535" i="1"/>
  <c r="P535" i="1" s="1"/>
  <c r="AJ531" i="1"/>
  <c r="P531" i="1" s="1"/>
  <c r="AJ523" i="1"/>
  <c r="P523" i="1" s="1"/>
  <c r="AJ519" i="1"/>
  <c r="P519" i="1" s="1"/>
  <c r="AJ511" i="1"/>
  <c r="P511" i="1" s="1"/>
  <c r="AJ507" i="1"/>
  <c r="P507" i="1" s="1"/>
  <c r="AJ499" i="1"/>
  <c r="P499" i="1" s="1"/>
  <c r="AJ495" i="1"/>
  <c r="P495" i="1" s="1"/>
  <c r="AJ487" i="1"/>
  <c r="P487" i="1" s="1"/>
  <c r="AJ483" i="1"/>
  <c r="P483" i="1" s="1"/>
  <c r="AJ559" i="1"/>
  <c r="P559" i="1" s="1"/>
  <c r="AJ555" i="1"/>
  <c r="P555" i="1" s="1"/>
  <c r="AK553" i="1"/>
  <c r="Q553" i="1" s="1"/>
  <c r="AK549" i="1"/>
  <c r="Q549" i="1" s="1"/>
  <c r="AK541" i="1"/>
  <c r="Q541" i="1" s="1"/>
  <c r="AK537" i="1"/>
  <c r="Q537" i="1" s="1"/>
  <c r="AK529" i="1"/>
  <c r="Q529" i="1" s="1"/>
  <c r="AK525" i="1"/>
  <c r="Q525" i="1" s="1"/>
  <c r="AK517" i="1"/>
  <c r="Q517" i="1" s="1"/>
  <c r="AK513" i="1"/>
  <c r="Q513" i="1" s="1"/>
  <c r="AK505" i="1"/>
  <c r="Q505" i="1" s="1"/>
  <c r="AK501" i="1"/>
  <c r="Q501" i="1" s="1"/>
  <c r="AK469" i="1"/>
  <c r="Q469" i="1" s="1"/>
  <c r="AK465" i="1"/>
  <c r="Q465" i="1" s="1"/>
  <c r="AK457" i="1"/>
  <c r="Q457" i="1" s="1"/>
  <c r="AK453" i="1"/>
  <c r="Q453" i="1" s="1"/>
  <c r="AK445" i="1"/>
  <c r="Q445" i="1" s="1"/>
  <c r="AK441" i="1"/>
  <c r="Q441" i="1" s="1"/>
  <c r="AK481" i="1"/>
  <c r="Q481" i="1" s="1"/>
  <c r="AK477" i="1"/>
  <c r="Q477" i="1" s="1"/>
  <c r="AJ469" i="1"/>
  <c r="P469" i="1" s="1"/>
  <c r="AJ465" i="1"/>
  <c r="P465" i="1" s="1"/>
  <c r="AJ457" i="1"/>
  <c r="P457" i="1" s="1"/>
  <c r="AJ453" i="1"/>
  <c r="P453" i="1" s="1"/>
  <c r="AJ445" i="1"/>
  <c r="P445" i="1" s="1"/>
  <c r="AJ441" i="1"/>
  <c r="P441" i="1" s="1"/>
  <c r="AK493" i="1"/>
  <c r="Q493" i="1" s="1"/>
  <c r="AK489" i="1"/>
  <c r="Q489" i="1" s="1"/>
  <c r="AJ481" i="1"/>
  <c r="P481" i="1" s="1"/>
  <c r="AJ477" i="1"/>
  <c r="P477" i="1" s="1"/>
  <c r="AK471" i="1"/>
  <c r="Q471" i="1" s="1"/>
  <c r="AK463" i="1"/>
  <c r="Q463" i="1" s="1"/>
  <c r="AK459" i="1"/>
  <c r="Q459" i="1" s="1"/>
  <c r="AK451" i="1"/>
  <c r="Q451" i="1" s="1"/>
  <c r="AK447" i="1"/>
  <c r="Q447" i="1" s="1"/>
  <c r="AK439" i="1"/>
  <c r="Q439" i="1" s="1"/>
  <c r="AK435" i="1"/>
  <c r="Q435" i="1" s="1"/>
  <c r="AJ459" i="1"/>
  <c r="P459" i="1" s="1"/>
  <c r="AJ451" i="1"/>
  <c r="P451" i="1" s="1"/>
  <c r="AJ435" i="1"/>
  <c r="P435" i="1" s="1"/>
  <c r="AJ489" i="1"/>
  <c r="P489" i="1" s="1"/>
  <c r="AJ471" i="1"/>
  <c r="P471" i="1" s="1"/>
  <c r="AJ475" i="1"/>
  <c r="P475" i="1" s="1"/>
  <c r="AJ447" i="1"/>
  <c r="P447" i="1" s="1"/>
  <c r="AJ463" i="1"/>
  <c r="P463" i="1" s="1"/>
  <c r="AJ439" i="1"/>
  <c r="P439" i="1" s="1"/>
  <c r="AJ105" i="1"/>
  <c r="P105" i="1" s="1"/>
  <c r="AJ114" i="1"/>
  <c r="P114" i="1" s="1"/>
  <c r="AJ96" i="1"/>
  <c r="P96" i="1" s="1"/>
  <c r="AJ64" i="1"/>
  <c r="P64" i="1" s="1"/>
  <c r="AJ49" i="1"/>
  <c r="P49" i="1" s="1"/>
  <c r="AK105" i="1"/>
  <c r="Q105" i="1" s="1"/>
  <c r="AK64" i="1"/>
  <c r="Q64" i="1" s="1"/>
  <c r="AK49" i="1"/>
  <c r="Q49" i="1" s="1"/>
  <c r="AK79" i="1"/>
  <c r="Q79" i="1" s="1"/>
  <c r="AK34" i="1"/>
  <c r="Q34" i="1" s="1"/>
  <c r="AJ79" i="1"/>
  <c r="P79" i="1" s="1"/>
  <c r="AJ34" i="1"/>
  <c r="P34" i="1" s="1"/>
  <c r="AK114" i="1"/>
  <c r="Q114" i="1" s="1"/>
  <c r="AK96" i="1"/>
  <c r="Q96" i="1" s="1"/>
  <c r="BB9" i="1"/>
  <c r="AV69" i="1" s="1"/>
  <c r="AO106" i="1"/>
  <c r="L106" i="1" s="1"/>
  <c r="AO35" i="1"/>
  <c r="L35" i="1" s="1"/>
  <c r="AO115" i="1"/>
  <c r="L115" i="1" s="1"/>
  <c r="AO97" i="1"/>
  <c r="L97" i="1" s="1"/>
  <c r="AO65" i="1"/>
  <c r="L65" i="1" s="1"/>
  <c r="AO50" i="1"/>
  <c r="L50" i="1" s="1"/>
  <c r="AO80" i="1"/>
  <c r="L80" i="1" s="1"/>
  <c r="BB13" i="1"/>
  <c r="AV73" i="1" s="1"/>
  <c r="AK7" i="1"/>
  <c r="Q7" i="1" s="1"/>
  <c r="AO7" i="1"/>
  <c r="L7" i="1" s="1"/>
  <c r="AO108" i="1"/>
  <c r="L108" i="1" s="1"/>
  <c r="AO87" i="1"/>
  <c r="L87" i="1" s="1"/>
  <c r="AO72" i="1"/>
  <c r="L72" i="1" s="1"/>
  <c r="AO117" i="1"/>
  <c r="L117" i="1" s="1"/>
  <c r="AO99" i="1"/>
  <c r="L99" i="1" s="1"/>
  <c r="AO57" i="1"/>
  <c r="L57" i="1" s="1"/>
  <c r="AO42" i="1"/>
  <c r="L42" i="1" s="1"/>
  <c r="AO27" i="1"/>
  <c r="L27" i="1" s="1"/>
  <c r="BB17" i="1"/>
  <c r="AV77" i="1" s="1"/>
  <c r="AO124" i="1"/>
  <c r="L124" i="1" s="1"/>
  <c r="AO44" i="1"/>
  <c r="L44" i="1" s="1"/>
  <c r="AO29" i="1"/>
  <c r="L29" i="1" s="1"/>
  <c r="AO89" i="1"/>
  <c r="L89" i="1" s="1"/>
  <c r="AO59" i="1"/>
  <c r="L59" i="1" s="1"/>
  <c r="AO74" i="1"/>
  <c r="L74" i="1" s="1"/>
  <c r="AH9" i="1"/>
  <c r="BB21" i="1"/>
  <c r="AK10" i="1"/>
  <c r="Q10" i="1" s="1"/>
  <c r="AO10" i="1"/>
  <c r="L10" i="1" s="1"/>
  <c r="AO603" i="1"/>
  <c r="L603" i="1" s="1"/>
  <c r="AO591" i="1"/>
  <c r="L591" i="1" s="1"/>
  <c r="AO579" i="1"/>
  <c r="L579" i="1" s="1"/>
  <c r="AO567" i="1"/>
  <c r="L567" i="1" s="1"/>
  <c r="AO543" i="1"/>
  <c r="L543" i="1" s="1"/>
  <c r="AO531" i="1"/>
  <c r="L531" i="1" s="1"/>
  <c r="AO519" i="1"/>
  <c r="L519" i="1" s="1"/>
  <c r="AO507" i="1"/>
  <c r="L507" i="1" s="1"/>
  <c r="AO495" i="1"/>
  <c r="L495" i="1" s="1"/>
  <c r="AO483" i="1"/>
  <c r="L483" i="1" s="1"/>
  <c r="AO555" i="1"/>
  <c r="L555" i="1" s="1"/>
  <c r="AO471" i="1"/>
  <c r="L471" i="1" s="1"/>
  <c r="AO459" i="1"/>
  <c r="L459" i="1" s="1"/>
  <c r="AO447" i="1"/>
  <c r="L447" i="1" s="1"/>
  <c r="AO435" i="1"/>
  <c r="L435" i="1" s="1"/>
  <c r="BB25" i="1"/>
  <c r="AO11" i="1"/>
  <c r="L11" i="1" s="1"/>
  <c r="AJ599" i="1"/>
  <c r="P599" i="1" s="1"/>
  <c r="AJ587" i="1"/>
  <c r="P587" i="1" s="1"/>
  <c r="AJ575" i="1"/>
  <c r="P575" i="1" s="1"/>
  <c r="AK599" i="1"/>
  <c r="Q599" i="1" s="1"/>
  <c r="AK587" i="1"/>
  <c r="Q587" i="1" s="1"/>
  <c r="AK575" i="1"/>
  <c r="Q575" i="1" s="1"/>
  <c r="AK563" i="1"/>
  <c r="Q563" i="1" s="1"/>
  <c r="AJ563" i="1"/>
  <c r="P563" i="1" s="1"/>
  <c r="AK551" i="1"/>
  <c r="Q551" i="1" s="1"/>
  <c r="AK539" i="1"/>
  <c r="Q539" i="1" s="1"/>
  <c r="AK527" i="1"/>
  <c r="Q527" i="1" s="1"/>
  <c r="AK515" i="1"/>
  <c r="Q515" i="1" s="1"/>
  <c r="AK503" i="1"/>
  <c r="Q503" i="1" s="1"/>
  <c r="AK491" i="1"/>
  <c r="Q491" i="1" s="1"/>
  <c r="AK479" i="1"/>
  <c r="Q479" i="1" s="1"/>
  <c r="AJ551" i="1"/>
  <c r="P551" i="1" s="1"/>
  <c r="AJ539" i="1"/>
  <c r="P539" i="1" s="1"/>
  <c r="AJ527" i="1"/>
  <c r="P527" i="1" s="1"/>
  <c r="AJ515" i="1"/>
  <c r="P515" i="1" s="1"/>
  <c r="AJ503" i="1"/>
  <c r="P503" i="1" s="1"/>
  <c r="AJ491" i="1"/>
  <c r="P491" i="1" s="1"/>
  <c r="AK467" i="1"/>
  <c r="Q467" i="1" s="1"/>
  <c r="AK455" i="1"/>
  <c r="Q455" i="1" s="1"/>
  <c r="AK443" i="1"/>
  <c r="Q443" i="1" s="1"/>
  <c r="AJ479" i="1"/>
  <c r="P479" i="1" s="1"/>
  <c r="AJ467" i="1"/>
  <c r="P467" i="1" s="1"/>
  <c r="AJ443" i="1"/>
  <c r="P443" i="1" s="1"/>
  <c r="AJ455" i="1"/>
  <c r="P455" i="1" s="1"/>
  <c r="BB29" i="1"/>
  <c r="AJ13" i="1"/>
  <c r="P13" i="1" s="1"/>
  <c r="AJ117" i="1"/>
  <c r="P117" i="1" s="1"/>
  <c r="AJ107" i="1"/>
  <c r="P107" i="1" s="1"/>
  <c r="AJ99" i="1"/>
  <c r="P99" i="1" s="1"/>
  <c r="AJ93" i="1"/>
  <c r="P93" i="1" s="1"/>
  <c r="AJ86" i="1"/>
  <c r="P86" i="1" s="1"/>
  <c r="AJ116" i="1"/>
  <c r="P116" i="1" s="1"/>
  <c r="AJ108" i="1"/>
  <c r="P108" i="1" s="1"/>
  <c r="AJ98" i="1"/>
  <c r="P98" i="1" s="1"/>
  <c r="AJ87" i="1"/>
  <c r="P87" i="1" s="1"/>
  <c r="AJ78" i="1"/>
  <c r="P78" i="1" s="1"/>
  <c r="AJ71" i="1"/>
  <c r="P71" i="1" s="1"/>
  <c r="AJ57" i="1"/>
  <c r="P57" i="1" s="1"/>
  <c r="AK117" i="1"/>
  <c r="Q117" i="1" s="1"/>
  <c r="AK107" i="1"/>
  <c r="Q107" i="1" s="1"/>
  <c r="AK99" i="1"/>
  <c r="Q99" i="1" s="1"/>
  <c r="AK93" i="1"/>
  <c r="Q93" i="1" s="1"/>
  <c r="AK86" i="1"/>
  <c r="Q86" i="1" s="1"/>
  <c r="AJ72" i="1"/>
  <c r="P72" i="1" s="1"/>
  <c r="AJ63" i="1"/>
  <c r="P63" i="1" s="1"/>
  <c r="AK56" i="1"/>
  <c r="Q56" i="1" s="1"/>
  <c r="AJ48" i="1"/>
  <c r="P48" i="1" s="1"/>
  <c r="AK33" i="1"/>
  <c r="Q33" i="1" s="1"/>
  <c r="AK26" i="1"/>
  <c r="Q26" i="1" s="1"/>
  <c r="AK78" i="1"/>
  <c r="Q78" i="1" s="1"/>
  <c r="AJ56" i="1"/>
  <c r="P56" i="1" s="1"/>
  <c r="AK42" i="1"/>
  <c r="Q42" i="1" s="1"/>
  <c r="AK71" i="1"/>
  <c r="Q71" i="1" s="1"/>
  <c r="AK57" i="1"/>
  <c r="Q57" i="1" s="1"/>
  <c r="AJ42" i="1"/>
  <c r="P42" i="1" s="1"/>
  <c r="AK41" i="1"/>
  <c r="Q41" i="1" s="1"/>
  <c r="AK27" i="1"/>
  <c r="Q27" i="1" s="1"/>
  <c r="AK116" i="1"/>
  <c r="Q116" i="1" s="1"/>
  <c r="AK108" i="1"/>
  <c r="Q108" i="1" s="1"/>
  <c r="AK98" i="1"/>
  <c r="Q98" i="1" s="1"/>
  <c r="AK87" i="1"/>
  <c r="Q87" i="1" s="1"/>
  <c r="AK72" i="1"/>
  <c r="Q72" i="1" s="1"/>
  <c r="AK63" i="1"/>
  <c r="Q63" i="1" s="1"/>
  <c r="AK48" i="1"/>
  <c r="Q48" i="1" s="1"/>
  <c r="AJ41" i="1"/>
  <c r="P41" i="1" s="1"/>
  <c r="AJ27" i="1"/>
  <c r="P27" i="1" s="1"/>
  <c r="AH15" i="1"/>
  <c r="BB33" i="1"/>
  <c r="AK16" i="1"/>
  <c r="Q16" i="1" s="1"/>
  <c r="AO16" i="1"/>
  <c r="L16" i="1" s="1"/>
  <c r="AO592" i="1"/>
  <c r="L592" i="1" s="1"/>
  <c r="AO580" i="1"/>
  <c r="L580" i="1" s="1"/>
  <c r="AO568" i="1"/>
  <c r="L568" i="1" s="1"/>
  <c r="AO604" i="1"/>
  <c r="L604" i="1" s="1"/>
  <c r="AO544" i="1"/>
  <c r="L544" i="1" s="1"/>
  <c r="AO532" i="1"/>
  <c r="L532" i="1" s="1"/>
  <c r="AO520" i="1"/>
  <c r="L520" i="1" s="1"/>
  <c r="AO508" i="1"/>
  <c r="L508" i="1" s="1"/>
  <c r="AO496" i="1"/>
  <c r="L496" i="1" s="1"/>
  <c r="AO556" i="1"/>
  <c r="L556" i="1" s="1"/>
  <c r="AO472" i="1"/>
  <c r="L472" i="1" s="1"/>
  <c r="AO460" i="1"/>
  <c r="L460" i="1" s="1"/>
  <c r="AO448" i="1"/>
  <c r="L448" i="1" s="1"/>
  <c r="AO436" i="1"/>
  <c r="L436" i="1" s="1"/>
  <c r="AO484" i="1"/>
  <c r="L484" i="1" s="1"/>
  <c r="AJ17" i="1"/>
  <c r="P17" i="1" s="1"/>
  <c r="AK590" i="1"/>
  <c r="Q590" i="1" s="1"/>
  <c r="AK578" i="1"/>
  <c r="Q578" i="1" s="1"/>
  <c r="AK602" i="1"/>
  <c r="Q602" i="1" s="1"/>
  <c r="AJ590" i="1"/>
  <c r="P590" i="1" s="1"/>
  <c r="AJ578" i="1"/>
  <c r="P578" i="1" s="1"/>
  <c r="AJ566" i="1"/>
  <c r="P566" i="1" s="1"/>
  <c r="AJ602" i="1"/>
  <c r="P602" i="1" s="1"/>
  <c r="AK554" i="1"/>
  <c r="Q554" i="1" s="1"/>
  <c r="AK542" i="1"/>
  <c r="Q542" i="1" s="1"/>
  <c r="AK530" i="1"/>
  <c r="Q530" i="1" s="1"/>
  <c r="AK518" i="1"/>
  <c r="Q518" i="1" s="1"/>
  <c r="AK506" i="1"/>
  <c r="Q506" i="1" s="1"/>
  <c r="AK494" i="1"/>
  <c r="Q494" i="1" s="1"/>
  <c r="AK566" i="1"/>
  <c r="Q566" i="1" s="1"/>
  <c r="AJ554" i="1"/>
  <c r="P554" i="1" s="1"/>
  <c r="AJ542" i="1"/>
  <c r="P542" i="1" s="1"/>
  <c r="AJ530" i="1"/>
  <c r="P530" i="1" s="1"/>
  <c r="AJ518" i="1"/>
  <c r="P518" i="1" s="1"/>
  <c r="AJ506" i="1"/>
  <c r="P506" i="1" s="1"/>
  <c r="AJ494" i="1"/>
  <c r="P494" i="1" s="1"/>
  <c r="AK482" i="1"/>
  <c r="Q482" i="1" s="1"/>
  <c r="AJ470" i="1"/>
  <c r="P470" i="1" s="1"/>
  <c r="AJ458" i="1"/>
  <c r="P458" i="1" s="1"/>
  <c r="AJ446" i="1"/>
  <c r="P446" i="1" s="1"/>
  <c r="AJ482" i="1"/>
  <c r="P482" i="1" s="1"/>
  <c r="AK446" i="1"/>
  <c r="Q446" i="1" s="1"/>
  <c r="AK458" i="1"/>
  <c r="Q458" i="1" s="1"/>
  <c r="AK470" i="1"/>
  <c r="Q470" i="1" s="1"/>
  <c r="BB37" i="1"/>
  <c r="AJ19" i="1"/>
  <c r="P19" i="1" s="1"/>
  <c r="AK593" i="1"/>
  <c r="Q593" i="1" s="1"/>
  <c r="AK581" i="1"/>
  <c r="Q581" i="1" s="1"/>
  <c r="AK569" i="1"/>
  <c r="Q569" i="1" s="1"/>
  <c r="AK557" i="1"/>
  <c r="Q557" i="1" s="1"/>
  <c r="AK605" i="1"/>
  <c r="Q605" i="1" s="1"/>
  <c r="AJ593" i="1"/>
  <c r="P593" i="1" s="1"/>
  <c r="AJ581" i="1"/>
  <c r="P581" i="1" s="1"/>
  <c r="AJ569" i="1"/>
  <c r="P569" i="1" s="1"/>
  <c r="AJ605" i="1"/>
  <c r="P605" i="1" s="1"/>
  <c r="AJ557" i="1"/>
  <c r="P557" i="1" s="1"/>
  <c r="AJ545" i="1"/>
  <c r="P545" i="1" s="1"/>
  <c r="AJ533" i="1"/>
  <c r="P533" i="1" s="1"/>
  <c r="AJ521" i="1"/>
  <c r="P521" i="1" s="1"/>
  <c r="AJ509" i="1"/>
  <c r="P509" i="1" s="1"/>
  <c r="AJ497" i="1"/>
  <c r="P497" i="1" s="1"/>
  <c r="AK545" i="1"/>
  <c r="Q545" i="1" s="1"/>
  <c r="AK533" i="1"/>
  <c r="Q533" i="1" s="1"/>
  <c r="AK521" i="1"/>
  <c r="Q521" i="1" s="1"/>
  <c r="AK509" i="1"/>
  <c r="Q509" i="1" s="1"/>
  <c r="AK485" i="1"/>
  <c r="Q485" i="1" s="1"/>
  <c r="AK473" i="1"/>
  <c r="Q473" i="1" s="1"/>
  <c r="AK461" i="1"/>
  <c r="Q461" i="1" s="1"/>
  <c r="AK449" i="1"/>
  <c r="Q449" i="1" s="1"/>
  <c r="AK437" i="1"/>
  <c r="Q437" i="1" s="1"/>
  <c r="AK497" i="1"/>
  <c r="Q497" i="1" s="1"/>
  <c r="AJ485" i="1"/>
  <c r="P485" i="1" s="1"/>
  <c r="AJ473" i="1"/>
  <c r="P473" i="1" s="1"/>
  <c r="AJ461" i="1"/>
  <c r="P461" i="1" s="1"/>
  <c r="AJ449" i="1"/>
  <c r="P449" i="1" s="1"/>
  <c r="AJ437" i="1"/>
  <c r="P437" i="1" s="1"/>
  <c r="AJ600" i="1"/>
  <c r="P600" i="1" s="1"/>
  <c r="AK588" i="1"/>
  <c r="Q588" i="1" s="1"/>
  <c r="AK576" i="1"/>
  <c r="Q576" i="1" s="1"/>
  <c r="AK564" i="1"/>
  <c r="Q564" i="1" s="1"/>
  <c r="AK600" i="1"/>
  <c r="Q600" i="1" s="1"/>
  <c r="AJ588" i="1"/>
  <c r="P588" i="1" s="1"/>
  <c r="AJ576" i="1"/>
  <c r="P576" i="1" s="1"/>
  <c r="AJ564" i="1"/>
  <c r="P564" i="1" s="1"/>
  <c r="AK552" i="1"/>
  <c r="Q552" i="1" s="1"/>
  <c r="AK540" i="1"/>
  <c r="Q540" i="1" s="1"/>
  <c r="AK528" i="1"/>
  <c r="Q528" i="1" s="1"/>
  <c r="AK516" i="1"/>
  <c r="Q516" i="1" s="1"/>
  <c r="AK504" i="1"/>
  <c r="Q504" i="1" s="1"/>
  <c r="AK492" i="1"/>
  <c r="Q492" i="1" s="1"/>
  <c r="AJ552" i="1"/>
  <c r="P552" i="1" s="1"/>
  <c r="AJ540" i="1"/>
  <c r="P540" i="1" s="1"/>
  <c r="AJ528" i="1"/>
  <c r="P528" i="1" s="1"/>
  <c r="AJ516" i="1"/>
  <c r="P516" i="1" s="1"/>
  <c r="AJ504" i="1"/>
  <c r="P504" i="1" s="1"/>
  <c r="AJ492" i="1"/>
  <c r="P492" i="1" s="1"/>
  <c r="AJ480" i="1"/>
  <c r="P480" i="1" s="1"/>
  <c r="AK468" i="1"/>
  <c r="Q468" i="1" s="1"/>
  <c r="AK456" i="1"/>
  <c r="Q456" i="1" s="1"/>
  <c r="AK444" i="1"/>
  <c r="Q444" i="1" s="1"/>
  <c r="AK480" i="1"/>
  <c r="Q480" i="1" s="1"/>
  <c r="AJ468" i="1"/>
  <c r="P468" i="1" s="1"/>
  <c r="AJ456" i="1"/>
  <c r="P456" i="1" s="1"/>
  <c r="AJ444" i="1"/>
  <c r="P444" i="1" s="1"/>
  <c r="AL32" i="1"/>
  <c r="N32" i="1"/>
  <c r="AJ113" i="1"/>
  <c r="P113" i="1" s="1"/>
  <c r="AJ95" i="1"/>
  <c r="P95" i="1" s="1"/>
  <c r="AJ104" i="1"/>
  <c r="P104" i="1" s="1"/>
  <c r="AJ67" i="1"/>
  <c r="P67" i="1" s="1"/>
  <c r="AK113" i="1"/>
  <c r="Q113" i="1" s="1"/>
  <c r="AK95" i="1"/>
  <c r="Q95" i="1" s="1"/>
  <c r="AK67" i="1"/>
  <c r="Q67" i="1" s="1"/>
  <c r="AK22" i="1"/>
  <c r="Q22" i="1" s="1"/>
  <c r="AK82" i="1"/>
  <c r="Q82" i="1" s="1"/>
  <c r="AK37" i="1"/>
  <c r="Q37" i="1" s="1"/>
  <c r="AJ82" i="1"/>
  <c r="P82" i="1" s="1"/>
  <c r="AK52" i="1"/>
  <c r="Q52" i="1" s="1"/>
  <c r="AJ37" i="1"/>
  <c r="P37" i="1" s="1"/>
  <c r="AK104" i="1"/>
  <c r="Q104" i="1" s="1"/>
  <c r="AJ52" i="1"/>
  <c r="P52" i="1" s="1"/>
  <c r="AJ798" i="1"/>
  <c r="P798" i="1" s="1"/>
  <c r="AK797" i="1"/>
  <c r="Q797" i="1" s="1"/>
  <c r="AJ794" i="1"/>
  <c r="P794" i="1" s="1"/>
  <c r="AK793" i="1"/>
  <c r="Q793" i="1" s="1"/>
  <c r="AJ790" i="1"/>
  <c r="P790" i="1" s="1"/>
  <c r="AK789" i="1"/>
  <c r="Q789" i="1" s="1"/>
  <c r="AJ786" i="1"/>
  <c r="P786" i="1" s="1"/>
  <c r="AK785" i="1"/>
  <c r="Q785" i="1" s="1"/>
  <c r="AJ782" i="1"/>
  <c r="P782" i="1" s="1"/>
  <c r="AK781" i="1"/>
  <c r="Q781" i="1" s="1"/>
  <c r="AJ797" i="1"/>
  <c r="P797" i="1" s="1"/>
  <c r="AK796" i="1"/>
  <c r="Q796" i="1" s="1"/>
  <c r="AJ793" i="1"/>
  <c r="P793" i="1" s="1"/>
  <c r="AK792" i="1"/>
  <c r="Q792" i="1" s="1"/>
  <c r="AJ789" i="1"/>
  <c r="P789" i="1" s="1"/>
  <c r="AK788" i="1"/>
  <c r="Q788" i="1" s="1"/>
  <c r="AJ785" i="1"/>
  <c r="P785" i="1" s="1"/>
  <c r="AK784" i="1"/>
  <c r="Q784" i="1" s="1"/>
  <c r="AJ781" i="1"/>
  <c r="P781" i="1" s="1"/>
  <c r="AK780" i="1"/>
  <c r="Q780" i="1" s="1"/>
  <c r="AJ799" i="1"/>
  <c r="P799" i="1" s="1"/>
  <c r="AK798" i="1"/>
  <c r="Q798" i="1" s="1"/>
  <c r="AJ795" i="1"/>
  <c r="P795" i="1" s="1"/>
  <c r="AK794" i="1"/>
  <c r="Q794" i="1" s="1"/>
  <c r="AJ791" i="1"/>
  <c r="P791" i="1" s="1"/>
  <c r="AK790" i="1"/>
  <c r="Q790" i="1" s="1"/>
  <c r="AK799" i="1"/>
  <c r="Q799" i="1" s="1"/>
  <c r="AK795" i="1"/>
  <c r="Q795" i="1" s="1"/>
  <c r="AK791" i="1"/>
  <c r="Q791" i="1" s="1"/>
  <c r="AK787" i="1"/>
  <c r="Q787" i="1" s="1"/>
  <c r="AJ784" i="1"/>
  <c r="P784" i="1" s="1"/>
  <c r="AJ779" i="1"/>
  <c r="P779" i="1" s="1"/>
  <c r="AJ777" i="1"/>
  <c r="P777" i="1" s="1"/>
  <c r="AK776" i="1"/>
  <c r="Q776" i="1" s="1"/>
  <c r="AJ773" i="1"/>
  <c r="P773" i="1" s="1"/>
  <c r="AK772" i="1"/>
  <c r="Q772" i="1" s="1"/>
  <c r="AJ769" i="1"/>
  <c r="P769" i="1" s="1"/>
  <c r="AK768" i="1"/>
  <c r="Q768" i="1" s="1"/>
  <c r="AJ765" i="1"/>
  <c r="P765" i="1" s="1"/>
  <c r="AK764" i="1"/>
  <c r="Q764" i="1" s="1"/>
  <c r="AJ787" i="1"/>
  <c r="P787" i="1" s="1"/>
  <c r="AK783" i="1"/>
  <c r="Q783" i="1" s="1"/>
  <c r="AJ776" i="1"/>
  <c r="P776" i="1" s="1"/>
  <c r="AK775" i="1"/>
  <c r="Q775" i="1" s="1"/>
  <c r="AJ772" i="1"/>
  <c r="P772" i="1" s="1"/>
  <c r="AK771" i="1"/>
  <c r="Q771" i="1" s="1"/>
  <c r="AJ768" i="1"/>
  <c r="P768" i="1" s="1"/>
  <c r="AK767" i="1"/>
  <c r="Q767" i="1" s="1"/>
  <c r="AJ764" i="1"/>
  <c r="P764" i="1" s="1"/>
  <c r="AK763" i="1"/>
  <c r="Q763" i="1" s="1"/>
  <c r="AJ796" i="1"/>
  <c r="P796" i="1" s="1"/>
  <c r="AJ792" i="1"/>
  <c r="P792" i="1" s="1"/>
  <c r="AJ788" i="1"/>
  <c r="P788" i="1" s="1"/>
  <c r="AK786" i="1"/>
  <c r="Q786" i="1" s="1"/>
  <c r="AK782" i="1"/>
  <c r="Q782" i="1" s="1"/>
  <c r="AJ778" i="1"/>
  <c r="P778" i="1" s="1"/>
  <c r="AK777" i="1"/>
  <c r="Q777" i="1" s="1"/>
  <c r="AJ774" i="1"/>
  <c r="P774" i="1" s="1"/>
  <c r="AK770" i="1"/>
  <c r="Q770" i="1" s="1"/>
  <c r="AJ767" i="1"/>
  <c r="P767" i="1" s="1"/>
  <c r="AJ760" i="1"/>
  <c r="P760" i="1" s="1"/>
  <c r="AK759" i="1"/>
  <c r="Q759" i="1" s="1"/>
  <c r="AJ756" i="1"/>
  <c r="P756" i="1" s="1"/>
  <c r="AK755" i="1"/>
  <c r="Q755" i="1" s="1"/>
  <c r="AJ783" i="1"/>
  <c r="P783" i="1" s="1"/>
  <c r="AJ780" i="1"/>
  <c r="P780" i="1" s="1"/>
  <c r="AK779" i="1"/>
  <c r="Q779" i="1" s="1"/>
  <c r="AK773" i="1"/>
  <c r="Q773" i="1" s="1"/>
  <c r="AJ770" i="1"/>
  <c r="P770" i="1" s="1"/>
  <c r="AK766" i="1"/>
  <c r="Q766" i="1" s="1"/>
  <c r="AK762" i="1"/>
  <c r="Q762" i="1" s="1"/>
  <c r="AJ759" i="1"/>
  <c r="P759" i="1" s="1"/>
  <c r="AK758" i="1"/>
  <c r="Q758" i="1" s="1"/>
  <c r="AJ755" i="1"/>
  <c r="P755" i="1" s="1"/>
  <c r="AK754" i="1"/>
  <c r="Q754" i="1" s="1"/>
  <c r="AK774" i="1"/>
  <c r="Q774" i="1" s="1"/>
  <c r="AK769" i="1"/>
  <c r="Q769" i="1" s="1"/>
  <c r="AK765" i="1"/>
  <c r="Q765" i="1" s="1"/>
  <c r="AJ761" i="1"/>
  <c r="P761" i="1" s="1"/>
  <c r="AK757" i="1"/>
  <c r="Q757" i="1" s="1"/>
  <c r="AJ752" i="1"/>
  <c r="P752" i="1" s="1"/>
  <c r="AJ750" i="1"/>
  <c r="P750" i="1" s="1"/>
  <c r="AK749" i="1"/>
  <c r="Q749" i="1" s="1"/>
  <c r="AJ746" i="1"/>
  <c r="P746" i="1" s="1"/>
  <c r="AK745" i="1"/>
  <c r="Q745" i="1" s="1"/>
  <c r="AJ742" i="1"/>
  <c r="P742" i="1" s="1"/>
  <c r="AK741" i="1"/>
  <c r="Q741" i="1" s="1"/>
  <c r="AJ738" i="1"/>
  <c r="P738" i="1" s="1"/>
  <c r="AK737" i="1"/>
  <c r="Q737" i="1" s="1"/>
  <c r="AJ734" i="1"/>
  <c r="P734" i="1" s="1"/>
  <c r="AK733" i="1"/>
  <c r="Q733" i="1" s="1"/>
  <c r="AJ730" i="1"/>
  <c r="P730" i="1" s="1"/>
  <c r="AK729" i="1"/>
  <c r="Q729" i="1" s="1"/>
  <c r="AJ726" i="1"/>
  <c r="P726" i="1" s="1"/>
  <c r="AK725" i="1"/>
  <c r="Q725" i="1" s="1"/>
  <c r="AJ722" i="1"/>
  <c r="P722" i="1" s="1"/>
  <c r="AK721" i="1"/>
  <c r="Q721" i="1" s="1"/>
  <c r="AJ771" i="1"/>
  <c r="P771" i="1" s="1"/>
  <c r="AK760" i="1"/>
  <c r="Q760" i="1" s="1"/>
  <c r="AJ757" i="1"/>
  <c r="P757" i="1" s="1"/>
  <c r="AJ754" i="1"/>
  <c r="P754" i="1" s="1"/>
  <c r="AJ749" i="1"/>
  <c r="P749" i="1" s="1"/>
  <c r="AK748" i="1"/>
  <c r="Q748" i="1" s="1"/>
  <c r="AJ745" i="1"/>
  <c r="P745" i="1" s="1"/>
  <c r="AK744" i="1"/>
  <c r="Q744" i="1" s="1"/>
  <c r="AJ741" i="1"/>
  <c r="P741" i="1" s="1"/>
  <c r="AK740" i="1"/>
  <c r="Q740" i="1" s="1"/>
  <c r="AJ737" i="1"/>
  <c r="P737" i="1" s="1"/>
  <c r="AK736" i="1"/>
  <c r="Q736" i="1" s="1"/>
  <c r="AJ733" i="1"/>
  <c r="P733" i="1" s="1"/>
  <c r="AK732" i="1"/>
  <c r="Q732" i="1" s="1"/>
  <c r="AJ729" i="1"/>
  <c r="P729" i="1" s="1"/>
  <c r="AK728" i="1"/>
  <c r="Q728" i="1" s="1"/>
  <c r="AK778" i="1"/>
  <c r="Q778" i="1" s="1"/>
  <c r="AJ766" i="1"/>
  <c r="P766" i="1" s="1"/>
  <c r="AJ762" i="1"/>
  <c r="P762" i="1" s="1"/>
  <c r="AK756" i="1"/>
  <c r="Q756" i="1" s="1"/>
  <c r="AK753" i="1"/>
  <c r="Q753" i="1" s="1"/>
  <c r="AK751" i="1"/>
  <c r="Q751" i="1" s="1"/>
  <c r="AJ748" i="1"/>
  <c r="P748" i="1" s="1"/>
  <c r="AK747" i="1"/>
  <c r="Q747" i="1" s="1"/>
  <c r="AJ744" i="1"/>
  <c r="P744" i="1" s="1"/>
  <c r="AK743" i="1"/>
  <c r="Q743" i="1" s="1"/>
  <c r="AJ740" i="1"/>
  <c r="P740" i="1" s="1"/>
  <c r="AK739" i="1"/>
  <c r="Q739" i="1" s="1"/>
  <c r="AJ736" i="1"/>
  <c r="P736" i="1" s="1"/>
  <c r="AK735" i="1"/>
  <c r="Q735" i="1" s="1"/>
  <c r="AJ732" i="1"/>
  <c r="P732" i="1" s="1"/>
  <c r="AK731" i="1"/>
  <c r="Q731" i="1" s="1"/>
  <c r="AJ728" i="1"/>
  <c r="P728" i="1" s="1"/>
  <c r="AK727" i="1"/>
  <c r="Q727" i="1" s="1"/>
  <c r="AJ724" i="1"/>
  <c r="P724" i="1" s="1"/>
  <c r="AJ775" i="1"/>
  <c r="P775" i="1" s="1"/>
  <c r="AJ763" i="1"/>
  <c r="P763" i="1" s="1"/>
  <c r="AK761" i="1"/>
  <c r="Q761" i="1" s="1"/>
  <c r="AJ758" i="1"/>
  <c r="P758" i="1" s="1"/>
  <c r="AK746" i="1"/>
  <c r="Q746" i="1" s="1"/>
  <c r="AJ743" i="1"/>
  <c r="P743" i="1" s="1"/>
  <c r="AK730" i="1"/>
  <c r="Q730" i="1" s="1"/>
  <c r="AJ727" i="1"/>
  <c r="P727" i="1" s="1"/>
  <c r="AJ725" i="1"/>
  <c r="P725" i="1" s="1"/>
  <c r="AJ723" i="1"/>
  <c r="P723" i="1" s="1"/>
  <c r="AK722" i="1"/>
  <c r="Q722" i="1" s="1"/>
  <c r="AJ719" i="1"/>
  <c r="P719" i="1" s="1"/>
  <c r="AK718" i="1"/>
  <c r="Q718" i="1" s="1"/>
  <c r="AJ715" i="1"/>
  <c r="P715" i="1" s="1"/>
  <c r="AK714" i="1"/>
  <c r="Q714" i="1" s="1"/>
  <c r="AJ711" i="1"/>
  <c r="P711" i="1" s="1"/>
  <c r="AK710" i="1"/>
  <c r="Q710" i="1" s="1"/>
  <c r="AK752" i="1"/>
  <c r="Q752" i="1" s="1"/>
  <c r="AK742" i="1"/>
  <c r="Q742" i="1" s="1"/>
  <c r="AJ739" i="1"/>
  <c r="P739" i="1" s="1"/>
  <c r="AK726" i="1"/>
  <c r="Q726" i="1" s="1"/>
  <c r="AK724" i="1"/>
  <c r="Q724" i="1" s="1"/>
  <c r="AJ721" i="1"/>
  <c r="P721" i="1" s="1"/>
  <c r="AJ718" i="1"/>
  <c r="P718" i="1" s="1"/>
  <c r="AK717" i="1"/>
  <c r="Q717" i="1" s="1"/>
  <c r="AJ714" i="1"/>
  <c r="P714" i="1" s="1"/>
  <c r="AK713" i="1"/>
  <c r="Q713" i="1" s="1"/>
  <c r="AJ710" i="1"/>
  <c r="P710" i="1" s="1"/>
  <c r="AK709" i="1"/>
  <c r="Q709" i="1" s="1"/>
  <c r="AJ706" i="1"/>
  <c r="P706" i="1" s="1"/>
  <c r="AK705" i="1"/>
  <c r="Q705" i="1" s="1"/>
  <c r="AJ753" i="1"/>
  <c r="P753" i="1" s="1"/>
  <c r="AJ751" i="1"/>
  <c r="P751" i="1" s="1"/>
  <c r="AK738" i="1"/>
  <c r="Q738" i="1" s="1"/>
  <c r="AJ735" i="1"/>
  <c r="P735" i="1" s="1"/>
  <c r="AK720" i="1"/>
  <c r="Q720" i="1" s="1"/>
  <c r="AJ717" i="1"/>
  <c r="P717" i="1" s="1"/>
  <c r="AK716" i="1"/>
  <c r="Q716" i="1" s="1"/>
  <c r="AJ713" i="1"/>
  <c r="P713" i="1" s="1"/>
  <c r="AK712" i="1"/>
  <c r="Q712" i="1" s="1"/>
  <c r="AJ709" i="1"/>
  <c r="P709" i="1" s="1"/>
  <c r="AK708" i="1"/>
  <c r="Q708" i="1" s="1"/>
  <c r="AK750" i="1"/>
  <c r="Q750" i="1" s="1"/>
  <c r="AJ747" i="1"/>
  <c r="P747" i="1" s="1"/>
  <c r="AK734" i="1"/>
  <c r="Q734" i="1" s="1"/>
  <c r="AJ731" i="1"/>
  <c r="P731" i="1" s="1"/>
  <c r="AK723" i="1"/>
  <c r="Q723" i="1" s="1"/>
  <c r="AJ720" i="1"/>
  <c r="P720" i="1" s="1"/>
  <c r="AK719" i="1"/>
  <c r="Q719" i="1" s="1"/>
  <c r="AJ716" i="1"/>
  <c r="P716" i="1" s="1"/>
  <c r="AK715" i="1"/>
  <c r="Q715" i="1" s="1"/>
  <c r="AJ712" i="1"/>
  <c r="P712" i="1" s="1"/>
  <c r="AK711" i="1"/>
  <c r="Q711" i="1" s="1"/>
  <c r="AJ708" i="1"/>
  <c r="P708" i="1" s="1"/>
  <c r="AJ702" i="1"/>
  <c r="P702" i="1" s="1"/>
  <c r="AK701" i="1"/>
  <c r="Q701" i="1" s="1"/>
  <c r="AJ698" i="1"/>
  <c r="P698" i="1" s="1"/>
  <c r="AK697" i="1"/>
  <c r="Q697" i="1" s="1"/>
  <c r="AJ694" i="1"/>
  <c r="P694" i="1" s="1"/>
  <c r="AK693" i="1"/>
  <c r="Q693" i="1" s="1"/>
  <c r="AJ690" i="1"/>
  <c r="P690" i="1" s="1"/>
  <c r="AK689" i="1"/>
  <c r="Q689" i="1" s="1"/>
  <c r="AJ686" i="1"/>
  <c r="P686" i="1" s="1"/>
  <c r="AK685" i="1"/>
  <c r="Q685" i="1" s="1"/>
  <c r="AJ682" i="1"/>
  <c r="P682" i="1" s="1"/>
  <c r="AK681" i="1"/>
  <c r="Q681" i="1" s="1"/>
  <c r="AJ678" i="1"/>
  <c r="P678" i="1" s="1"/>
  <c r="AK677" i="1"/>
  <c r="Q677" i="1" s="1"/>
  <c r="AJ674" i="1"/>
  <c r="P674" i="1" s="1"/>
  <c r="AK673" i="1"/>
  <c r="Q673" i="1" s="1"/>
  <c r="AJ670" i="1"/>
  <c r="P670" i="1" s="1"/>
  <c r="AK669" i="1"/>
  <c r="Q669" i="1" s="1"/>
  <c r="AJ666" i="1"/>
  <c r="P666" i="1" s="1"/>
  <c r="AK665" i="1"/>
  <c r="Q665" i="1" s="1"/>
  <c r="AK707" i="1"/>
  <c r="Q707" i="1" s="1"/>
  <c r="AK704" i="1"/>
  <c r="Q704" i="1" s="1"/>
  <c r="AJ701" i="1"/>
  <c r="P701" i="1" s="1"/>
  <c r="AK700" i="1"/>
  <c r="Q700" i="1" s="1"/>
  <c r="AJ697" i="1"/>
  <c r="P697" i="1" s="1"/>
  <c r="AK696" i="1"/>
  <c r="Q696" i="1" s="1"/>
  <c r="AJ693" i="1"/>
  <c r="P693" i="1" s="1"/>
  <c r="AK692" i="1"/>
  <c r="Q692" i="1" s="1"/>
  <c r="AJ689" i="1"/>
  <c r="P689" i="1" s="1"/>
  <c r="AK688" i="1"/>
  <c r="Q688" i="1" s="1"/>
  <c r="AJ685" i="1"/>
  <c r="P685" i="1" s="1"/>
  <c r="AK684" i="1"/>
  <c r="Q684" i="1" s="1"/>
  <c r="AJ681" i="1"/>
  <c r="P681" i="1" s="1"/>
  <c r="AK680" i="1"/>
  <c r="Q680" i="1" s="1"/>
  <c r="AJ677" i="1"/>
  <c r="P677" i="1" s="1"/>
  <c r="AK676" i="1"/>
  <c r="Q676" i="1" s="1"/>
  <c r="AJ673" i="1"/>
  <c r="P673" i="1" s="1"/>
  <c r="AK672" i="1"/>
  <c r="Q672" i="1" s="1"/>
  <c r="AJ669" i="1"/>
  <c r="P669" i="1" s="1"/>
  <c r="AK668" i="1"/>
  <c r="Q668" i="1" s="1"/>
  <c r="AJ665" i="1"/>
  <c r="P665" i="1" s="1"/>
  <c r="AK664" i="1"/>
  <c r="Q664" i="1" s="1"/>
  <c r="AJ707" i="1"/>
  <c r="P707" i="1" s="1"/>
  <c r="AK706" i="1"/>
  <c r="Q706" i="1" s="1"/>
  <c r="AJ704" i="1"/>
  <c r="P704" i="1" s="1"/>
  <c r="AK703" i="1"/>
  <c r="Q703" i="1" s="1"/>
  <c r="AJ700" i="1"/>
  <c r="P700" i="1" s="1"/>
  <c r="AK699" i="1"/>
  <c r="Q699" i="1" s="1"/>
  <c r="AJ696" i="1"/>
  <c r="P696" i="1" s="1"/>
  <c r="AK695" i="1"/>
  <c r="Q695" i="1" s="1"/>
  <c r="AJ692" i="1"/>
  <c r="P692" i="1" s="1"/>
  <c r="AK691" i="1"/>
  <c r="Q691" i="1" s="1"/>
  <c r="AJ688" i="1"/>
  <c r="P688" i="1" s="1"/>
  <c r="AK687" i="1"/>
  <c r="Q687" i="1" s="1"/>
  <c r="AJ705" i="1"/>
  <c r="P705" i="1" s="1"/>
  <c r="AJ703" i="1"/>
  <c r="P703" i="1" s="1"/>
  <c r="AK702" i="1"/>
  <c r="Q702" i="1" s="1"/>
  <c r="AJ699" i="1"/>
  <c r="P699" i="1" s="1"/>
  <c r="AK698" i="1"/>
  <c r="Q698" i="1" s="1"/>
  <c r="AJ695" i="1"/>
  <c r="P695" i="1" s="1"/>
  <c r="AK694" i="1"/>
  <c r="Q694" i="1" s="1"/>
  <c r="AJ691" i="1"/>
  <c r="P691" i="1" s="1"/>
  <c r="AK690" i="1"/>
  <c r="Q690" i="1" s="1"/>
  <c r="AJ687" i="1"/>
  <c r="P687" i="1" s="1"/>
  <c r="AK686" i="1"/>
  <c r="Q686" i="1" s="1"/>
  <c r="AJ683" i="1"/>
  <c r="P683" i="1" s="1"/>
  <c r="AK682" i="1"/>
  <c r="Q682" i="1" s="1"/>
  <c r="AJ679" i="1"/>
  <c r="P679" i="1" s="1"/>
  <c r="AK678" i="1"/>
  <c r="Q678" i="1" s="1"/>
  <c r="AJ675" i="1"/>
  <c r="P675" i="1" s="1"/>
  <c r="AK674" i="1"/>
  <c r="Q674" i="1" s="1"/>
  <c r="AJ671" i="1"/>
  <c r="P671" i="1" s="1"/>
  <c r="AK683" i="1"/>
  <c r="Q683" i="1" s="1"/>
  <c r="AJ668" i="1"/>
  <c r="P668" i="1" s="1"/>
  <c r="AJ660" i="1"/>
  <c r="P660" i="1" s="1"/>
  <c r="AK659" i="1"/>
  <c r="Q659" i="1" s="1"/>
  <c r="AJ656" i="1"/>
  <c r="P656" i="1" s="1"/>
  <c r="AK655" i="1"/>
  <c r="Q655" i="1" s="1"/>
  <c r="AJ652" i="1"/>
  <c r="P652" i="1" s="1"/>
  <c r="AK651" i="1"/>
  <c r="Q651" i="1" s="1"/>
  <c r="AJ648" i="1"/>
  <c r="P648" i="1" s="1"/>
  <c r="AK647" i="1"/>
  <c r="Q647" i="1" s="1"/>
  <c r="AJ644" i="1"/>
  <c r="P644" i="1" s="1"/>
  <c r="AK643" i="1"/>
  <c r="Q643" i="1" s="1"/>
  <c r="AJ640" i="1"/>
  <c r="P640" i="1" s="1"/>
  <c r="AK639" i="1"/>
  <c r="Q639" i="1" s="1"/>
  <c r="AJ636" i="1"/>
  <c r="P636" i="1" s="1"/>
  <c r="AK635" i="1"/>
  <c r="Q635" i="1" s="1"/>
  <c r="AJ632" i="1"/>
  <c r="P632" i="1" s="1"/>
  <c r="AK631" i="1"/>
  <c r="Q631" i="1" s="1"/>
  <c r="AJ628" i="1"/>
  <c r="P628" i="1" s="1"/>
  <c r="AK627" i="1"/>
  <c r="Q627" i="1" s="1"/>
  <c r="AJ624" i="1"/>
  <c r="P624" i="1" s="1"/>
  <c r="AK623" i="1"/>
  <c r="Q623" i="1" s="1"/>
  <c r="AJ620" i="1"/>
  <c r="P620" i="1" s="1"/>
  <c r="AK619" i="1"/>
  <c r="Q619" i="1" s="1"/>
  <c r="AJ616" i="1"/>
  <c r="P616" i="1" s="1"/>
  <c r="AK615" i="1"/>
  <c r="Q615" i="1" s="1"/>
  <c r="AJ612" i="1"/>
  <c r="P612" i="1" s="1"/>
  <c r="AK611" i="1"/>
  <c r="Q611" i="1" s="1"/>
  <c r="AJ608" i="1"/>
  <c r="P608" i="1" s="1"/>
  <c r="AK607" i="1"/>
  <c r="Q607" i="1" s="1"/>
  <c r="AJ680" i="1"/>
  <c r="P680" i="1" s="1"/>
  <c r="AJ676" i="1"/>
  <c r="P676" i="1" s="1"/>
  <c r="AJ672" i="1"/>
  <c r="P672" i="1" s="1"/>
  <c r="AK667" i="1"/>
  <c r="Q667" i="1" s="1"/>
  <c r="AJ664" i="1"/>
  <c r="P664" i="1" s="1"/>
  <c r="AK662" i="1"/>
  <c r="Q662" i="1" s="1"/>
  <c r="AJ659" i="1"/>
  <c r="P659" i="1" s="1"/>
  <c r="AK658" i="1"/>
  <c r="Q658" i="1" s="1"/>
  <c r="AJ655" i="1"/>
  <c r="P655" i="1" s="1"/>
  <c r="AK654" i="1"/>
  <c r="Q654" i="1" s="1"/>
  <c r="AJ651" i="1"/>
  <c r="P651" i="1" s="1"/>
  <c r="AK650" i="1"/>
  <c r="Q650" i="1" s="1"/>
  <c r="AJ647" i="1"/>
  <c r="P647" i="1" s="1"/>
  <c r="AK646" i="1"/>
  <c r="Q646" i="1" s="1"/>
  <c r="AJ643" i="1"/>
  <c r="P643" i="1" s="1"/>
  <c r="AK642" i="1"/>
  <c r="Q642" i="1" s="1"/>
  <c r="AJ639" i="1"/>
  <c r="P639" i="1" s="1"/>
  <c r="AK638" i="1"/>
  <c r="Q638" i="1" s="1"/>
  <c r="AJ635" i="1"/>
  <c r="P635" i="1" s="1"/>
  <c r="AK634" i="1"/>
  <c r="Q634" i="1" s="1"/>
  <c r="AJ631" i="1"/>
  <c r="P631" i="1" s="1"/>
  <c r="AK630" i="1"/>
  <c r="Q630" i="1" s="1"/>
  <c r="AJ627" i="1"/>
  <c r="P627" i="1" s="1"/>
  <c r="AK626" i="1"/>
  <c r="Q626" i="1" s="1"/>
  <c r="AJ623" i="1"/>
  <c r="P623" i="1" s="1"/>
  <c r="AK622" i="1"/>
  <c r="Q622" i="1" s="1"/>
  <c r="AJ619" i="1"/>
  <c r="P619" i="1" s="1"/>
  <c r="AK618" i="1"/>
  <c r="Q618" i="1" s="1"/>
  <c r="AJ615" i="1"/>
  <c r="P615" i="1" s="1"/>
  <c r="AK614" i="1"/>
  <c r="Q614" i="1" s="1"/>
  <c r="AJ611" i="1"/>
  <c r="P611" i="1" s="1"/>
  <c r="AK610" i="1"/>
  <c r="Q610" i="1" s="1"/>
  <c r="AJ607" i="1"/>
  <c r="P607" i="1" s="1"/>
  <c r="AJ684" i="1"/>
  <c r="P684" i="1" s="1"/>
  <c r="AK670" i="1"/>
  <c r="Q670" i="1" s="1"/>
  <c r="AJ667" i="1"/>
  <c r="P667" i="1" s="1"/>
  <c r="AK663" i="1"/>
  <c r="Q663" i="1" s="1"/>
  <c r="AJ662" i="1"/>
  <c r="P662" i="1" s="1"/>
  <c r="AK661" i="1"/>
  <c r="Q661" i="1" s="1"/>
  <c r="AJ658" i="1"/>
  <c r="P658" i="1" s="1"/>
  <c r="AK657" i="1"/>
  <c r="Q657" i="1" s="1"/>
  <c r="AJ654" i="1"/>
  <c r="P654" i="1" s="1"/>
  <c r="AK653" i="1"/>
  <c r="Q653" i="1" s="1"/>
  <c r="AJ650" i="1"/>
  <c r="P650" i="1" s="1"/>
  <c r="AK649" i="1"/>
  <c r="Q649" i="1" s="1"/>
  <c r="AJ646" i="1"/>
  <c r="P646" i="1" s="1"/>
  <c r="AK645" i="1"/>
  <c r="Q645" i="1" s="1"/>
  <c r="AJ642" i="1"/>
  <c r="P642" i="1" s="1"/>
  <c r="AK641" i="1"/>
  <c r="Q641" i="1" s="1"/>
  <c r="AJ638" i="1"/>
  <c r="P638" i="1" s="1"/>
  <c r="AK637" i="1"/>
  <c r="Q637" i="1" s="1"/>
  <c r="AJ634" i="1"/>
  <c r="P634" i="1" s="1"/>
  <c r="AK633" i="1"/>
  <c r="Q633" i="1" s="1"/>
  <c r="AJ630" i="1"/>
  <c r="P630" i="1" s="1"/>
  <c r="AK629" i="1"/>
  <c r="Q629" i="1" s="1"/>
  <c r="AJ626" i="1"/>
  <c r="P626" i="1" s="1"/>
  <c r="AK625" i="1"/>
  <c r="Q625" i="1" s="1"/>
  <c r="AJ622" i="1"/>
  <c r="P622" i="1" s="1"/>
  <c r="AK621" i="1"/>
  <c r="Q621" i="1" s="1"/>
  <c r="AJ618" i="1"/>
  <c r="P618" i="1" s="1"/>
  <c r="AK617" i="1"/>
  <c r="Q617" i="1" s="1"/>
  <c r="AJ614" i="1"/>
  <c r="P614" i="1" s="1"/>
  <c r="AK679" i="1"/>
  <c r="Q679" i="1" s="1"/>
  <c r="AK675" i="1"/>
  <c r="Q675" i="1" s="1"/>
  <c r="AK671" i="1"/>
  <c r="Q671" i="1" s="1"/>
  <c r="AK666" i="1"/>
  <c r="Q666" i="1" s="1"/>
  <c r="AJ663" i="1"/>
  <c r="P663" i="1" s="1"/>
  <c r="AJ661" i="1"/>
  <c r="P661" i="1" s="1"/>
  <c r="AK660" i="1"/>
  <c r="Q660" i="1" s="1"/>
  <c r="AJ657" i="1"/>
  <c r="P657" i="1" s="1"/>
  <c r="AK656" i="1"/>
  <c r="Q656" i="1" s="1"/>
  <c r="AJ653" i="1"/>
  <c r="P653" i="1" s="1"/>
  <c r="AK652" i="1"/>
  <c r="Q652" i="1" s="1"/>
  <c r="AJ649" i="1"/>
  <c r="P649" i="1" s="1"/>
  <c r="AK648" i="1"/>
  <c r="Q648" i="1" s="1"/>
  <c r="AJ645" i="1"/>
  <c r="P645" i="1" s="1"/>
  <c r="AK644" i="1"/>
  <c r="Q644" i="1" s="1"/>
  <c r="AJ641" i="1"/>
  <c r="P641" i="1" s="1"/>
  <c r="AK640" i="1"/>
  <c r="Q640" i="1" s="1"/>
  <c r="AJ637" i="1"/>
  <c r="P637" i="1" s="1"/>
  <c r="AK636" i="1"/>
  <c r="Q636" i="1" s="1"/>
  <c r="AJ633" i="1"/>
  <c r="P633" i="1" s="1"/>
  <c r="AK632" i="1"/>
  <c r="Q632" i="1" s="1"/>
  <c r="AJ629" i="1"/>
  <c r="P629" i="1" s="1"/>
  <c r="AK628" i="1"/>
  <c r="Q628" i="1" s="1"/>
  <c r="AJ625" i="1"/>
  <c r="P625" i="1" s="1"/>
  <c r="AK624" i="1"/>
  <c r="Q624" i="1" s="1"/>
  <c r="AJ621" i="1"/>
  <c r="P621" i="1" s="1"/>
  <c r="AK620" i="1"/>
  <c r="Q620" i="1" s="1"/>
  <c r="AJ617" i="1"/>
  <c r="P617" i="1" s="1"/>
  <c r="AK609" i="1"/>
  <c r="Q609" i="1" s="1"/>
  <c r="AJ609" i="1"/>
  <c r="P609" i="1" s="1"/>
  <c r="AK608" i="1"/>
  <c r="Q608" i="1" s="1"/>
  <c r="AK616" i="1"/>
  <c r="Q616" i="1" s="1"/>
  <c r="AK613" i="1"/>
  <c r="Q613" i="1" s="1"/>
  <c r="AJ613" i="1"/>
  <c r="P613" i="1" s="1"/>
  <c r="AK612" i="1"/>
  <c r="Q612" i="1" s="1"/>
  <c r="AJ610" i="1"/>
  <c r="P610" i="1" s="1"/>
  <c r="AH4" i="1"/>
  <c r="BB6" i="1"/>
  <c r="AV66" i="1" s="1"/>
  <c r="BA7" i="1"/>
  <c r="AO104" i="1"/>
  <c r="L104" i="1" s="1"/>
  <c r="AO67" i="1"/>
  <c r="L67" i="1" s="1"/>
  <c r="AO22" i="1"/>
  <c r="L22" i="1" s="1"/>
  <c r="AO113" i="1"/>
  <c r="L113" i="1" s="1"/>
  <c r="AO95" i="1"/>
  <c r="L95" i="1" s="1"/>
  <c r="AO37" i="1"/>
  <c r="L37" i="1" s="1"/>
  <c r="AO82" i="1"/>
  <c r="L82" i="1" s="1"/>
  <c r="AO52" i="1"/>
  <c r="L52" i="1" s="1"/>
  <c r="BB10" i="1"/>
  <c r="AV70" i="1" s="1"/>
  <c r="AO6" i="1"/>
  <c r="L6" i="1" s="1"/>
  <c r="AO92" i="1"/>
  <c r="L92" i="1" s="1"/>
  <c r="AO77" i="1"/>
  <c r="L77" i="1" s="1"/>
  <c r="AO62" i="1"/>
  <c r="L62" i="1" s="1"/>
  <c r="AO47" i="1"/>
  <c r="L47" i="1" s="1"/>
  <c r="AH7" i="1"/>
  <c r="BB14" i="1"/>
  <c r="AV74" i="1" s="1"/>
  <c r="AO118" i="1"/>
  <c r="L118" i="1" s="1"/>
  <c r="AO100" i="1"/>
  <c r="L100" i="1" s="1"/>
  <c r="AO68" i="1"/>
  <c r="L68" i="1" s="1"/>
  <c r="AO38" i="1"/>
  <c r="L38" i="1" s="1"/>
  <c r="AO109" i="1"/>
  <c r="L109" i="1" s="1"/>
  <c r="AO83" i="1"/>
  <c r="L83" i="1" s="1"/>
  <c r="AO53" i="1"/>
  <c r="L53" i="1" s="1"/>
  <c r="AO23" i="1"/>
  <c r="L23" i="1" s="1"/>
  <c r="BB18" i="1"/>
  <c r="AV78" i="1" s="1"/>
  <c r="AO8" i="1"/>
  <c r="L8" i="1" s="1"/>
  <c r="AO120" i="1"/>
  <c r="L120" i="1" s="1"/>
  <c r="AO102" i="1"/>
  <c r="L102" i="1" s="1"/>
  <c r="AO84" i="1"/>
  <c r="L84" i="1" s="1"/>
  <c r="AO111" i="1"/>
  <c r="L111" i="1" s="1"/>
  <c r="AO54" i="1"/>
  <c r="L54" i="1" s="1"/>
  <c r="AO24" i="1"/>
  <c r="L24" i="1" s="1"/>
  <c r="AO69" i="1"/>
  <c r="L69" i="1" s="1"/>
  <c r="AO39" i="1"/>
  <c r="L39" i="1" s="1"/>
  <c r="AH10" i="1"/>
  <c r="BB22" i="1"/>
  <c r="AO597" i="1"/>
  <c r="L597" i="1" s="1"/>
  <c r="AO585" i="1"/>
  <c r="L585" i="1" s="1"/>
  <c r="AO573" i="1"/>
  <c r="L573" i="1" s="1"/>
  <c r="AO561" i="1"/>
  <c r="L561" i="1" s="1"/>
  <c r="AO549" i="1"/>
  <c r="L549" i="1" s="1"/>
  <c r="AO537" i="1"/>
  <c r="L537" i="1" s="1"/>
  <c r="AO525" i="1"/>
  <c r="L525" i="1" s="1"/>
  <c r="AO513" i="1"/>
  <c r="L513" i="1" s="1"/>
  <c r="AO489" i="1"/>
  <c r="L489" i="1" s="1"/>
  <c r="AO465" i="1"/>
  <c r="L465" i="1" s="1"/>
  <c r="AO453" i="1"/>
  <c r="L453" i="1" s="1"/>
  <c r="AO441" i="1"/>
  <c r="L441" i="1" s="1"/>
  <c r="AO501" i="1"/>
  <c r="L501" i="1" s="1"/>
  <c r="AO477" i="1"/>
  <c r="L477" i="1" s="1"/>
  <c r="AH11" i="1"/>
  <c r="BB26" i="1"/>
  <c r="AO12" i="1"/>
  <c r="L12" i="1" s="1"/>
  <c r="BA27" i="1"/>
  <c r="AK594" i="1"/>
  <c r="Q594" i="1" s="1"/>
  <c r="AK582" i="1"/>
  <c r="Q582" i="1" s="1"/>
  <c r="AK570" i="1"/>
  <c r="Q570" i="1" s="1"/>
  <c r="AK606" i="1"/>
  <c r="Q606" i="1" s="1"/>
  <c r="AJ594" i="1"/>
  <c r="P594" i="1" s="1"/>
  <c r="AJ582" i="1"/>
  <c r="P582" i="1" s="1"/>
  <c r="AJ570" i="1"/>
  <c r="P570" i="1" s="1"/>
  <c r="AJ558" i="1"/>
  <c r="P558" i="1" s="1"/>
  <c r="AJ606" i="1"/>
  <c r="P606" i="1" s="1"/>
  <c r="AK546" i="1"/>
  <c r="Q546" i="1" s="1"/>
  <c r="AK534" i="1"/>
  <c r="Q534" i="1" s="1"/>
  <c r="AK522" i="1"/>
  <c r="Q522" i="1" s="1"/>
  <c r="AK510" i="1"/>
  <c r="Q510" i="1" s="1"/>
  <c r="AK498" i="1"/>
  <c r="Q498" i="1" s="1"/>
  <c r="AK486" i="1"/>
  <c r="Q486" i="1" s="1"/>
  <c r="AK558" i="1"/>
  <c r="Q558" i="1" s="1"/>
  <c r="AJ546" i="1"/>
  <c r="P546" i="1" s="1"/>
  <c r="AJ534" i="1"/>
  <c r="P534" i="1" s="1"/>
  <c r="AJ522" i="1"/>
  <c r="P522" i="1" s="1"/>
  <c r="AJ510" i="1"/>
  <c r="P510" i="1" s="1"/>
  <c r="AJ474" i="1"/>
  <c r="P474" i="1" s="1"/>
  <c r="AJ462" i="1"/>
  <c r="P462" i="1" s="1"/>
  <c r="AJ450" i="1"/>
  <c r="P450" i="1" s="1"/>
  <c r="AJ438" i="1"/>
  <c r="P438" i="1" s="1"/>
  <c r="AK474" i="1"/>
  <c r="Q474" i="1" s="1"/>
  <c r="AK462" i="1"/>
  <c r="Q462" i="1" s="1"/>
  <c r="AK438" i="1"/>
  <c r="Q438" i="1" s="1"/>
  <c r="AJ498" i="1"/>
  <c r="P498" i="1" s="1"/>
  <c r="AJ486" i="1"/>
  <c r="P486" i="1" s="1"/>
  <c r="AK450" i="1"/>
  <c r="Q450" i="1" s="1"/>
  <c r="BB30" i="1"/>
  <c r="AK596" i="1"/>
  <c r="Q596" i="1" s="1"/>
  <c r="AK584" i="1"/>
  <c r="Q584" i="1" s="1"/>
  <c r="AK572" i="1"/>
  <c r="Q572" i="1" s="1"/>
  <c r="AK560" i="1"/>
  <c r="Q560" i="1" s="1"/>
  <c r="AJ596" i="1"/>
  <c r="P596" i="1" s="1"/>
  <c r="AJ584" i="1"/>
  <c r="P584" i="1" s="1"/>
  <c r="AJ572" i="1"/>
  <c r="P572" i="1" s="1"/>
  <c r="AK548" i="1"/>
  <c r="Q548" i="1" s="1"/>
  <c r="AK536" i="1"/>
  <c r="Q536" i="1" s="1"/>
  <c r="AK524" i="1"/>
  <c r="Q524" i="1" s="1"/>
  <c r="AK512" i="1"/>
  <c r="Q512" i="1" s="1"/>
  <c r="AK500" i="1"/>
  <c r="Q500" i="1" s="1"/>
  <c r="AJ560" i="1"/>
  <c r="P560" i="1" s="1"/>
  <c r="AJ548" i="1"/>
  <c r="P548" i="1" s="1"/>
  <c r="AJ536" i="1"/>
  <c r="P536" i="1" s="1"/>
  <c r="AJ524" i="1"/>
  <c r="P524" i="1" s="1"/>
  <c r="AJ512" i="1"/>
  <c r="P512" i="1" s="1"/>
  <c r="AJ500" i="1"/>
  <c r="P500" i="1" s="1"/>
  <c r="AJ488" i="1"/>
  <c r="P488" i="1" s="1"/>
  <c r="AJ476" i="1"/>
  <c r="P476" i="1" s="1"/>
  <c r="AK464" i="1"/>
  <c r="Q464" i="1" s="1"/>
  <c r="AK452" i="1"/>
  <c r="Q452" i="1" s="1"/>
  <c r="AK440" i="1"/>
  <c r="Q440" i="1" s="1"/>
  <c r="AK476" i="1"/>
  <c r="Q476" i="1" s="1"/>
  <c r="AJ464" i="1"/>
  <c r="P464" i="1" s="1"/>
  <c r="AJ452" i="1"/>
  <c r="P452" i="1" s="1"/>
  <c r="AJ440" i="1"/>
  <c r="P440" i="1" s="1"/>
  <c r="AK488" i="1"/>
  <c r="Q488" i="1" s="1"/>
  <c r="AH16" i="1"/>
  <c r="BB34" i="1"/>
  <c r="AK17" i="1"/>
  <c r="Q17" i="1" s="1"/>
  <c r="AO17" i="1"/>
  <c r="L17" i="1" s="1"/>
  <c r="AO598" i="1"/>
  <c r="L598" i="1" s="1"/>
  <c r="AO586" i="1"/>
  <c r="L586" i="1" s="1"/>
  <c r="AO574" i="1"/>
  <c r="L574" i="1" s="1"/>
  <c r="AO550" i="1"/>
  <c r="L550" i="1" s="1"/>
  <c r="AO538" i="1"/>
  <c r="L538" i="1" s="1"/>
  <c r="AO526" i="1"/>
  <c r="L526" i="1" s="1"/>
  <c r="AO514" i="1"/>
  <c r="L514" i="1" s="1"/>
  <c r="AO502" i="1"/>
  <c r="L502" i="1" s="1"/>
  <c r="AO490" i="1"/>
  <c r="L490" i="1" s="1"/>
  <c r="AO562" i="1"/>
  <c r="L562" i="1" s="1"/>
  <c r="AO478" i="1"/>
  <c r="L478" i="1" s="1"/>
  <c r="AO466" i="1"/>
  <c r="L466" i="1" s="1"/>
  <c r="AO442" i="1"/>
  <c r="L442" i="1" s="1"/>
  <c r="AO454" i="1"/>
  <c r="L454" i="1" s="1"/>
  <c r="BB38" i="1"/>
  <c r="AK19" i="1"/>
  <c r="Q19" i="1" s="1"/>
  <c r="BA39" i="1"/>
  <c r="AJ20" i="1"/>
  <c r="P20" i="1" s="1"/>
  <c r="K22" i="1"/>
  <c r="AO32" i="1"/>
  <c r="L32" i="1" s="1"/>
  <c r="AJ33" i="1"/>
  <c r="P33" i="1" s="1"/>
  <c r="AL34" i="1"/>
  <c r="N34" i="1"/>
  <c r="R39" i="1"/>
  <c r="AM39" i="1"/>
  <c r="S39" i="1" s="1"/>
  <c r="AJ103" i="1"/>
  <c r="P103" i="1" s="1"/>
  <c r="AJ112" i="1"/>
  <c r="P112" i="1" s="1"/>
  <c r="AJ94" i="1"/>
  <c r="P94" i="1" s="1"/>
  <c r="AJ70" i="1"/>
  <c r="P70" i="1" s="1"/>
  <c r="AK103" i="1"/>
  <c r="Q103" i="1" s="1"/>
  <c r="AK70" i="1"/>
  <c r="Q70" i="1" s="1"/>
  <c r="AK40" i="1"/>
  <c r="Q40" i="1" s="1"/>
  <c r="AK25" i="1"/>
  <c r="Q25" i="1" s="1"/>
  <c r="AK85" i="1"/>
  <c r="Q85" i="1" s="1"/>
  <c r="AJ40" i="1"/>
  <c r="P40" i="1" s="1"/>
  <c r="AJ85" i="1"/>
  <c r="P85" i="1" s="1"/>
  <c r="AK55" i="1"/>
  <c r="Q55" i="1" s="1"/>
  <c r="AK112" i="1"/>
  <c r="Q112" i="1" s="1"/>
  <c r="AK94" i="1"/>
  <c r="Q94" i="1" s="1"/>
  <c r="AJ55" i="1"/>
  <c r="P55" i="1" s="1"/>
  <c r="AO114" i="1"/>
  <c r="L114" i="1" s="1"/>
  <c r="AO96" i="1"/>
  <c r="L96" i="1" s="1"/>
  <c r="AO64" i="1"/>
  <c r="L64" i="1" s="1"/>
  <c r="AO49" i="1"/>
  <c r="L49" i="1" s="1"/>
  <c r="AO105" i="1"/>
  <c r="L105" i="1" s="1"/>
  <c r="AO34" i="1"/>
  <c r="L34" i="1" s="1"/>
  <c r="AO79" i="1"/>
  <c r="L79" i="1" s="1"/>
  <c r="AO63" i="1"/>
  <c r="L63" i="1" s="1"/>
  <c r="AO48" i="1"/>
  <c r="L48" i="1" s="1"/>
  <c r="AO33" i="1"/>
  <c r="L33" i="1" s="1"/>
  <c r="AO93" i="1"/>
  <c r="L93" i="1" s="1"/>
  <c r="AO78" i="1"/>
  <c r="L78" i="1" s="1"/>
  <c r="AO88" i="1"/>
  <c r="L88" i="1" s="1"/>
  <c r="AO58" i="1"/>
  <c r="L58" i="1" s="1"/>
  <c r="AO43" i="1"/>
  <c r="L43" i="1" s="1"/>
  <c r="AO123" i="1"/>
  <c r="L123" i="1" s="1"/>
  <c r="AO73" i="1"/>
  <c r="L73" i="1" s="1"/>
  <c r="AO28" i="1"/>
  <c r="L28" i="1" s="1"/>
  <c r="AW79" i="1"/>
  <c r="AO90" i="1"/>
  <c r="L90" i="1" s="1"/>
  <c r="AO45" i="1"/>
  <c r="L45" i="1" s="1"/>
  <c r="AO125" i="1"/>
  <c r="L125" i="1" s="1"/>
  <c r="AO75" i="1"/>
  <c r="L75" i="1" s="1"/>
  <c r="AO60" i="1"/>
  <c r="L60" i="1" s="1"/>
  <c r="AO30" i="1"/>
  <c r="L30" i="1" s="1"/>
  <c r="AO589" i="1"/>
  <c r="L589" i="1" s="1"/>
  <c r="AO577" i="1"/>
  <c r="L577" i="1" s="1"/>
  <c r="AO565" i="1"/>
  <c r="L565" i="1" s="1"/>
  <c r="AO601" i="1"/>
  <c r="L601" i="1" s="1"/>
  <c r="AO553" i="1"/>
  <c r="L553" i="1" s="1"/>
  <c r="AO541" i="1"/>
  <c r="L541" i="1" s="1"/>
  <c r="AO529" i="1"/>
  <c r="L529" i="1" s="1"/>
  <c r="AO517" i="1"/>
  <c r="L517" i="1" s="1"/>
  <c r="AO505" i="1"/>
  <c r="L505" i="1" s="1"/>
  <c r="AO493" i="1"/>
  <c r="L493" i="1" s="1"/>
  <c r="AO469" i="1"/>
  <c r="L469" i="1" s="1"/>
  <c r="AO457" i="1"/>
  <c r="L457" i="1" s="1"/>
  <c r="AO445" i="1"/>
  <c r="L445" i="1" s="1"/>
  <c r="AO481" i="1"/>
  <c r="L481" i="1" s="1"/>
  <c r="AO599" i="1"/>
  <c r="L599" i="1" s="1"/>
  <c r="AO587" i="1"/>
  <c r="L587" i="1" s="1"/>
  <c r="AO575" i="1"/>
  <c r="L575" i="1" s="1"/>
  <c r="AO563" i="1"/>
  <c r="L563" i="1" s="1"/>
  <c r="AO551" i="1"/>
  <c r="L551" i="1" s="1"/>
  <c r="AO539" i="1"/>
  <c r="L539" i="1" s="1"/>
  <c r="AO527" i="1"/>
  <c r="L527" i="1" s="1"/>
  <c r="AO515" i="1"/>
  <c r="L515" i="1" s="1"/>
  <c r="AO503" i="1"/>
  <c r="L503" i="1" s="1"/>
  <c r="AO491" i="1"/>
  <c r="L491" i="1" s="1"/>
  <c r="AO479" i="1"/>
  <c r="L479" i="1" s="1"/>
  <c r="AO467" i="1"/>
  <c r="L467" i="1" s="1"/>
  <c r="AO455" i="1"/>
  <c r="L455" i="1" s="1"/>
  <c r="AO443" i="1"/>
  <c r="L443" i="1" s="1"/>
  <c r="AO14" i="1"/>
  <c r="L14" i="1" s="1"/>
  <c r="AJ604" i="1"/>
  <c r="P604" i="1" s="1"/>
  <c r="AK592" i="1"/>
  <c r="Q592" i="1" s="1"/>
  <c r="AK580" i="1"/>
  <c r="Q580" i="1" s="1"/>
  <c r="AK568" i="1"/>
  <c r="Q568" i="1" s="1"/>
  <c r="AK604" i="1"/>
  <c r="Q604" i="1" s="1"/>
  <c r="AJ592" i="1"/>
  <c r="P592" i="1" s="1"/>
  <c r="AJ580" i="1"/>
  <c r="P580" i="1" s="1"/>
  <c r="AJ568" i="1"/>
  <c r="P568" i="1" s="1"/>
  <c r="AK544" i="1"/>
  <c r="Q544" i="1" s="1"/>
  <c r="AK532" i="1"/>
  <c r="Q532" i="1" s="1"/>
  <c r="AK520" i="1"/>
  <c r="Q520" i="1" s="1"/>
  <c r="AK508" i="1"/>
  <c r="Q508" i="1" s="1"/>
  <c r="AK496" i="1"/>
  <c r="Q496" i="1" s="1"/>
  <c r="AK556" i="1"/>
  <c r="Q556" i="1" s="1"/>
  <c r="AJ544" i="1"/>
  <c r="P544" i="1" s="1"/>
  <c r="AJ532" i="1"/>
  <c r="P532" i="1" s="1"/>
  <c r="AJ520" i="1"/>
  <c r="P520" i="1" s="1"/>
  <c r="AJ508" i="1"/>
  <c r="P508" i="1" s="1"/>
  <c r="AJ496" i="1"/>
  <c r="P496" i="1" s="1"/>
  <c r="AJ484" i="1"/>
  <c r="P484" i="1" s="1"/>
  <c r="AJ556" i="1"/>
  <c r="P556" i="1" s="1"/>
  <c r="AK484" i="1"/>
  <c r="Q484" i="1" s="1"/>
  <c r="AK472" i="1"/>
  <c r="Q472" i="1" s="1"/>
  <c r="AK460" i="1"/>
  <c r="Q460" i="1" s="1"/>
  <c r="AK448" i="1"/>
  <c r="Q448" i="1" s="1"/>
  <c r="AK436" i="1"/>
  <c r="Q436" i="1" s="1"/>
  <c r="AJ472" i="1"/>
  <c r="P472" i="1" s="1"/>
  <c r="AJ460" i="1"/>
  <c r="P460" i="1" s="1"/>
  <c r="AJ448" i="1"/>
  <c r="P448" i="1" s="1"/>
  <c r="AJ436" i="1"/>
  <c r="P436" i="1" s="1"/>
  <c r="AO18" i="1"/>
  <c r="L18" i="1" s="1"/>
  <c r="AO590" i="1"/>
  <c r="L590" i="1" s="1"/>
  <c r="AO578" i="1"/>
  <c r="L578" i="1" s="1"/>
  <c r="AO602" i="1"/>
  <c r="L602" i="1" s="1"/>
  <c r="AO566" i="1"/>
  <c r="L566" i="1" s="1"/>
  <c r="AO554" i="1"/>
  <c r="L554" i="1" s="1"/>
  <c r="AO542" i="1"/>
  <c r="L542" i="1" s="1"/>
  <c r="AO530" i="1"/>
  <c r="L530" i="1" s="1"/>
  <c r="AO518" i="1"/>
  <c r="L518" i="1" s="1"/>
  <c r="AO506" i="1"/>
  <c r="L506" i="1" s="1"/>
  <c r="AO494" i="1"/>
  <c r="L494" i="1" s="1"/>
  <c r="AO482" i="1"/>
  <c r="L482" i="1" s="1"/>
  <c r="AO458" i="1"/>
  <c r="L458" i="1" s="1"/>
  <c r="AO470" i="1"/>
  <c r="L470" i="1" s="1"/>
  <c r="AO446" i="1"/>
  <c r="L446" i="1" s="1"/>
  <c r="AO20" i="1"/>
  <c r="L20" i="1" s="1"/>
  <c r="AO593" i="1"/>
  <c r="L593" i="1" s="1"/>
  <c r="AO581" i="1"/>
  <c r="L581" i="1" s="1"/>
  <c r="AO569" i="1"/>
  <c r="L569" i="1" s="1"/>
  <c r="AO557" i="1"/>
  <c r="L557" i="1" s="1"/>
  <c r="AO605" i="1"/>
  <c r="L605" i="1" s="1"/>
  <c r="AO545" i="1"/>
  <c r="L545" i="1" s="1"/>
  <c r="AO533" i="1"/>
  <c r="L533" i="1" s="1"/>
  <c r="AO521" i="1"/>
  <c r="L521" i="1" s="1"/>
  <c r="AO509" i="1"/>
  <c r="L509" i="1" s="1"/>
  <c r="AO473" i="1"/>
  <c r="L473" i="1" s="1"/>
  <c r="AO461" i="1"/>
  <c r="L461" i="1" s="1"/>
  <c r="AO449" i="1"/>
  <c r="L449" i="1" s="1"/>
  <c r="AO437" i="1"/>
  <c r="L437" i="1" s="1"/>
  <c r="AO485" i="1"/>
  <c r="L485" i="1" s="1"/>
  <c r="AO497" i="1"/>
  <c r="L497" i="1" s="1"/>
  <c r="AO588" i="1"/>
  <c r="L588" i="1" s="1"/>
  <c r="AO576" i="1"/>
  <c r="L576" i="1" s="1"/>
  <c r="AO564" i="1"/>
  <c r="L564" i="1" s="1"/>
  <c r="AO600" i="1"/>
  <c r="L600" i="1" s="1"/>
  <c r="AO552" i="1"/>
  <c r="L552" i="1" s="1"/>
  <c r="AO540" i="1"/>
  <c r="L540" i="1" s="1"/>
  <c r="AO528" i="1"/>
  <c r="L528" i="1" s="1"/>
  <c r="AO516" i="1"/>
  <c r="L516" i="1" s="1"/>
  <c r="AO504" i="1"/>
  <c r="L504" i="1" s="1"/>
  <c r="AO492" i="1"/>
  <c r="L492" i="1" s="1"/>
  <c r="AO468" i="1"/>
  <c r="L468" i="1" s="1"/>
  <c r="AO456" i="1"/>
  <c r="L456" i="1" s="1"/>
  <c r="AO444" i="1"/>
  <c r="L444" i="1" s="1"/>
  <c r="AO480" i="1"/>
  <c r="L480" i="1" s="1"/>
  <c r="BB46" i="1"/>
  <c r="BD46" i="1"/>
  <c r="AL22" i="1"/>
  <c r="N22" i="1"/>
  <c r="AO797" i="1"/>
  <c r="L797" i="1" s="1"/>
  <c r="AO793" i="1"/>
  <c r="L793" i="1" s="1"/>
  <c r="AO789" i="1"/>
  <c r="L789" i="1" s="1"/>
  <c r="AO785" i="1"/>
  <c r="L785" i="1" s="1"/>
  <c r="AO781" i="1"/>
  <c r="L781" i="1" s="1"/>
  <c r="AO796" i="1"/>
  <c r="L796" i="1" s="1"/>
  <c r="AO792" i="1"/>
  <c r="L792" i="1" s="1"/>
  <c r="AO788" i="1"/>
  <c r="L788" i="1" s="1"/>
  <c r="AO784" i="1"/>
  <c r="L784" i="1" s="1"/>
  <c r="AO780" i="1"/>
  <c r="L780" i="1" s="1"/>
  <c r="AO798" i="1"/>
  <c r="L798" i="1" s="1"/>
  <c r="AO794" i="1"/>
  <c r="L794" i="1" s="1"/>
  <c r="AO790" i="1"/>
  <c r="L790" i="1" s="1"/>
  <c r="AO782" i="1"/>
  <c r="L782" i="1" s="1"/>
  <c r="AO779" i="1"/>
  <c r="L779" i="1" s="1"/>
  <c r="AO776" i="1"/>
  <c r="L776" i="1" s="1"/>
  <c r="AO772" i="1"/>
  <c r="L772" i="1" s="1"/>
  <c r="AO768" i="1"/>
  <c r="L768" i="1" s="1"/>
  <c r="AO764" i="1"/>
  <c r="L764" i="1" s="1"/>
  <c r="AO775" i="1"/>
  <c r="L775" i="1" s="1"/>
  <c r="AO771" i="1"/>
  <c r="L771" i="1" s="1"/>
  <c r="AO767" i="1"/>
  <c r="L767" i="1" s="1"/>
  <c r="AO763" i="1"/>
  <c r="L763" i="1" s="1"/>
  <c r="AO799" i="1"/>
  <c r="L799" i="1" s="1"/>
  <c r="AO795" i="1"/>
  <c r="L795" i="1" s="1"/>
  <c r="AO791" i="1"/>
  <c r="L791" i="1" s="1"/>
  <c r="AO787" i="1"/>
  <c r="L787" i="1" s="1"/>
  <c r="AO783" i="1"/>
  <c r="L783" i="1" s="1"/>
  <c r="AO778" i="1"/>
  <c r="L778" i="1" s="1"/>
  <c r="AO765" i="1"/>
  <c r="L765" i="1" s="1"/>
  <c r="AO759" i="1"/>
  <c r="L759" i="1" s="1"/>
  <c r="AO755" i="1"/>
  <c r="L755" i="1" s="1"/>
  <c r="AO786" i="1"/>
  <c r="L786" i="1" s="1"/>
  <c r="AO777" i="1"/>
  <c r="L777" i="1" s="1"/>
  <c r="AO774" i="1"/>
  <c r="L774" i="1" s="1"/>
  <c r="AO762" i="1"/>
  <c r="L762" i="1" s="1"/>
  <c r="AO758" i="1"/>
  <c r="L758" i="1" s="1"/>
  <c r="AO754" i="1"/>
  <c r="L754" i="1" s="1"/>
  <c r="AO773" i="1"/>
  <c r="L773" i="1" s="1"/>
  <c r="AO766" i="1"/>
  <c r="L766" i="1" s="1"/>
  <c r="AO752" i="1"/>
  <c r="L752" i="1" s="1"/>
  <c r="AO749" i="1"/>
  <c r="L749" i="1" s="1"/>
  <c r="AO745" i="1"/>
  <c r="L745" i="1" s="1"/>
  <c r="AO741" i="1"/>
  <c r="L741" i="1" s="1"/>
  <c r="AO737" i="1"/>
  <c r="L737" i="1" s="1"/>
  <c r="AO770" i="1"/>
  <c r="L770" i="1" s="1"/>
  <c r="AO761" i="1"/>
  <c r="L761" i="1" s="1"/>
  <c r="AO748" i="1"/>
  <c r="L748" i="1" s="1"/>
  <c r="AO744" i="1"/>
  <c r="L744" i="1" s="1"/>
  <c r="AO740" i="1"/>
  <c r="L740" i="1" s="1"/>
  <c r="AO769" i="1"/>
  <c r="L769" i="1" s="1"/>
  <c r="AO760" i="1"/>
  <c r="L760" i="1" s="1"/>
  <c r="AO757" i="1"/>
  <c r="L757" i="1" s="1"/>
  <c r="AO751" i="1"/>
  <c r="L751" i="1" s="1"/>
  <c r="AO747" i="1"/>
  <c r="L747" i="1" s="1"/>
  <c r="AO743" i="1"/>
  <c r="L743" i="1" s="1"/>
  <c r="AO739" i="1"/>
  <c r="L739" i="1" s="1"/>
  <c r="AO753" i="1"/>
  <c r="L753" i="1" s="1"/>
  <c r="AO738" i="1"/>
  <c r="L738" i="1" s="1"/>
  <c r="AO756" i="1"/>
  <c r="L756" i="1" s="1"/>
  <c r="AO750" i="1"/>
  <c r="L750" i="1" s="1"/>
  <c r="AO746" i="1"/>
  <c r="L746" i="1" s="1"/>
  <c r="AO742" i="1"/>
  <c r="L742" i="1" s="1"/>
  <c r="AJ25" i="1"/>
  <c r="P25" i="1" s="1"/>
  <c r="AJ26" i="1"/>
  <c r="P26" i="1" s="1"/>
  <c r="AM30" i="1"/>
  <c r="S30" i="1" s="1"/>
  <c r="AI33" i="1"/>
  <c r="O33" i="1" s="1"/>
  <c r="AH33" i="1"/>
  <c r="AJ7" i="1"/>
  <c r="P7" i="1" s="1"/>
  <c r="AO110" i="1"/>
  <c r="L110" i="1" s="1"/>
  <c r="AO66" i="1"/>
  <c r="L66" i="1" s="1"/>
  <c r="AO36" i="1"/>
  <c r="L36" i="1" s="1"/>
  <c r="AO119" i="1"/>
  <c r="L119" i="1" s="1"/>
  <c r="AO101" i="1"/>
  <c r="L101" i="1" s="1"/>
  <c r="AO81" i="1"/>
  <c r="L81" i="1" s="1"/>
  <c r="AO51" i="1"/>
  <c r="L51" i="1" s="1"/>
  <c r="AO21" i="1"/>
  <c r="L21" i="1" s="1"/>
  <c r="AO595" i="1"/>
  <c r="L595" i="1" s="1"/>
  <c r="AO583" i="1"/>
  <c r="L583" i="1" s="1"/>
  <c r="AO571" i="1"/>
  <c r="L571" i="1" s="1"/>
  <c r="AO559" i="1"/>
  <c r="L559" i="1" s="1"/>
  <c r="AO547" i="1"/>
  <c r="L547" i="1" s="1"/>
  <c r="AO535" i="1"/>
  <c r="L535" i="1" s="1"/>
  <c r="AO523" i="1"/>
  <c r="L523" i="1" s="1"/>
  <c r="AO511" i="1"/>
  <c r="L511" i="1" s="1"/>
  <c r="AO499" i="1"/>
  <c r="L499" i="1" s="1"/>
  <c r="AO487" i="1"/>
  <c r="L487" i="1" s="1"/>
  <c r="AO475" i="1"/>
  <c r="L475" i="1" s="1"/>
  <c r="AO463" i="1"/>
  <c r="L463" i="1" s="1"/>
  <c r="AO451" i="1"/>
  <c r="L451" i="1" s="1"/>
  <c r="AO439" i="1"/>
  <c r="L439" i="1" s="1"/>
  <c r="AJ10" i="1"/>
  <c r="P10" i="1" s="1"/>
  <c r="AJ115" i="1"/>
  <c r="P115" i="1" s="1"/>
  <c r="AJ97" i="1"/>
  <c r="P97" i="1" s="1"/>
  <c r="AJ91" i="1"/>
  <c r="P91" i="1" s="1"/>
  <c r="AJ106" i="1"/>
  <c r="P106" i="1" s="1"/>
  <c r="AJ92" i="1"/>
  <c r="P92" i="1" s="1"/>
  <c r="AJ80" i="1"/>
  <c r="P80" i="1" s="1"/>
  <c r="AJ76" i="1"/>
  <c r="P76" i="1" s="1"/>
  <c r="AJ62" i="1"/>
  <c r="P62" i="1" s="1"/>
  <c r="AJ47" i="1"/>
  <c r="P47" i="1" s="1"/>
  <c r="AK115" i="1"/>
  <c r="Q115" i="1" s="1"/>
  <c r="AK97" i="1"/>
  <c r="Q97" i="1" s="1"/>
  <c r="AK91" i="1"/>
  <c r="Q91" i="1" s="1"/>
  <c r="AJ77" i="1"/>
  <c r="P77" i="1" s="1"/>
  <c r="AK61" i="1"/>
  <c r="Q61" i="1" s="1"/>
  <c r="AK46" i="1"/>
  <c r="Q46" i="1" s="1"/>
  <c r="AK35" i="1"/>
  <c r="Q35" i="1" s="1"/>
  <c r="AK65" i="1"/>
  <c r="Q65" i="1" s="1"/>
  <c r="AJ61" i="1"/>
  <c r="P61" i="1" s="1"/>
  <c r="AK50" i="1"/>
  <c r="Q50" i="1" s="1"/>
  <c r="AJ46" i="1"/>
  <c r="P46" i="1" s="1"/>
  <c r="AJ35" i="1"/>
  <c r="P35" i="1" s="1"/>
  <c r="AK76" i="1"/>
  <c r="Q76" i="1" s="1"/>
  <c r="AJ65" i="1"/>
  <c r="P65" i="1" s="1"/>
  <c r="AK62" i="1"/>
  <c r="Q62" i="1" s="1"/>
  <c r="AJ50" i="1"/>
  <c r="P50" i="1" s="1"/>
  <c r="AK47" i="1"/>
  <c r="Q47" i="1" s="1"/>
  <c r="AJ32" i="1"/>
  <c r="P32" i="1" s="1"/>
  <c r="AK31" i="1"/>
  <c r="Q31" i="1" s="1"/>
  <c r="AK106" i="1"/>
  <c r="Q106" i="1" s="1"/>
  <c r="AK92" i="1"/>
  <c r="Q92" i="1" s="1"/>
  <c r="AK80" i="1"/>
  <c r="Q80" i="1" s="1"/>
  <c r="AK77" i="1"/>
  <c r="Q77" i="1" s="1"/>
  <c r="AJ31" i="1"/>
  <c r="P31" i="1" s="1"/>
  <c r="AO606" i="1"/>
  <c r="L606" i="1" s="1"/>
  <c r="AO594" i="1"/>
  <c r="L594" i="1" s="1"/>
  <c r="AO582" i="1"/>
  <c r="L582" i="1" s="1"/>
  <c r="AO570" i="1"/>
  <c r="L570" i="1" s="1"/>
  <c r="AO558" i="1"/>
  <c r="L558" i="1" s="1"/>
  <c r="AO546" i="1"/>
  <c r="L546" i="1" s="1"/>
  <c r="AO534" i="1"/>
  <c r="L534" i="1" s="1"/>
  <c r="AO522" i="1"/>
  <c r="L522" i="1" s="1"/>
  <c r="AO510" i="1"/>
  <c r="L510" i="1" s="1"/>
  <c r="AO498" i="1"/>
  <c r="L498" i="1" s="1"/>
  <c r="AO486" i="1"/>
  <c r="L486" i="1" s="1"/>
  <c r="AO450" i="1"/>
  <c r="L450" i="1" s="1"/>
  <c r="AO474" i="1"/>
  <c r="L474" i="1" s="1"/>
  <c r="AO462" i="1"/>
  <c r="L462" i="1" s="1"/>
  <c r="AO438" i="1"/>
  <c r="L438" i="1" s="1"/>
  <c r="AO15" i="1"/>
  <c r="L15" i="1" s="1"/>
  <c r="AO596" i="1"/>
  <c r="L596" i="1" s="1"/>
  <c r="AO584" i="1"/>
  <c r="L584" i="1" s="1"/>
  <c r="AO572" i="1"/>
  <c r="L572" i="1" s="1"/>
  <c r="AO560" i="1"/>
  <c r="L560" i="1" s="1"/>
  <c r="AO548" i="1"/>
  <c r="L548" i="1" s="1"/>
  <c r="AO536" i="1"/>
  <c r="L536" i="1" s="1"/>
  <c r="AO524" i="1"/>
  <c r="L524" i="1" s="1"/>
  <c r="AO512" i="1"/>
  <c r="L512" i="1" s="1"/>
  <c r="AO500" i="1"/>
  <c r="L500" i="1" s="1"/>
  <c r="AO488" i="1"/>
  <c r="L488" i="1" s="1"/>
  <c r="AO464" i="1"/>
  <c r="L464" i="1" s="1"/>
  <c r="AO452" i="1"/>
  <c r="L452" i="1" s="1"/>
  <c r="AO440" i="1"/>
  <c r="L440" i="1" s="1"/>
  <c r="AO476" i="1"/>
  <c r="L476" i="1" s="1"/>
  <c r="AJ16" i="1"/>
  <c r="P16" i="1" s="1"/>
  <c r="AK598" i="1"/>
  <c r="Q598" i="1" s="1"/>
  <c r="AK586" i="1"/>
  <c r="Q586" i="1" s="1"/>
  <c r="AK574" i="1"/>
  <c r="Q574" i="1" s="1"/>
  <c r="AJ598" i="1"/>
  <c r="P598" i="1" s="1"/>
  <c r="AJ586" i="1"/>
  <c r="P586" i="1" s="1"/>
  <c r="AJ574" i="1"/>
  <c r="P574" i="1" s="1"/>
  <c r="AJ562" i="1"/>
  <c r="P562" i="1" s="1"/>
  <c r="AK562" i="1"/>
  <c r="Q562" i="1" s="1"/>
  <c r="AK550" i="1"/>
  <c r="Q550" i="1" s="1"/>
  <c r="AK538" i="1"/>
  <c r="Q538" i="1" s="1"/>
  <c r="AK526" i="1"/>
  <c r="Q526" i="1" s="1"/>
  <c r="AK514" i="1"/>
  <c r="Q514" i="1" s="1"/>
  <c r="AK502" i="1"/>
  <c r="Q502" i="1" s="1"/>
  <c r="AK490" i="1"/>
  <c r="Q490" i="1" s="1"/>
  <c r="AJ550" i="1"/>
  <c r="P550" i="1" s="1"/>
  <c r="AJ538" i="1"/>
  <c r="P538" i="1" s="1"/>
  <c r="AJ526" i="1"/>
  <c r="P526" i="1" s="1"/>
  <c r="AJ514" i="1"/>
  <c r="P514" i="1" s="1"/>
  <c r="AJ502" i="1"/>
  <c r="P502" i="1" s="1"/>
  <c r="AK478" i="1"/>
  <c r="Q478" i="1" s="1"/>
  <c r="AJ466" i="1"/>
  <c r="P466" i="1" s="1"/>
  <c r="AJ454" i="1"/>
  <c r="P454" i="1" s="1"/>
  <c r="AJ442" i="1"/>
  <c r="P442" i="1" s="1"/>
  <c r="AJ490" i="1"/>
  <c r="P490" i="1" s="1"/>
  <c r="AJ478" i="1"/>
  <c r="P478" i="1" s="1"/>
  <c r="AK454" i="1"/>
  <c r="Q454" i="1" s="1"/>
  <c r="AK466" i="1"/>
  <c r="Q466" i="1" s="1"/>
  <c r="AK442" i="1"/>
  <c r="Q442" i="1" s="1"/>
  <c r="AJ123" i="1"/>
  <c r="P123" i="1" s="1"/>
  <c r="AJ119" i="1"/>
  <c r="P119" i="1" s="1"/>
  <c r="AJ109" i="1"/>
  <c r="P109" i="1" s="1"/>
  <c r="AJ101" i="1"/>
  <c r="P101" i="1" s="1"/>
  <c r="AJ118" i="1"/>
  <c r="P118" i="1" s="1"/>
  <c r="AJ110" i="1"/>
  <c r="P110" i="1" s="1"/>
  <c r="AJ100" i="1"/>
  <c r="P100" i="1" s="1"/>
  <c r="AJ88" i="1"/>
  <c r="P88" i="1" s="1"/>
  <c r="AJ83" i="1"/>
  <c r="P83" i="1" s="1"/>
  <c r="AJ81" i="1"/>
  <c r="P81" i="1" s="1"/>
  <c r="AJ58" i="1"/>
  <c r="P58" i="1" s="1"/>
  <c r="AJ53" i="1"/>
  <c r="P53" i="1" s="1"/>
  <c r="AJ51" i="1"/>
  <c r="P51" i="1" s="1"/>
  <c r="AK123" i="1"/>
  <c r="Q123" i="1" s="1"/>
  <c r="AK119" i="1"/>
  <c r="Q119" i="1" s="1"/>
  <c r="AK109" i="1"/>
  <c r="Q109" i="1" s="1"/>
  <c r="AK101" i="1"/>
  <c r="Q101" i="1" s="1"/>
  <c r="AJ68" i="1"/>
  <c r="P68" i="1" s="1"/>
  <c r="AJ66" i="1"/>
  <c r="P66" i="1" s="1"/>
  <c r="AK58" i="1"/>
  <c r="Q58" i="1" s="1"/>
  <c r="AJ43" i="1"/>
  <c r="P43" i="1" s="1"/>
  <c r="AK38" i="1"/>
  <c r="Q38" i="1" s="1"/>
  <c r="AK36" i="1"/>
  <c r="Q36" i="1" s="1"/>
  <c r="AJ21" i="1"/>
  <c r="P21" i="1" s="1"/>
  <c r="AK83" i="1"/>
  <c r="Q83" i="1" s="1"/>
  <c r="AK81" i="1"/>
  <c r="Q81" i="1" s="1"/>
  <c r="AK73" i="1"/>
  <c r="Q73" i="1" s="1"/>
  <c r="AJ38" i="1"/>
  <c r="P38" i="1" s="1"/>
  <c r="AJ36" i="1"/>
  <c r="P36" i="1" s="1"/>
  <c r="AJ73" i="1"/>
  <c r="P73" i="1" s="1"/>
  <c r="AK53" i="1"/>
  <c r="Q53" i="1" s="1"/>
  <c r="AK51" i="1"/>
  <c r="Q51" i="1" s="1"/>
  <c r="AK28" i="1"/>
  <c r="Q28" i="1" s="1"/>
  <c r="AK23" i="1"/>
  <c r="Q23" i="1" s="1"/>
  <c r="AK118" i="1"/>
  <c r="Q118" i="1" s="1"/>
  <c r="AK110" i="1"/>
  <c r="Q110" i="1" s="1"/>
  <c r="AK100" i="1"/>
  <c r="Q100" i="1" s="1"/>
  <c r="AK88" i="1"/>
  <c r="Q88" i="1" s="1"/>
  <c r="AK68" i="1"/>
  <c r="Q68" i="1" s="1"/>
  <c r="AK66" i="1"/>
  <c r="Q66" i="1" s="1"/>
  <c r="AK43" i="1"/>
  <c r="Q43" i="1" s="1"/>
  <c r="AJ28" i="1"/>
  <c r="P28" i="1" s="1"/>
  <c r="AJ23" i="1"/>
  <c r="P23" i="1" s="1"/>
  <c r="AK21" i="1"/>
  <c r="Q21" i="1" s="1"/>
  <c r="BA43" i="1"/>
  <c r="AJ125" i="1"/>
  <c r="P125" i="1" s="1"/>
  <c r="AJ111" i="1"/>
  <c r="P111" i="1" s="1"/>
  <c r="AJ89" i="1"/>
  <c r="P89" i="1" s="1"/>
  <c r="AJ124" i="1"/>
  <c r="P124" i="1" s="1"/>
  <c r="AJ120" i="1"/>
  <c r="P120" i="1" s="1"/>
  <c r="AJ102" i="1"/>
  <c r="P102" i="1" s="1"/>
  <c r="AJ90" i="1"/>
  <c r="P90" i="1" s="1"/>
  <c r="AJ84" i="1"/>
  <c r="P84" i="1" s="1"/>
  <c r="AJ74" i="1"/>
  <c r="P74" i="1" s="1"/>
  <c r="AJ60" i="1"/>
  <c r="P60" i="1" s="1"/>
  <c r="AJ54" i="1"/>
  <c r="P54" i="1" s="1"/>
  <c r="AJ39" i="1"/>
  <c r="P39" i="1" s="1"/>
  <c r="AK125" i="1"/>
  <c r="Q125" i="1" s="1"/>
  <c r="AK111" i="1"/>
  <c r="Q111" i="1" s="1"/>
  <c r="AK89" i="1"/>
  <c r="Q89" i="1" s="1"/>
  <c r="AK84" i="1"/>
  <c r="Q84" i="1" s="1"/>
  <c r="AK75" i="1"/>
  <c r="Q75" i="1" s="1"/>
  <c r="AJ45" i="1"/>
  <c r="P45" i="1" s="1"/>
  <c r="AJ44" i="1"/>
  <c r="P44" i="1" s="1"/>
  <c r="AJ30" i="1"/>
  <c r="P30" i="1" s="1"/>
  <c r="AK29" i="1"/>
  <c r="Q29" i="1" s="1"/>
  <c r="AJ75" i="1"/>
  <c r="P75" i="1" s="1"/>
  <c r="AK59" i="1"/>
  <c r="Q59" i="1" s="1"/>
  <c r="AK54" i="1"/>
  <c r="Q54" i="1" s="1"/>
  <c r="AK69" i="1"/>
  <c r="Q69" i="1" s="1"/>
  <c r="AJ59" i="1"/>
  <c r="P59" i="1" s="1"/>
  <c r="AK24" i="1"/>
  <c r="Q24" i="1" s="1"/>
  <c r="AK124" i="1"/>
  <c r="Q124" i="1" s="1"/>
  <c r="AK120" i="1"/>
  <c r="Q120" i="1" s="1"/>
  <c r="AK102" i="1"/>
  <c r="Q102" i="1" s="1"/>
  <c r="AK90" i="1"/>
  <c r="Q90" i="1" s="1"/>
  <c r="AK74" i="1"/>
  <c r="Q74" i="1" s="1"/>
  <c r="AJ69" i="1"/>
  <c r="P69" i="1" s="1"/>
  <c r="AK60" i="1"/>
  <c r="Q60" i="1" s="1"/>
  <c r="AK45" i="1"/>
  <c r="Q45" i="1" s="1"/>
  <c r="AK44" i="1"/>
  <c r="Q44" i="1" s="1"/>
  <c r="AK39" i="1"/>
  <c r="Q39" i="1" s="1"/>
  <c r="AK30" i="1"/>
  <c r="Q30" i="1" s="1"/>
  <c r="AJ24" i="1"/>
  <c r="P24" i="1" s="1"/>
  <c r="BA44" i="1"/>
  <c r="AI25" i="1"/>
  <c r="O25" i="1" s="1"/>
  <c r="AH25" i="1"/>
  <c r="AI26" i="1"/>
  <c r="O26" i="1" s="1"/>
  <c r="AH26" i="1"/>
  <c r="AI29" i="1"/>
  <c r="O29" i="1" s="1"/>
  <c r="AH29" i="1"/>
  <c r="AK32" i="1"/>
  <c r="Q32" i="1" s="1"/>
  <c r="AL37" i="1"/>
  <c r="N37" i="1"/>
  <c r="AO669" i="1"/>
  <c r="L669" i="1" s="1"/>
  <c r="AO665" i="1"/>
  <c r="L665" i="1" s="1"/>
  <c r="AO668" i="1"/>
  <c r="L668" i="1" s="1"/>
  <c r="AO664" i="1"/>
  <c r="L664" i="1" s="1"/>
  <c r="AO666" i="1"/>
  <c r="L666" i="1" s="1"/>
  <c r="AO663" i="1"/>
  <c r="L663" i="1" s="1"/>
  <c r="AO659" i="1"/>
  <c r="L659" i="1" s="1"/>
  <c r="AO655" i="1"/>
  <c r="L655" i="1" s="1"/>
  <c r="AO651" i="1"/>
  <c r="L651" i="1" s="1"/>
  <c r="AO647" i="1"/>
  <c r="L647" i="1" s="1"/>
  <c r="AO643" i="1"/>
  <c r="L643" i="1" s="1"/>
  <c r="AO639" i="1"/>
  <c r="L639" i="1" s="1"/>
  <c r="AO635" i="1"/>
  <c r="L635" i="1" s="1"/>
  <c r="AO631" i="1"/>
  <c r="L631" i="1" s="1"/>
  <c r="AO627" i="1"/>
  <c r="L627" i="1" s="1"/>
  <c r="AO623" i="1"/>
  <c r="L623" i="1" s="1"/>
  <c r="AO619" i="1"/>
  <c r="L619" i="1" s="1"/>
  <c r="AO615" i="1"/>
  <c r="L615" i="1" s="1"/>
  <c r="AO611" i="1"/>
  <c r="L611" i="1" s="1"/>
  <c r="AO607" i="1"/>
  <c r="L607" i="1" s="1"/>
  <c r="AO671" i="1"/>
  <c r="L671" i="1" s="1"/>
  <c r="AO662" i="1"/>
  <c r="L662" i="1" s="1"/>
  <c r="AO658" i="1"/>
  <c r="L658" i="1" s="1"/>
  <c r="AO654" i="1"/>
  <c r="L654" i="1" s="1"/>
  <c r="AO650" i="1"/>
  <c r="L650" i="1" s="1"/>
  <c r="AO646" i="1"/>
  <c r="L646" i="1" s="1"/>
  <c r="AO642" i="1"/>
  <c r="L642" i="1" s="1"/>
  <c r="AO638" i="1"/>
  <c r="L638" i="1" s="1"/>
  <c r="AO634" i="1"/>
  <c r="L634" i="1" s="1"/>
  <c r="AO630" i="1"/>
  <c r="L630" i="1" s="1"/>
  <c r="AO626" i="1"/>
  <c r="L626" i="1" s="1"/>
  <c r="AO622" i="1"/>
  <c r="L622" i="1" s="1"/>
  <c r="AO618" i="1"/>
  <c r="L618" i="1" s="1"/>
  <c r="AO614" i="1"/>
  <c r="L614" i="1" s="1"/>
  <c r="AO610" i="1"/>
  <c r="L610" i="1" s="1"/>
  <c r="AO661" i="1"/>
  <c r="L661" i="1" s="1"/>
  <c r="AO657" i="1"/>
  <c r="L657" i="1" s="1"/>
  <c r="AO653" i="1"/>
  <c r="L653" i="1" s="1"/>
  <c r="AO649" i="1"/>
  <c r="L649" i="1" s="1"/>
  <c r="AO645" i="1"/>
  <c r="L645" i="1" s="1"/>
  <c r="AO641" i="1"/>
  <c r="L641" i="1" s="1"/>
  <c r="AO637" i="1"/>
  <c r="L637" i="1" s="1"/>
  <c r="AO633" i="1"/>
  <c r="L633" i="1" s="1"/>
  <c r="AO629" i="1"/>
  <c r="L629" i="1" s="1"/>
  <c r="AO625" i="1"/>
  <c r="L625" i="1" s="1"/>
  <c r="AO621" i="1"/>
  <c r="L621" i="1" s="1"/>
  <c r="AO617" i="1"/>
  <c r="L617" i="1" s="1"/>
  <c r="AO670" i="1"/>
  <c r="L670" i="1" s="1"/>
  <c r="AO667" i="1"/>
  <c r="L667" i="1" s="1"/>
  <c r="AO660" i="1"/>
  <c r="L660" i="1" s="1"/>
  <c r="AO656" i="1"/>
  <c r="L656" i="1" s="1"/>
  <c r="AO652" i="1"/>
  <c r="L652" i="1" s="1"/>
  <c r="AO648" i="1"/>
  <c r="L648" i="1" s="1"/>
  <c r="AO644" i="1"/>
  <c r="L644" i="1" s="1"/>
  <c r="AO640" i="1"/>
  <c r="L640" i="1" s="1"/>
  <c r="AO636" i="1"/>
  <c r="L636" i="1" s="1"/>
  <c r="AO632" i="1"/>
  <c r="L632" i="1" s="1"/>
  <c r="AO628" i="1"/>
  <c r="L628" i="1" s="1"/>
  <c r="AO624" i="1"/>
  <c r="L624" i="1" s="1"/>
  <c r="AO620" i="1"/>
  <c r="L620" i="1" s="1"/>
  <c r="AO616" i="1"/>
  <c r="L616" i="1" s="1"/>
  <c r="AO613" i="1"/>
  <c r="L613" i="1" s="1"/>
  <c r="AO612" i="1"/>
  <c r="L612" i="1" s="1"/>
  <c r="AO609" i="1"/>
  <c r="L609" i="1" s="1"/>
  <c r="AO608" i="1"/>
  <c r="L608" i="1" s="1"/>
  <c r="BD50" i="1"/>
  <c r="AI32" i="1"/>
  <c r="O32" i="1" s="1"/>
  <c r="AI34" i="1"/>
  <c r="O34" i="1" s="1"/>
  <c r="AH35" i="1"/>
  <c r="AH36" i="1"/>
  <c r="AI37" i="1"/>
  <c r="O37" i="1" s="1"/>
  <c r="N39" i="1"/>
  <c r="AL49" i="1"/>
  <c r="AL50" i="1"/>
  <c r="N50" i="1"/>
  <c r="AL59" i="1"/>
  <c r="N59" i="1"/>
  <c r="AL65" i="1"/>
  <c r="N65" i="1"/>
  <c r="AL73" i="1"/>
  <c r="N73" i="1"/>
  <c r="AL85" i="1"/>
  <c r="N85" i="1"/>
  <c r="AO733" i="1"/>
  <c r="L733" i="1" s="1"/>
  <c r="AO729" i="1"/>
  <c r="L729" i="1" s="1"/>
  <c r="AO725" i="1"/>
  <c r="L725" i="1" s="1"/>
  <c r="AO721" i="1"/>
  <c r="L721" i="1" s="1"/>
  <c r="AO736" i="1"/>
  <c r="L736" i="1" s="1"/>
  <c r="AO732" i="1"/>
  <c r="L732" i="1" s="1"/>
  <c r="AO728" i="1"/>
  <c r="L728" i="1" s="1"/>
  <c r="AO735" i="1"/>
  <c r="L735" i="1" s="1"/>
  <c r="AO731" i="1"/>
  <c r="L731" i="1" s="1"/>
  <c r="AO727" i="1"/>
  <c r="L727" i="1" s="1"/>
  <c r="AO723" i="1"/>
  <c r="L723" i="1" s="1"/>
  <c r="AO722" i="1"/>
  <c r="L722" i="1" s="1"/>
  <c r="AO719" i="1"/>
  <c r="L719" i="1" s="1"/>
  <c r="AO718" i="1"/>
  <c r="L718" i="1" s="1"/>
  <c r="AO714" i="1"/>
  <c r="L714" i="1" s="1"/>
  <c r="AO710" i="1"/>
  <c r="L710" i="1" s="1"/>
  <c r="AO734" i="1"/>
  <c r="L734" i="1" s="1"/>
  <c r="AO717" i="1"/>
  <c r="L717" i="1" s="1"/>
  <c r="AO713" i="1"/>
  <c r="L713" i="1" s="1"/>
  <c r="AO709" i="1"/>
  <c r="L709" i="1" s="1"/>
  <c r="AO705" i="1"/>
  <c r="L705" i="1" s="1"/>
  <c r="AO730" i="1"/>
  <c r="L730" i="1" s="1"/>
  <c r="AO724" i="1"/>
  <c r="L724" i="1" s="1"/>
  <c r="AO716" i="1"/>
  <c r="L716" i="1" s="1"/>
  <c r="AO712" i="1"/>
  <c r="L712" i="1" s="1"/>
  <c r="AO708" i="1"/>
  <c r="L708" i="1" s="1"/>
  <c r="AO726" i="1"/>
  <c r="L726" i="1" s="1"/>
  <c r="AO720" i="1"/>
  <c r="L720" i="1" s="1"/>
  <c r="AO715" i="1"/>
  <c r="L715" i="1" s="1"/>
  <c r="AO711" i="1"/>
  <c r="L711" i="1" s="1"/>
  <c r="AO707" i="1"/>
  <c r="L707" i="1" s="1"/>
  <c r="AO701" i="1"/>
  <c r="L701" i="1" s="1"/>
  <c r="AO697" i="1"/>
  <c r="L697" i="1" s="1"/>
  <c r="AO693" i="1"/>
  <c r="L693" i="1" s="1"/>
  <c r="AO689" i="1"/>
  <c r="L689" i="1" s="1"/>
  <c r="AO685" i="1"/>
  <c r="L685" i="1" s="1"/>
  <c r="AO681" i="1"/>
  <c r="L681" i="1" s="1"/>
  <c r="AO677" i="1"/>
  <c r="L677" i="1" s="1"/>
  <c r="AO673" i="1"/>
  <c r="L673" i="1" s="1"/>
  <c r="AO704" i="1"/>
  <c r="L704" i="1" s="1"/>
  <c r="AO700" i="1"/>
  <c r="L700" i="1" s="1"/>
  <c r="AO696" i="1"/>
  <c r="L696" i="1" s="1"/>
  <c r="AO692" i="1"/>
  <c r="L692" i="1" s="1"/>
  <c r="AO688" i="1"/>
  <c r="L688" i="1" s="1"/>
  <c r="AO684" i="1"/>
  <c r="L684" i="1" s="1"/>
  <c r="AO680" i="1"/>
  <c r="L680" i="1" s="1"/>
  <c r="AO676" i="1"/>
  <c r="L676" i="1" s="1"/>
  <c r="AO672" i="1"/>
  <c r="L672" i="1" s="1"/>
  <c r="AO706" i="1"/>
  <c r="L706" i="1" s="1"/>
  <c r="AO703" i="1"/>
  <c r="L703" i="1" s="1"/>
  <c r="AO699" i="1"/>
  <c r="L699" i="1" s="1"/>
  <c r="AO695" i="1"/>
  <c r="L695" i="1" s="1"/>
  <c r="AO691" i="1"/>
  <c r="L691" i="1" s="1"/>
  <c r="AO687" i="1"/>
  <c r="L687" i="1" s="1"/>
  <c r="AO702" i="1"/>
  <c r="L702" i="1" s="1"/>
  <c r="AO698" i="1"/>
  <c r="L698" i="1" s="1"/>
  <c r="AO694" i="1"/>
  <c r="L694" i="1" s="1"/>
  <c r="AO690" i="1"/>
  <c r="L690" i="1" s="1"/>
  <c r="AO686" i="1"/>
  <c r="L686" i="1" s="1"/>
  <c r="AO682" i="1"/>
  <c r="L682" i="1" s="1"/>
  <c r="AO678" i="1"/>
  <c r="L678" i="1" s="1"/>
  <c r="AO674" i="1"/>
  <c r="L674" i="1" s="1"/>
  <c r="AO679" i="1"/>
  <c r="L679" i="1" s="1"/>
  <c r="AO675" i="1"/>
  <c r="L675" i="1" s="1"/>
  <c r="AO683" i="1"/>
  <c r="L683" i="1" s="1"/>
  <c r="AL40" i="1"/>
  <c r="N40" i="1"/>
  <c r="AL46" i="1"/>
  <c r="N46" i="1"/>
  <c r="AL56" i="1"/>
  <c r="N56" i="1"/>
  <c r="AL61" i="1"/>
  <c r="N61" i="1"/>
  <c r="AL75" i="1"/>
  <c r="N75" i="1"/>
  <c r="AL86" i="1"/>
  <c r="N86" i="1"/>
  <c r="AL89" i="1"/>
  <c r="N89" i="1"/>
  <c r="AL91" i="1"/>
  <c r="N91" i="1"/>
  <c r="AL93" i="1"/>
  <c r="N93" i="1"/>
  <c r="AL95" i="1"/>
  <c r="N95" i="1"/>
  <c r="AL97" i="1"/>
  <c r="N97" i="1"/>
  <c r="AL99" i="1"/>
  <c r="N99" i="1"/>
  <c r="AL101" i="1"/>
  <c r="N101" i="1"/>
  <c r="AL103" i="1"/>
  <c r="N103" i="1"/>
  <c r="AL105" i="1"/>
  <c r="N105" i="1"/>
  <c r="AM106" i="1"/>
  <c r="S106" i="1" s="1"/>
  <c r="AL107" i="1"/>
  <c r="N107" i="1"/>
  <c r="AM108" i="1"/>
  <c r="S108" i="1" s="1"/>
  <c r="AL109" i="1"/>
  <c r="N109" i="1"/>
  <c r="AL111" i="1"/>
  <c r="N111" i="1"/>
  <c r="AL113" i="1"/>
  <c r="N113" i="1"/>
  <c r="AM114" i="1"/>
  <c r="S114" i="1" s="1"/>
  <c r="AL115" i="1"/>
  <c r="N115" i="1"/>
  <c r="AL117" i="1"/>
  <c r="N117" i="1"/>
  <c r="AL119" i="1"/>
  <c r="N119" i="1"/>
  <c r="AL123" i="1"/>
  <c r="N123" i="1"/>
  <c r="AL125" i="1"/>
  <c r="N125" i="1"/>
  <c r="AL43" i="1"/>
  <c r="N43" i="1"/>
  <c r="AL45" i="1"/>
  <c r="N45" i="1"/>
  <c r="AL48" i="1"/>
  <c r="N48" i="1"/>
  <c r="AL63" i="1"/>
  <c r="N63" i="1"/>
  <c r="AL66" i="1"/>
  <c r="N66" i="1"/>
  <c r="AL68" i="1"/>
  <c r="N68" i="1"/>
  <c r="AL72" i="1"/>
  <c r="N72" i="1"/>
  <c r="AL77" i="1"/>
  <c r="N77" i="1"/>
  <c r="AL41" i="1"/>
  <c r="N41" i="1"/>
  <c r="AL52" i="1"/>
  <c r="N52" i="1"/>
  <c r="AL55" i="1"/>
  <c r="N55" i="1"/>
  <c r="AL69" i="1"/>
  <c r="N69" i="1"/>
  <c r="AL472" i="1"/>
  <c r="N472" i="1"/>
  <c r="AI485" i="1"/>
  <c r="O485" i="1" s="1"/>
  <c r="AH485" i="1"/>
  <c r="K485" i="1"/>
  <c r="AI477" i="1"/>
  <c r="O477" i="1" s="1"/>
  <c r="AH477" i="1"/>
  <c r="AH490" i="1"/>
  <c r="K490" i="1"/>
  <c r="AI490" i="1"/>
  <c r="O490" i="1" s="1"/>
  <c r="AL436" i="1"/>
  <c r="N436" i="1"/>
  <c r="AM438" i="1"/>
  <c r="S438" i="1" s="1"/>
  <c r="R438" i="1"/>
  <c r="AI439" i="1"/>
  <c r="O439" i="1" s="1"/>
  <c r="AH439" i="1"/>
  <c r="AL444" i="1"/>
  <c r="N444" i="1"/>
  <c r="AM446" i="1"/>
  <c r="S446" i="1" s="1"/>
  <c r="R446" i="1"/>
  <c r="AI447" i="1"/>
  <c r="O447" i="1" s="1"/>
  <c r="AH447" i="1"/>
  <c r="AL452" i="1"/>
  <c r="N452" i="1"/>
  <c r="AI455" i="1"/>
  <c r="O455" i="1" s="1"/>
  <c r="AH455" i="1"/>
  <c r="AL460" i="1"/>
  <c r="N460" i="1"/>
  <c r="AI463" i="1"/>
  <c r="O463" i="1" s="1"/>
  <c r="AH463" i="1"/>
  <c r="AL468" i="1"/>
  <c r="N468" i="1"/>
  <c r="AH481" i="1"/>
  <c r="AI471" i="1"/>
  <c r="O471" i="1" s="1"/>
  <c r="AH471" i="1"/>
  <c r="N487" i="1"/>
  <c r="AL487" i="1"/>
  <c r="AI494" i="1"/>
  <c r="O494" i="1" s="1"/>
  <c r="AH494" i="1"/>
  <c r="K494" i="1"/>
  <c r="AI435" i="1"/>
  <c r="O435" i="1" s="1"/>
  <c r="AH435" i="1"/>
  <c r="AL440" i="1"/>
  <c r="N440" i="1"/>
  <c r="AM442" i="1"/>
  <c r="S442" i="1" s="1"/>
  <c r="R442" i="1"/>
  <c r="AI443" i="1"/>
  <c r="O443" i="1" s="1"/>
  <c r="AH443" i="1"/>
  <c r="AL448" i="1"/>
  <c r="N448" i="1"/>
  <c r="AI451" i="1"/>
  <c r="O451" i="1" s="1"/>
  <c r="AH451" i="1"/>
  <c r="AL456" i="1"/>
  <c r="N456" i="1"/>
  <c r="AI459" i="1"/>
  <c r="O459" i="1" s="1"/>
  <c r="AH459" i="1"/>
  <c r="AL464" i="1"/>
  <c r="N464" i="1"/>
  <c r="AI467" i="1"/>
  <c r="O467" i="1" s="1"/>
  <c r="AH467" i="1"/>
  <c r="R491" i="1"/>
  <c r="AM491" i="1"/>
  <c r="S491" i="1" s="1"/>
  <c r="AL478" i="1"/>
  <c r="N478" i="1"/>
  <c r="K486" i="1"/>
  <c r="AI498" i="1"/>
  <c r="O498" i="1" s="1"/>
  <c r="AH498" i="1"/>
  <c r="AL554" i="1"/>
  <c r="N554" i="1"/>
  <c r="N557" i="1"/>
  <c r="AL557" i="1"/>
  <c r="AL486" i="1"/>
  <c r="N486" i="1"/>
  <c r="AI489" i="1"/>
  <c r="O489" i="1" s="1"/>
  <c r="AH489" i="1"/>
  <c r="AL550" i="1"/>
  <c r="N550" i="1"/>
  <c r="R551" i="1"/>
  <c r="AM551" i="1"/>
  <c r="S551" i="1" s="1"/>
  <c r="AI486" i="1"/>
  <c r="O486" i="1" s="1"/>
  <c r="AL560" i="1"/>
  <c r="N560" i="1"/>
  <c r="AI563" i="1"/>
  <c r="O563" i="1" s="1"/>
  <c r="AH563" i="1"/>
  <c r="AL568" i="1"/>
  <c r="N568" i="1"/>
  <c r="AH493" i="1"/>
  <c r="AH497" i="1"/>
  <c r="AH501" i="1"/>
  <c r="AH505" i="1"/>
  <c r="AH509" i="1"/>
  <c r="AH513" i="1"/>
  <c r="AH517" i="1"/>
  <c r="AH521" i="1"/>
  <c r="AH525" i="1"/>
  <c r="AH529" i="1"/>
  <c r="AH533" i="1"/>
  <c r="AH537" i="1"/>
  <c r="AH541" i="1"/>
  <c r="AH545" i="1"/>
  <c r="AH549" i="1"/>
  <c r="AH553" i="1"/>
  <c r="K555" i="1"/>
  <c r="K557" i="1"/>
  <c r="AI560" i="1"/>
  <c r="O560" i="1" s="1"/>
  <c r="AH502" i="1"/>
  <c r="AH506" i="1"/>
  <c r="AH510" i="1"/>
  <c r="AH514" i="1"/>
  <c r="AH518" i="1"/>
  <c r="AH522" i="1"/>
  <c r="AH526" i="1"/>
  <c r="AH530" i="1"/>
  <c r="AH534" i="1"/>
  <c r="AH538" i="1"/>
  <c r="AH542" i="1"/>
  <c r="AH546" i="1"/>
  <c r="AI559" i="1"/>
  <c r="O559" i="1" s="1"/>
  <c r="AH559" i="1"/>
  <c r="AI567" i="1"/>
  <c r="O567" i="1" s="1"/>
  <c r="AH567" i="1"/>
  <c r="R573" i="1"/>
  <c r="AM573" i="1"/>
  <c r="S573" i="1" s="1"/>
  <c r="AM612" i="1"/>
  <c r="S612" i="1" s="1"/>
  <c r="R612" i="1"/>
  <c r="AL602" i="1"/>
  <c r="N602" i="1"/>
  <c r="AL603" i="1"/>
  <c r="AL606" i="1"/>
  <c r="N606" i="1"/>
  <c r="AI609" i="1"/>
  <c r="O609" i="1" s="1"/>
  <c r="AH609" i="1"/>
  <c r="AL630" i="1"/>
  <c r="N630" i="1"/>
  <c r="AM632" i="1"/>
  <c r="S632" i="1" s="1"/>
  <c r="R632" i="1"/>
  <c r="AL646" i="1"/>
  <c r="N646" i="1"/>
  <c r="AM659" i="1"/>
  <c r="S659" i="1" s="1"/>
  <c r="R659" i="1"/>
  <c r="AH571" i="1"/>
  <c r="AH575" i="1"/>
  <c r="AH579" i="1"/>
  <c r="AH583" i="1"/>
  <c r="AH587" i="1"/>
  <c r="AH591" i="1"/>
  <c r="AH595" i="1"/>
  <c r="AH599" i="1"/>
  <c r="AL626" i="1"/>
  <c r="N626" i="1"/>
  <c r="AL642" i="1"/>
  <c r="N642" i="1"/>
  <c r="AI613" i="1"/>
  <c r="O613" i="1" s="1"/>
  <c r="AH613" i="1"/>
  <c r="AL622" i="1"/>
  <c r="N622" i="1"/>
  <c r="AM624" i="1"/>
  <c r="S624" i="1" s="1"/>
  <c r="R624" i="1"/>
  <c r="AM635" i="1"/>
  <c r="S635" i="1" s="1"/>
  <c r="R635" i="1"/>
  <c r="AL638" i="1"/>
  <c r="N638" i="1"/>
  <c r="AM640" i="1"/>
  <c r="S640" i="1" s="1"/>
  <c r="R640" i="1"/>
  <c r="AM651" i="1"/>
  <c r="S651" i="1" s="1"/>
  <c r="R651" i="1"/>
  <c r="AL614" i="1"/>
  <c r="AM616" i="1"/>
  <c r="S616" i="1" s="1"/>
  <c r="R616" i="1"/>
  <c r="AL664" i="1"/>
  <c r="N664" i="1"/>
  <c r="AL688" i="1"/>
  <c r="N688" i="1"/>
  <c r="AL704" i="1"/>
  <c r="N704" i="1"/>
  <c r="AI664" i="1"/>
  <c r="O664" i="1" s="1"/>
  <c r="AL668" i="1"/>
  <c r="N668" i="1"/>
  <c r="AH617" i="1"/>
  <c r="AH621" i="1"/>
  <c r="AH625" i="1"/>
  <c r="AH629" i="1"/>
  <c r="AH633" i="1"/>
  <c r="AH637" i="1"/>
  <c r="AH641" i="1"/>
  <c r="AH645" i="1"/>
  <c r="AH649" i="1"/>
  <c r="AH653" i="1"/>
  <c r="AH657" i="1"/>
  <c r="AH661" i="1"/>
  <c r="AI663" i="1"/>
  <c r="O663" i="1" s="1"/>
  <c r="AH663" i="1"/>
  <c r="AI668" i="1"/>
  <c r="O668" i="1" s="1"/>
  <c r="AH684" i="1"/>
  <c r="AI684" i="1"/>
  <c r="O684" i="1" s="1"/>
  <c r="AM693" i="1"/>
  <c r="S693" i="1" s="1"/>
  <c r="R693" i="1"/>
  <c r="N705" i="1"/>
  <c r="AL705" i="1"/>
  <c r="K664" i="1"/>
  <c r="AI667" i="1"/>
  <c r="O667" i="1" s="1"/>
  <c r="AH667" i="1"/>
  <c r="AH672" i="1"/>
  <c r="AI672" i="1"/>
  <c r="O672" i="1" s="1"/>
  <c r="AH676" i="1"/>
  <c r="AI676" i="1"/>
  <c r="O676" i="1" s="1"/>
  <c r="AH680" i="1"/>
  <c r="AI680" i="1"/>
  <c r="O680" i="1" s="1"/>
  <c r="AL708" i="1"/>
  <c r="N708" i="1"/>
  <c r="AL712" i="1"/>
  <c r="N712" i="1"/>
  <c r="AL721" i="1"/>
  <c r="N721" i="1"/>
  <c r="AH671" i="1"/>
  <c r="AH675" i="1"/>
  <c r="AH679" i="1"/>
  <c r="AH683" i="1"/>
  <c r="AH687" i="1"/>
  <c r="AH691" i="1"/>
  <c r="AH695" i="1"/>
  <c r="AH699" i="1"/>
  <c r="AH703" i="1"/>
  <c r="K705" i="1"/>
  <c r="K721" i="1"/>
  <c r="AL724" i="1"/>
  <c r="N724" i="1"/>
  <c r="K725" i="1"/>
  <c r="AI727" i="1"/>
  <c r="O727" i="1" s="1"/>
  <c r="AH727" i="1"/>
  <c r="AL736" i="1"/>
  <c r="N736" i="1"/>
  <c r="AI743" i="1"/>
  <c r="O743" i="1" s="1"/>
  <c r="AH743" i="1"/>
  <c r="AH711" i="1"/>
  <c r="AH715" i="1"/>
  <c r="AI731" i="1"/>
  <c r="O731" i="1" s="1"/>
  <c r="AH731" i="1"/>
  <c r="AM746" i="1"/>
  <c r="S746" i="1" s="1"/>
  <c r="R746" i="1"/>
  <c r="AI747" i="1"/>
  <c r="O747" i="1" s="1"/>
  <c r="AH747" i="1"/>
  <c r="AI757" i="1"/>
  <c r="O757" i="1" s="1"/>
  <c r="AH757" i="1"/>
  <c r="AH725" i="1"/>
  <c r="AL728" i="1"/>
  <c r="N728" i="1"/>
  <c r="AI735" i="1"/>
  <c r="O735" i="1" s="1"/>
  <c r="AH735" i="1"/>
  <c r="AL744" i="1"/>
  <c r="N744" i="1"/>
  <c r="AI751" i="1"/>
  <c r="O751" i="1" s="1"/>
  <c r="AH751" i="1"/>
  <c r="K757" i="1"/>
  <c r="AL732" i="1"/>
  <c r="N732" i="1"/>
  <c r="AM738" i="1"/>
  <c r="S738" i="1" s="1"/>
  <c r="R738" i="1"/>
  <c r="AI739" i="1"/>
  <c r="O739" i="1" s="1"/>
  <c r="AH739" i="1"/>
  <c r="N754" i="1"/>
  <c r="AH767" i="1"/>
  <c r="AI767" i="1"/>
  <c r="O767" i="1" s="1"/>
  <c r="AI774" i="1"/>
  <c r="O774" i="1" s="1"/>
  <c r="AH774" i="1"/>
  <c r="K752" i="1"/>
  <c r="K758" i="1"/>
  <c r="AI761" i="1"/>
  <c r="O761" i="1" s="1"/>
  <c r="AH761" i="1"/>
  <c r="AL763" i="1"/>
  <c r="AI770" i="1"/>
  <c r="O770" i="1" s="1"/>
  <c r="AH770" i="1"/>
  <c r="AL758" i="1"/>
  <c r="N758" i="1"/>
  <c r="AL759" i="1"/>
  <c r="AL753" i="1"/>
  <c r="N753" i="1"/>
  <c r="AI758" i="1"/>
  <c r="O758" i="1" s="1"/>
  <c r="AL762" i="1"/>
  <c r="N762" i="1"/>
  <c r="K767" i="1"/>
  <c r="K774" i="1"/>
  <c r="AM776" i="1"/>
  <c r="S776" i="1" s="1"/>
  <c r="AH784" i="1"/>
  <c r="AI784" i="1"/>
  <c r="O784" i="1" s="1"/>
  <c r="K784" i="1"/>
  <c r="K763" i="1"/>
  <c r="AL771" i="1"/>
  <c r="N771" i="1"/>
  <c r="K775" i="1"/>
  <c r="AI778" i="1"/>
  <c r="O778" i="1" s="1"/>
  <c r="AH778" i="1"/>
  <c r="AI766" i="1"/>
  <c r="O766" i="1" s="1"/>
  <c r="AH766" i="1"/>
  <c r="AI771" i="1"/>
  <c r="O771" i="1" s="1"/>
  <c r="AL775" i="1"/>
  <c r="N775" i="1"/>
  <c r="AH780" i="1"/>
  <c r="K780" i="1"/>
  <c r="AH788" i="1"/>
  <c r="AI788" i="1"/>
  <c r="O788" i="1" s="1"/>
  <c r="AH792" i="1"/>
  <c r="AI792" i="1"/>
  <c r="O792" i="1" s="1"/>
  <c r="AH796" i="1"/>
  <c r="AI796" i="1"/>
  <c r="O796" i="1" s="1"/>
  <c r="AI783" i="1"/>
  <c r="O783" i="1" s="1"/>
  <c r="AH783" i="1"/>
  <c r="AH787" i="1"/>
  <c r="AH791" i="1"/>
  <c r="AH795" i="1"/>
  <c r="AD173" i="1" l="1"/>
  <c r="AM584" i="1"/>
  <c r="S584" i="1" s="1"/>
  <c r="R76" i="1"/>
  <c r="AM717" i="1"/>
  <c r="S717" i="1" s="1"/>
  <c r="R71" i="1"/>
  <c r="N449" i="1"/>
  <c r="N565" i="1"/>
  <c r="AD565" i="1" s="1"/>
  <c r="N777" i="1"/>
  <c r="AD777" i="1" s="1"/>
  <c r="N619" i="1"/>
  <c r="AD619" i="1" s="1"/>
  <c r="R619" i="1"/>
  <c r="R678" i="1"/>
  <c r="N729" i="1"/>
  <c r="AD729" i="1" s="1"/>
  <c r="R729" i="1"/>
  <c r="R598" i="1"/>
  <c r="AM98" i="1"/>
  <c r="S98" i="1" s="1"/>
  <c r="N726" i="1"/>
  <c r="AD726" i="1" s="1"/>
  <c r="N678" i="1"/>
  <c r="AD678" i="1" s="1"/>
  <c r="N484" i="1"/>
  <c r="AD484" i="1" s="1"/>
  <c r="N674" i="1"/>
  <c r="AD674" i="1" s="1"/>
  <c r="AL64" i="1"/>
  <c r="AM64" i="1" s="1"/>
  <c r="S64" i="1" s="1"/>
  <c r="AM100" i="1"/>
  <c r="S100" i="1" s="1"/>
  <c r="AM586" i="1"/>
  <c r="S586" i="1" s="1"/>
  <c r="R483" i="1"/>
  <c r="AM74" i="1"/>
  <c r="S74" i="1" s="1"/>
  <c r="AL748" i="1"/>
  <c r="R748" i="1" s="1"/>
  <c r="R580" i="1"/>
  <c r="R698" i="1"/>
  <c r="N794" i="1"/>
  <c r="AD794" i="1" s="1"/>
  <c r="N610" i="1"/>
  <c r="AD610" i="1" s="1"/>
  <c r="AL720" i="1"/>
  <c r="R720" i="1" s="1"/>
  <c r="N799" i="1"/>
  <c r="AD799" i="1" s="1"/>
  <c r="N475" i="1"/>
  <c r="AD475" i="1" s="1"/>
  <c r="N98" i="1"/>
  <c r="AM741" i="1"/>
  <c r="S741" i="1" s="1"/>
  <c r="AM685" i="1"/>
  <c r="S685" i="1" s="1"/>
  <c r="N598" i="1"/>
  <c r="AD598" i="1" s="1"/>
  <c r="N741" i="1"/>
  <c r="AD741" i="1" s="1"/>
  <c r="N511" i="1"/>
  <c r="AD511" i="1" s="1"/>
  <c r="N716" i="1"/>
  <c r="AD716" i="1" s="1"/>
  <c r="AM656" i="1"/>
  <c r="S656" i="1" s="1"/>
  <c r="N601" i="1"/>
  <c r="N701" i="1"/>
  <c r="AD701" i="1" s="1"/>
  <c r="R765" i="1"/>
  <c r="N765" i="1"/>
  <c r="AD765" i="1" s="1"/>
  <c r="N685" i="1"/>
  <c r="AD685" i="1" s="1"/>
  <c r="N586" i="1"/>
  <c r="AD586" i="1" s="1"/>
  <c r="N650" i="1"/>
  <c r="AD650" i="1" s="1"/>
  <c r="R737" i="1"/>
  <c r="AD433" i="1"/>
  <c r="AL768" i="1"/>
  <c r="AM768" i="1" s="1"/>
  <c r="S768" i="1" s="1"/>
  <c r="N519" i="1"/>
  <c r="AD519" i="1" s="1"/>
  <c r="N634" i="1"/>
  <c r="AD634" i="1" s="1"/>
  <c r="AL555" i="1"/>
  <c r="AM555" i="1" s="1"/>
  <c r="S555" i="1" s="1"/>
  <c r="N576" i="1"/>
  <c r="AD576" i="1" s="1"/>
  <c r="N733" i="1"/>
  <c r="AD733" i="1" s="1"/>
  <c r="AL647" i="1"/>
  <c r="AM647" i="1" s="1"/>
  <c r="S647" i="1" s="1"/>
  <c r="R596" i="1"/>
  <c r="AM596" i="1"/>
  <c r="S596" i="1" s="1"/>
  <c r="AM760" i="1"/>
  <c r="S760" i="1" s="1"/>
  <c r="R760" i="1"/>
  <c r="AL785" i="1"/>
  <c r="AM785" i="1" s="1"/>
  <c r="S785" i="1" s="1"/>
  <c r="N596" i="1"/>
  <c r="AD596" i="1" s="1"/>
  <c r="N737" i="1"/>
  <c r="AD737" i="1" s="1"/>
  <c r="R601" i="1"/>
  <c r="R701" i="1"/>
  <c r="R682" i="1"/>
  <c r="N658" i="1"/>
  <c r="AD658" i="1" s="1"/>
  <c r="AL556" i="1"/>
  <c r="R556" i="1" s="1"/>
  <c r="N760" i="1"/>
  <c r="AD760" i="1" s="1"/>
  <c r="N589" i="1"/>
  <c r="AD589" i="1" s="1"/>
  <c r="N527" i="1"/>
  <c r="AD527" i="1" s="1"/>
  <c r="N682" i="1"/>
  <c r="AD682" i="1" s="1"/>
  <c r="AM677" i="1"/>
  <c r="S677" i="1" s="1"/>
  <c r="N700" i="1"/>
  <c r="AD700" i="1" s="1"/>
  <c r="R648" i="1"/>
  <c r="R524" i="1"/>
  <c r="AL67" i="1"/>
  <c r="R67" i="1" s="1"/>
  <c r="AM674" i="1"/>
  <c r="S674" i="1" s="1"/>
  <c r="AM662" i="1"/>
  <c r="S662" i="1" s="1"/>
  <c r="AL465" i="1"/>
  <c r="AL572" i="1"/>
  <c r="AM572" i="1" s="1"/>
  <c r="S572" i="1" s="1"/>
  <c r="R574" i="1"/>
  <c r="AM441" i="1"/>
  <c r="S441" i="1" s="1"/>
  <c r="R500" i="1"/>
  <c r="AM652" i="1"/>
  <c r="S652" i="1" s="1"/>
  <c r="R652" i="1"/>
  <c r="R585" i="1"/>
  <c r="AM585" i="1"/>
  <c r="S585" i="1" s="1"/>
  <c r="AD445" i="1"/>
  <c r="N652" i="1"/>
  <c r="AD652" i="1" s="1"/>
  <c r="N588" i="1"/>
  <c r="AD588" i="1" s="1"/>
  <c r="N781" i="1"/>
  <c r="AD781" i="1" s="1"/>
  <c r="N719" i="1"/>
  <c r="AD719" i="1" s="1"/>
  <c r="N585" i="1"/>
  <c r="AD585" i="1" s="1"/>
  <c r="AM773" i="1"/>
  <c r="S773" i="1" s="1"/>
  <c r="AM540" i="1"/>
  <c r="S540" i="1" s="1"/>
  <c r="R532" i="1"/>
  <c r="AL479" i="1"/>
  <c r="AM479" i="1" s="1"/>
  <c r="S479" i="1" s="1"/>
  <c r="R457" i="1"/>
  <c r="AL82" i="1"/>
  <c r="AM82" i="1" s="1"/>
  <c r="S82" i="1" s="1"/>
  <c r="AD573" i="1"/>
  <c r="N662" i="1"/>
  <c r="AD662" i="1" s="1"/>
  <c r="N62" i="1"/>
  <c r="AD62" i="1" s="1"/>
  <c r="R508" i="1"/>
  <c r="R496" i="1"/>
  <c r="R62" i="1"/>
  <c r="R620" i="1"/>
  <c r="AL79" i="1"/>
  <c r="R79" i="1" s="1"/>
  <c r="N574" i="1"/>
  <c r="AD574" i="1" s="1"/>
  <c r="P805" i="1"/>
  <c r="AD805" i="1" s="1"/>
  <c r="P843" i="1"/>
  <c r="AD843" i="1" s="1"/>
  <c r="P821" i="1"/>
  <c r="AD821" i="1" s="1"/>
  <c r="P833" i="1"/>
  <c r="AD833" i="1" s="1"/>
  <c r="P817" i="1"/>
  <c r="AD817" i="1" s="1"/>
  <c r="P810" i="1"/>
  <c r="AD810" i="1" s="1"/>
  <c r="P831" i="1"/>
  <c r="AD831" i="1" s="1"/>
  <c r="P839" i="1"/>
  <c r="AD839" i="1" s="1"/>
  <c r="P806" i="1"/>
  <c r="AD806" i="1" s="1"/>
  <c r="P836" i="1"/>
  <c r="AD836" i="1" s="1"/>
  <c r="P819" i="1"/>
  <c r="AD819" i="1" s="1"/>
  <c r="P845" i="1"/>
  <c r="AD845" i="1" s="1"/>
  <c r="P813" i="1"/>
  <c r="AD813" i="1" s="1"/>
  <c r="P835" i="1"/>
  <c r="AD835" i="1" s="1"/>
  <c r="P802" i="1"/>
  <c r="AD802" i="1" s="1"/>
  <c r="P808" i="1"/>
  <c r="AD808" i="1" s="1"/>
  <c r="P832" i="1"/>
  <c r="AD832" i="1" s="1"/>
  <c r="P851" i="1"/>
  <c r="AD851" i="1" s="1"/>
  <c r="P816" i="1"/>
  <c r="AD816" i="1" s="1"/>
  <c r="P842" i="1"/>
  <c r="AD842" i="1" s="1"/>
  <c r="R790" i="1"/>
  <c r="N690" i="1"/>
  <c r="AD690" i="1" s="1"/>
  <c r="N643" i="1"/>
  <c r="AD643" i="1" s="1"/>
  <c r="N578" i="1"/>
  <c r="AD578" i="1" s="1"/>
  <c r="AL543" i="1"/>
  <c r="R543" i="1" s="1"/>
  <c r="N461" i="1"/>
  <c r="AD461" i="1" s="1"/>
  <c r="R80" i="1"/>
  <c r="R794" i="1"/>
  <c r="AL752" i="1"/>
  <c r="AM752" i="1" s="1"/>
  <c r="S752" i="1" s="1"/>
  <c r="N740" i="1"/>
  <c r="AD740" i="1" s="1"/>
  <c r="R730" i="1"/>
  <c r="R707" i="1"/>
  <c r="AM576" i="1"/>
  <c r="S576" i="1" s="1"/>
  <c r="N755" i="1"/>
  <c r="AD755" i="1" s="1"/>
  <c r="AL581" i="1"/>
  <c r="R581" i="1" s="1"/>
  <c r="AL611" i="1"/>
  <c r="AM611" i="1" s="1"/>
  <c r="S611" i="1" s="1"/>
  <c r="AL535" i="1"/>
  <c r="R535" i="1" s="1"/>
  <c r="AM588" i="1"/>
  <c r="S588" i="1" s="1"/>
  <c r="AL592" i="1"/>
  <c r="AD849" i="1"/>
  <c r="AD820" i="1"/>
  <c r="AD850" i="1"/>
  <c r="AD826" i="1"/>
  <c r="AD841" i="1"/>
  <c r="AD822" i="1"/>
  <c r="AD807" i="1"/>
  <c r="AD855" i="1"/>
  <c r="AD825" i="1"/>
  <c r="AD830" i="1"/>
  <c r="AD829" i="1"/>
  <c r="AD858" i="1"/>
  <c r="AD856" i="1"/>
  <c r="R569" i="1"/>
  <c r="AM569" i="1"/>
  <c r="S569" i="1" s="1"/>
  <c r="AM475" i="1"/>
  <c r="S475" i="1" s="1"/>
  <c r="R475" i="1"/>
  <c r="AD415" i="1"/>
  <c r="R689" i="1"/>
  <c r="N730" i="1"/>
  <c r="AD730" i="1" s="1"/>
  <c r="N694" i="1"/>
  <c r="AD694" i="1" s="1"/>
  <c r="N577" i="1"/>
  <c r="AD577" i="1" s="1"/>
  <c r="AD428" i="1"/>
  <c r="AD847" i="1"/>
  <c r="AD814" i="1"/>
  <c r="AD848" i="1"/>
  <c r="AD379" i="1"/>
  <c r="R643" i="1"/>
  <c r="N707" i="1"/>
  <c r="AD707" i="1" s="1"/>
  <c r="R690" i="1"/>
  <c r="AM593" i="1"/>
  <c r="S593" i="1" s="1"/>
  <c r="AM96" i="1"/>
  <c r="S96" i="1" s="1"/>
  <c r="N80" i="1"/>
  <c r="AD80" i="1" s="1"/>
  <c r="N569" i="1"/>
  <c r="AD569" i="1" s="1"/>
  <c r="AM755" i="1"/>
  <c r="S755" i="1" s="1"/>
  <c r="AD853" i="1"/>
  <c r="AD846" i="1"/>
  <c r="AD834" i="1"/>
  <c r="AD803" i="1"/>
  <c r="AD827" i="1"/>
  <c r="AD857" i="1"/>
  <c r="AD801" i="1"/>
  <c r="AD823" i="1"/>
  <c r="AD828" i="1"/>
  <c r="AD804" i="1"/>
  <c r="AD840" i="1"/>
  <c r="AD844" i="1"/>
  <c r="AD818" i="1"/>
  <c r="AD854" i="1"/>
  <c r="AD824" i="1"/>
  <c r="N790" i="1"/>
  <c r="AD790" i="1" s="1"/>
  <c r="AM745" i="1"/>
  <c r="S745" i="1" s="1"/>
  <c r="AM578" i="1"/>
  <c r="S578" i="1" s="1"/>
  <c r="AM104" i="1"/>
  <c r="S104" i="1" s="1"/>
  <c r="AL84" i="1"/>
  <c r="R84" i="1" s="1"/>
  <c r="AD592" i="1"/>
  <c r="AD815" i="1"/>
  <c r="AD809" i="1"/>
  <c r="AD837" i="1"/>
  <c r="AD811" i="1"/>
  <c r="AD859" i="1"/>
  <c r="AD852" i="1"/>
  <c r="AD812" i="1"/>
  <c r="AD800" i="1"/>
  <c r="AD838" i="1"/>
  <c r="R694" i="1"/>
  <c r="AM694" i="1"/>
  <c r="S694" i="1" s="1"/>
  <c r="AM469" i="1"/>
  <c r="S469" i="1" s="1"/>
  <c r="R469" i="1"/>
  <c r="AM756" i="1"/>
  <c r="S756" i="1" s="1"/>
  <c r="N696" i="1"/>
  <c r="AD696" i="1" s="1"/>
  <c r="AM605" i="1"/>
  <c r="S605" i="1" s="1"/>
  <c r="AM594" i="1"/>
  <c r="S594" i="1" s="1"/>
  <c r="R558" i="1"/>
  <c r="AM527" i="1"/>
  <c r="S527" i="1" s="1"/>
  <c r="N648" i="1"/>
  <c r="AD648" i="1" s="1"/>
  <c r="N594" i="1"/>
  <c r="AD594" i="1" s="1"/>
  <c r="AD434" i="1"/>
  <c r="AD430" i="1"/>
  <c r="AD429" i="1"/>
  <c r="AM781" i="1"/>
  <c r="S781" i="1" s="1"/>
  <c r="AM673" i="1"/>
  <c r="S673" i="1" s="1"/>
  <c r="N798" i="1"/>
  <c r="AD798" i="1" s="1"/>
  <c r="AM798" i="1"/>
  <c r="S798" i="1" s="1"/>
  <c r="AL772" i="1"/>
  <c r="AM772" i="1" s="1"/>
  <c r="S772" i="1" s="1"/>
  <c r="N745" i="1"/>
  <c r="AD745" i="1" s="1"/>
  <c r="N692" i="1"/>
  <c r="AD692" i="1" s="1"/>
  <c r="R636" i="1"/>
  <c r="N618" i="1"/>
  <c r="AD618" i="1" s="1"/>
  <c r="R590" i="1"/>
  <c r="AL482" i="1"/>
  <c r="AM482" i="1" s="1"/>
  <c r="S482" i="1" s="1"/>
  <c r="N590" i="1"/>
  <c r="AD590" i="1" s="1"/>
  <c r="N558" i="1"/>
  <c r="AD558" i="1" s="1"/>
  <c r="N503" i="1"/>
  <c r="AD503" i="1" s="1"/>
  <c r="N469" i="1"/>
  <c r="AD469" i="1" s="1"/>
  <c r="AL654" i="1"/>
  <c r="R654" i="1" s="1"/>
  <c r="AM570" i="1"/>
  <c r="S570" i="1" s="1"/>
  <c r="AM681" i="1"/>
  <c r="S681" i="1" s="1"/>
  <c r="AD427" i="1"/>
  <c r="AD432" i="1"/>
  <c r="AD431" i="1"/>
  <c r="AD220" i="1"/>
  <c r="N104" i="1"/>
  <c r="AD104" i="1" s="1"/>
  <c r="AD708" i="1"/>
  <c r="AM94" i="1"/>
  <c r="S94" i="1" s="1"/>
  <c r="N12" i="1"/>
  <c r="AD12" i="1" s="1"/>
  <c r="AM110" i="1"/>
  <c r="S110" i="1" s="1"/>
  <c r="AM12" i="1"/>
  <c r="S12" i="1" s="1"/>
  <c r="N110" i="1"/>
  <c r="AD110" i="1" s="1"/>
  <c r="R714" i="1"/>
  <c r="AM714" i="1"/>
  <c r="S714" i="1" s="1"/>
  <c r="R503" i="1"/>
  <c r="AM503" i="1"/>
  <c r="S503" i="1" s="1"/>
  <c r="R726" i="1"/>
  <c r="AM726" i="1"/>
  <c r="S726" i="1" s="1"/>
  <c r="N773" i="1"/>
  <c r="AD773" i="1" s="1"/>
  <c r="R769" i="1"/>
  <c r="R709" i="1"/>
  <c r="N564" i="1"/>
  <c r="AD564" i="1" s="1"/>
  <c r="R582" i="1"/>
  <c r="N488" i="1"/>
  <c r="AD488" i="1" s="1"/>
  <c r="R488" i="1"/>
  <c r="R561" i="1"/>
  <c r="AM519" i="1"/>
  <c r="S519" i="1" s="1"/>
  <c r="AD457" i="1"/>
  <c r="N597" i="1"/>
  <c r="AD597" i="1" s="1"/>
  <c r="N615" i="1"/>
  <c r="AD615" i="1" s="1"/>
  <c r="N600" i="1"/>
  <c r="AD600" i="1" s="1"/>
  <c r="N87" i="1"/>
  <c r="AD87" i="1" s="1"/>
  <c r="N714" i="1"/>
  <c r="AD714" i="1" s="1"/>
  <c r="R78" i="1"/>
  <c r="AD157" i="1"/>
  <c r="N769" i="1"/>
  <c r="AD769" i="1" s="1"/>
  <c r="N605" i="1"/>
  <c r="AD605" i="1" s="1"/>
  <c r="R627" i="1"/>
  <c r="AD606" i="1"/>
  <c r="R548" i="1"/>
  <c r="R516" i="1"/>
  <c r="AM449" i="1"/>
  <c r="S449" i="1" s="1"/>
  <c r="AM124" i="1"/>
  <c r="S124" i="1" s="1"/>
  <c r="AM87" i="1"/>
  <c r="S87" i="1" s="1"/>
  <c r="AD543" i="1"/>
  <c r="N717" i="1"/>
  <c r="AD717" i="1" s="1"/>
  <c r="N627" i="1"/>
  <c r="AD627" i="1" s="1"/>
  <c r="N570" i="1"/>
  <c r="AD570" i="1" s="1"/>
  <c r="N78" i="1"/>
  <c r="AD78" i="1" s="1"/>
  <c r="AL44" i="1"/>
  <c r="AM44" i="1" s="1"/>
  <c r="S44" i="1" s="1"/>
  <c r="N582" i="1"/>
  <c r="AD582" i="1" s="1"/>
  <c r="N561" i="1"/>
  <c r="AD561" i="1" s="1"/>
  <c r="N76" i="1"/>
  <c r="AD76" i="1" s="1"/>
  <c r="N71" i="1"/>
  <c r="AD71" i="1" s="1"/>
  <c r="N90" i="1"/>
  <c r="AD90" i="1" s="1"/>
  <c r="AD654" i="1"/>
  <c r="AD622" i="1"/>
  <c r="AD763" i="1"/>
  <c r="AD638" i="1"/>
  <c r="N102" i="1"/>
  <c r="AD102" i="1" s="1"/>
  <c r="AD630" i="1"/>
  <c r="AD614" i="1"/>
  <c r="AD646" i="1"/>
  <c r="AM102" i="1"/>
  <c r="S102" i="1" s="1"/>
  <c r="R51" i="1"/>
  <c r="AD651" i="1"/>
  <c r="AD659" i="1"/>
  <c r="AD601" i="1"/>
  <c r="AM607" i="1"/>
  <c r="S607" i="1" s="1"/>
  <c r="AL797" i="1"/>
  <c r="N797" i="1"/>
  <c r="AD797" i="1" s="1"/>
  <c r="AL764" i="1"/>
  <c r="N764" i="1"/>
  <c r="AD764" i="1" s="1"/>
  <c r="AL670" i="1"/>
  <c r="N670" i="1"/>
  <c r="AD670" i="1" s="1"/>
  <c r="AL83" i="1"/>
  <c r="N83" i="1"/>
  <c r="AD83" i="1" s="1"/>
  <c r="R750" i="1"/>
  <c r="AM589" i="1"/>
  <c r="S589" i="1" s="1"/>
  <c r="R799" i="1"/>
  <c r="R631" i="1"/>
  <c r="AM511" i="1"/>
  <c r="S511" i="1" s="1"/>
  <c r="AD709" i="1"/>
  <c r="AD483" i="1"/>
  <c r="AL88" i="1"/>
  <c r="N88" i="1"/>
  <c r="AD88" i="1" s="1"/>
  <c r="AM577" i="1"/>
  <c r="S577" i="1" s="1"/>
  <c r="N756" i="1"/>
  <c r="AD756" i="1" s="1"/>
  <c r="R719" i="1"/>
  <c r="AD436" i="1"/>
  <c r="AD580" i="1"/>
  <c r="AD328" i="1"/>
  <c r="AD202" i="1"/>
  <c r="AD164" i="1"/>
  <c r="AD350" i="1"/>
  <c r="AD424" i="1"/>
  <c r="AL474" i="1"/>
  <c r="N474" i="1"/>
  <c r="AD474" i="1" s="1"/>
  <c r="AD114" i="1"/>
  <c r="AM90" i="1"/>
  <c r="S90" i="1" s="1"/>
  <c r="AD291" i="1"/>
  <c r="AD143" i="1"/>
  <c r="AD313" i="1"/>
  <c r="AD402" i="1"/>
  <c r="AD407" i="1"/>
  <c r="AD383" i="1"/>
  <c r="AD343" i="1"/>
  <c r="N96" i="1"/>
  <c r="AD96" i="1" s="1"/>
  <c r="AM92" i="1"/>
  <c r="S92" i="1" s="1"/>
  <c r="AM60" i="1"/>
  <c r="S60" i="1" s="1"/>
  <c r="N8" i="1"/>
  <c r="AD8" i="1" s="1"/>
  <c r="AD127" i="1"/>
  <c r="AD337" i="1"/>
  <c r="AD393" i="1"/>
  <c r="AD472" i="1"/>
  <c r="AM116" i="1"/>
  <c r="S116" i="1" s="1"/>
  <c r="N60" i="1"/>
  <c r="AD60" i="1" s="1"/>
  <c r="N92" i="1"/>
  <c r="AD92" i="1" s="1"/>
  <c r="AD249" i="1"/>
  <c r="AD308" i="1"/>
  <c r="AD193" i="1"/>
  <c r="AD329" i="1"/>
  <c r="AD376" i="1"/>
  <c r="AD168" i="1"/>
  <c r="AD334" i="1"/>
  <c r="AD148" i="1"/>
  <c r="AD116" i="1"/>
  <c r="AD374" i="1"/>
  <c r="AD386" i="1"/>
  <c r="N118" i="1"/>
  <c r="AD118" i="1" s="1"/>
  <c r="AD345" i="1"/>
  <c r="AD320" i="1"/>
  <c r="AD366" i="1"/>
  <c r="AD292" i="1"/>
  <c r="AD214" i="1"/>
  <c r="AD353" i="1"/>
  <c r="AD287" i="1"/>
  <c r="AD224" i="1"/>
  <c r="AM118" i="1"/>
  <c r="S118" i="1" s="1"/>
  <c r="AD540" i="1"/>
  <c r="AD49" i="1"/>
  <c r="AD98" i="1"/>
  <c r="AD211" i="1"/>
  <c r="AD167" i="1"/>
  <c r="AD360" i="1"/>
  <c r="AD283" i="1"/>
  <c r="AD404" i="1"/>
  <c r="AD136" i="1"/>
  <c r="AD265" i="1"/>
  <c r="AD357" i="1"/>
  <c r="AD413" i="1"/>
  <c r="AD274" i="1"/>
  <c r="AD327" i="1"/>
  <c r="AD149" i="1"/>
  <c r="AD408" i="1"/>
  <c r="AD139" i="1"/>
  <c r="AD324" i="1"/>
  <c r="AD420" i="1"/>
  <c r="AD280" i="1"/>
  <c r="AD326" i="1"/>
  <c r="AM120" i="1"/>
  <c r="S120" i="1" s="1"/>
  <c r="AD532" i="1"/>
  <c r="AD508" i="1"/>
  <c r="AD365" i="1"/>
  <c r="AD146" i="1"/>
  <c r="AD204" i="1"/>
  <c r="AD267" i="1"/>
  <c r="AD332" i="1"/>
  <c r="AD129" i="1"/>
  <c r="AD330" i="1"/>
  <c r="AD355" i="1"/>
  <c r="AD170" i="1"/>
  <c r="AD316" i="1"/>
  <c r="AD272" i="1"/>
  <c r="AD194" i="1"/>
  <c r="AD370" i="1"/>
  <c r="AD169" i="1"/>
  <c r="AD298" i="1"/>
  <c r="N120" i="1"/>
  <c r="AD120" i="1" s="1"/>
  <c r="N94" i="1"/>
  <c r="AD94" i="1" s="1"/>
  <c r="AD491" i="1"/>
  <c r="AD516" i="1"/>
  <c r="AD449" i="1"/>
  <c r="AD147" i="1"/>
  <c r="AD377" i="1"/>
  <c r="AD315" i="1"/>
  <c r="AD207" i="1"/>
  <c r="AD372" i="1"/>
  <c r="AD380" i="1"/>
  <c r="AD568" i="1"/>
  <c r="AD500" i="1"/>
  <c r="AD612" i="1"/>
  <c r="AD620" i="1"/>
  <c r="AD698" i="1"/>
  <c r="AD746" i="1"/>
  <c r="AD584" i="1"/>
  <c r="AD465" i="1"/>
  <c r="AD535" i="1"/>
  <c r="AD556" i="1"/>
  <c r="AD636" i="1"/>
  <c r="AD441" i="1"/>
  <c r="AD276" i="1"/>
  <c r="AD159" i="1"/>
  <c r="AD152" i="1"/>
  <c r="AD254" i="1"/>
  <c r="AD349" i="1"/>
  <c r="AD344" i="1"/>
  <c r="AD381" i="1"/>
  <c r="AD411" i="1"/>
  <c r="AD387" i="1"/>
  <c r="AD419" i="1"/>
  <c r="AD184" i="1"/>
  <c r="AD174" i="1"/>
  <c r="AD241" i="1"/>
  <c r="AD323" i="1"/>
  <c r="AD295" i="1"/>
  <c r="AD382" i="1"/>
  <c r="AD359" i="1"/>
  <c r="AD396" i="1"/>
  <c r="AD264" i="1"/>
  <c r="AD293" i="1"/>
  <c r="AD277" i="1"/>
  <c r="AD135" i="1"/>
  <c r="AD153" i="1"/>
  <c r="AD182" i="1"/>
  <c r="AD255" i="1"/>
  <c r="AD284" i="1"/>
  <c r="AD321" i="1"/>
  <c r="AD351" i="1"/>
  <c r="AD338" i="1"/>
  <c r="AD179" i="1"/>
  <c r="AD318" i="1"/>
  <c r="AD290" i="1"/>
  <c r="AD392" i="1"/>
  <c r="AD251" i="1"/>
  <c r="AD140" i="1"/>
  <c r="AD325" i="1"/>
  <c r="AD362" i="1"/>
  <c r="AD198" i="1"/>
  <c r="AD199" i="1"/>
  <c r="AD310" i="1"/>
  <c r="AD250" i="1"/>
  <c r="AD176" i="1"/>
  <c r="AD162" i="1"/>
  <c r="AD342" i="1"/>
  <c r="AD296" i="1"/>
  <c r="AD421" i="1"/>
  <c r="AD416" i="1"/>
  <c r="AD289" i="1"/>
  <c r="AD363" i="1"/>
  <c r="AD417" i="1"/>
  <c r="AL112" i="1"/>
  <c r="N112" i="1"/>
  <c r="AD112" i="1" s="1"/>
  <c r="AM57" i="1"/>
  <c r="S57" i="1" s="1"/>
  <c r="R57" i="1"/>
  <c r="AL723" i="1"/>
  <c r="N723" i="1"/>
  <c r="AD723" i="1" s="1"/>
  <c r="R789" i="1"/>
  <c r="AM789" i="1"/>
  <c r="S789" i="1" s="1"/>
  <c r="AL710" i="1"/>
  <c r="N710" i="1"/>
  <c r="AD710" i="1" s="1"/>
  <c r="AM604" i="1"/>
  <c r="S604" i="1" s="1"/>
  <c r="R604" i="1"/>
  <c r="AL536" i="1"/>
  <c r="N536" i="1"/>
  <c r="AD536" i="1" s="1"/>
  <c r="AL734" i="1"/>
  <c r="N734" i="1"/>
  <c r="AD734" i="1" s="1"/>
  <c r="AL644" i="1"/>
  <c r="N644" i="1"/>
  <c r="AD644" i="1" s="1"/>
  <c r="AM445" i="1"/>
  <c r="S445" i="1" s="1"/>
  <c r="R445" i="1"/>
  <c r="AD201" i="1"/>
  <c r="AD230" i="1"/>
  <c r="AM597" i="1"/>
  <c r="S597" i="1" s="1"/>
  <c r="AD107" i="1"/>
  <c r="AM28" i="1"/>
  <c r="S28" i="1" s="1"/>
  <c r="AL21" i="1"/>
  <c r="N57" i="1"/>
  <c r="AD57" i="1" s="1"/>
  <c r="N666" i="1"/>
  <c r="AD666" i="1" s="1"/>
  <c r="AL666" i="1"/>
  <c r="AM777" i="1"/>
  <c r="S777" i="1" s="1"/>
  <c r="R777" i="1"/>
  <c r="AL628" i="1"/>
  <c r="N628" i="1"/>
  <c r="AD628" i="1" s="1"/>
  <c r="AL454" i="1"/>
  <c r="N454" i="1"/>
  <c r="AD454" i="1" s="1"/>
  <c r="AL713" i="1"/>
  <c r="N713" i="1"/>
  <c r="AD713" i="1" s="1"/>
  <c r="AL544" i="1"/>
  <c r="N544" i="1"/>
  <c r="AD544" i="1" s="1"/>
  <c r="AL512" i="1"/>
  <c r="N512" i="1"/>
  <c r="AD512" i="1" s="1"/>
  <c r="AL495" i="1"/>
  <c r="N495" i="1"/>
  <c r="AD495" i="1" s="1"/>
  <c r="AL742" i="1"/>
  <c r="N742" i="1"/>
  <c r="AD742" i="1" s="1"/>
  <c r="AL623" i="1"/>
  <c r="N623" i="1"/>
  <c r="AD623" i="1" s="1"/>
  <c r="AL515" i="1"/>
  <c r="N515" i="1"/>
  <c r="AD515" i="1" s="1"/>
  <c r="AL608" i="1"/>
  <c r="N608" i="1"/>
  <c r="AD608" i="1" s="1"/>
  <c r="AL562" i="1"/>
  <c r="N562" i="1"/>
  <c r="AD562" i="1" s="1"/>
  <c r="AL507" i="1"/>
  <c r="N507" i="1"/>
  <c r="AD507" i="1" s="1"/>
  <c r="AM461" i="1"/>
  <c r="S461" i="1" s="1"/>
  <c r="R461" i="1"/>
  <c r="AD300" i="1"/>
  <c r="AD208" i="1"/>
  <c r="AD263" i="1"/>
  <c r="AD423" i="1"/>
  <c r="AM565" i="1"/>
  <c r="S565" i="1" s="1"/>
  <c r="R565" i="1"/>
  <c r="AD183" i="1"/>
  <c r="AD258" i="1"/>
  <c r="AD406" i="1"/>
  <c r="AD218" i="1"/>
  <c r="AD154" i="1"/>
  <c r="AD166" i="1"/>
  <c r="AD219" i="1"/>
  <c r="AD375" i="1"/>
  <c r="AD367" i="1"/>
  <c r="AD395" i="1"/>
  <c r="AD244" i="1"/>
  <c r="AD126" i="1"/>
  <c r="AD133" i="1"/>
  <c r="AD237" i="1"/>
  <c r="AD311" i="1"/>
  <c r="AD364" i="1"/>
  <c r="AD279" i="1"/>
  <c r="AD273" i="1"/>
  <c r="AD346" i="1"/>
  <c r="AD347" i="1"/>
  <c r="AD141" i="1"/>
  <c r="AD232" i="1"/>
  <c r="AD206" i="1"/>
  <c r="AD317" i="1"/>
  <c r="N782" i="1"/>
  <c r="AD782" i="1" s="1"/>
  <c r="AL782" i="1"/>
  <c r="N480" i="1"/>
  <c r="AD480" i="1" s="1"/>
  <c r="AL480" i="1"/>
  <c r="AL499" i="1"/>
  <c r="N499" i="1"/>
  <c r="AD499" i="1" s="1"/>
  <c r="AL523" i="1"/>
  <c r="N523" i="1"/>
  <c r="AD523" i="1" s="1"/>
  <c r="AL702" i="1"/>
  <c r="N702" i="1"/>
  <c r="AD702" i="1" s="1"/>
  <c r="AD303" i="1"/>
  <c r="AD223" i="1"/>
  <c r="AD235" i="1"/>
  <c r="AD335" i="1"/>
  <c r="AD736" i="1"/>
  <c r="AD758" i="1"/>
  <c r="AD744" i="1"/>
  <c r="AD728" i="1"/>
  <c r="AM615" i="1"/>
  <c r="S615" i="1" s="1"/>
  <c r="R8" i="1"/>
  <c r="AL786" i="1"/>
  <c r="N786" i="1"/>
  <c r="AD786" i="1" s="1"/>
  <c r="AL793" i="1"/>
  <c r="N793" i="1"/>
  <c r="AD793" i="1" s="1"/>
  <c r="AL660" i="1"/>
  <c r="N660" i="1"/>
  <c r="AD660" i="1" s="1"/>
  <c r="AL473" i="1"/>
  <c r="N473" i="1"/>
  <c r="AD473" i="1" s="1"/>
  <c r="AL466" i="1"/>
  <c r="N466" i="1"/>
  <c r="AD466" i="1" s="1"/>
  <c r="AL458" i="1"/>
  <c r="N458" i="1"/>
  <c r="AD458" i="1" s="1"/>
  <c r="AL706" i="1"/>
  <c r="N706" i="1"/>
  <c r="AD706" i="1" s="1"/>
  <c r="AL697" i="1"/>
  <c r="N697" i="1"/>
  <c r="AD697" i="1" s="1"/>
  <c r="AL669" i="1"/>
  <c r="N669" i="1"/>
  <c r="AD669" i="1" s="1"/>
  <c r="AL520" i="1"/>
  <c r="N520" i="1"/>
  <c r="AD520" i="1" s="1"/>
  <c r="AL450" i="1"/>
  <c r="N450" i="1"/>
  <c r="AD450" i="1" s="1"/>
  <c r="AL552" i="1"/>
  <c r="N552" i="1"/>
  <c r="AD552" i="1" s="1"/>
  <c r="AL453" i="1"/>
  <c r="N453" i="1"/>
  <c r="AD453" i="1" s="1"/>
  <c r="AD319" i="1"/>
  <c r="AD226" i="1"/>
  <c r="AD171" i="1"/>
  <c r="AD134" i="1"/>
  <c r="AD233" i="1"/>
  <c r="AD312" i="1"/>
  <c r="AL81" i="1"/>
  <c r="N81" i="1"/>
  <c r="AD81" i="1" s="1"/>
  <c r="AD304" i="1"/>
  <c r="AD248" i="1"/>
  <c r="AD192" i="1"/>
  <c r="AD271" i="1"/>
  <c r="AD341" i="1"/>
  <c r="AD156" i="1"/>
  <c r="AD229" i="1"/>
  <c r="AD266" i="1"/>
  <c r="AD340" i="1"/>
  <c r="AD278" i="1"/>
  <c r="AD352" i="1"/>
  <c r="AD368" i="1"/>
  <c r="AD414" i="1"/>
  <c r="AD246" i="1"/>
  <c r="AD144" i="1"/>
  <c r="AD172" i="1"/>
  <c r="AD228" i="1"/>
  <c r="AD314" i="1"/>
  <c r="AD358" i="1"/>
  <c r="AD403" i="1"/>
  <c r="AD225" i="1"/>
  <c r="AD142" i="1"/>
  <c r="AD262" i="1"/>
  <c r="AD336" i="1"/>
  <c r="AD373" i="1"/>
  <c r="AD260" i="1"/>
  <c r="AD186" i="1"/>
  <c r="AD288" i="1"/>
  <c r="AD390" i="1"/>
  <c r="AD333" i="1"/>
  <c r="AD268" i="1"/>
  <c r="AD185" i="1"/>
  <c r="AD305" i="1"/>
  <c r="AD259" i="1"/>
  <c r="AD361" i="1"/>
  <c r="AD195" i="1"/>
  <c r="AD158" i="1"/>
  <c r="AD215" i="1"/>
  <c r="AD132" i="1"/>
  <c r="AD252" i="1"/>
  <c r="AD243" i="1"/>
  <c r="AL504" i="1"/>
  <c r="N504" i="1"/>
  <c r="AD504" i="1" s="1"/>
  <c r="AL531" i="1"/>
  <c r="N531" i="1"/>
  <c r="AD531" i="1" s="1"/>
  <c r="AL437" i="1"/>
  <c r="N437" i="1"/>
  <c r="AD437" i="1" s="1"/>
  <c r="AL665" i="1"/>
  <c r="N665" i="1"/>
  <c r="AD665" i="1" s="1"/>
  <c r="N492" i="1"/>
  <c r="AD492" i="1" s="1"/>
  <c r="AL492" i="1"/>
  <c r="AD306" i="1"/>
  <c r="R600" i="1"/>
  <c r="R733" i="1"/>
  <c r="AD448" i="1"/>
  <c r="AD93" i="1"/>
  <c r="N74" i="1"/>
  <c r="AD74" i="1" s="1"/>
  <c r="AL70" i="1"/>
  <c r="R70" i="1" s="1"/>
  <c r="AL749" i="1"/>
  <c r="N749" i="1"/>
  <c r="AD749" i="1" s="1"/>
  <c r="AL639" i="1"/>
  <c r="N639" i="1"/>
  <c r="AD639" i="1" s="1"/>
  <c r="AL566" i="1"/>
  <c r="N566" i="1"/>
  <c r="AD566" i="1" s="1"/>
  <c r="AL718" i="1"/>
  <c r="N718" i="1"/>
  <c r="AD718" i="1" s="1"/>
  <c r="AL686" i="1"/>
  <c r="N686" i="1"/>
  <c r="AD686" i="1" s="1"/>
  <c r="AL528" i="1"/>
  <c r="N528" i="1"/>
  <c r="AD528" i="1" s="1"/>
  <c r="AL722" i="1"/>
  <c r="N722" i="1"/>
  <c r="AD722" i="1" s="1"/>
  <c r="AL655" i="1"/>
  <c r="N655" i="1"/>
  <c r="AD655" i="1" s="1"/>
  <c r="AL547" i="1"/>
  <c r="N547" i="1"/>
  <c r="AD547" i="1" s="1"/>
  <c r="AL470" i="1"/>
  <c r="N470" i="1"/>
  <c r="AD470" i="1" s="1"/>
  <c r="AL462" i="1"/>
  <c r="N462" i="1"/>
  <c r="AD462" i="1" s="1"/>
  <c r="AL539" i="1"/>
  <c r="N539" i="1"/>
  <c r="AD539" i="1" s="1"/>
  <c r="AD275" i="1"/>
  <c r="AD270" i="1"/>
  <c r="AD217" i="1"/>
  <c r="AD165" i="1"/>
  <c r="AD245" i="1"/>
  <c r="AD238" i="1"/>
  <c r="AD282" i="1"/>
  <c r="AD356" i="1"/>
  <c r="AD418" i="1"/>
  <c r="AM476" i="1"/>
  <c r="S476" i="1" s="1"/>
  <c r="R476" i="1"/>
  <c r="AD155" i="1"/>
  <c r="AD212" i="1"/>
  <c r="AD331" i="1"/>
  <c r="AD130" i="1"/>
  <c r="AD160" i="1"/>
  <c r="AD234" i="1"/>
  <c r="AD257" i="1"/>
  <c r="AD286" i="1"/>
  <c r="AD294" i="1"/>
  <c r="AD389" i="1"/>
  <c r="AD426" i="1"/>
  <c r="AD227" i="1"/>
  <c r="AD301" i="1"/>
  <c r="AD145" i="1"/>
  <c r="AD181" i="1"/>
  <c r="AD203" i="1"/>
  <c r="AD247" i="1"/>
  <c r="AD339" i="1"/>
  <c r="AD425" i="1"/>
  <c r="AD394" i="1"/>
  <c r="AD412" i="1"/>
  <c r="AD151" i="1"/>
  <c r="AD253" i="1"/>
  <c r="AD200" i="1"/>
  <c r="AD188" i="1"/>
  <c r="AD216" i="1"/>
  <c r="AD401" i="1"/>
  <c r="AD385" i="1"/>
  <c r="AD299" i="1"/>
  <c r="AD422" i="1"/>
  <c r="AD297" i="1"/>
  <c r="AD177" i="1"/>
  <c r="AD131" i="1"/>
  <c r="AD242" i="1"/>
  <c r="AD161" i="1"/>
  <c r="AD309" i="1"/>
  <c r="AD398" i="1"/>
  <c r="AD187" i="1"/>
  <c r="AD178" i="1"/>
  <c r="AD261" i="1"/>
  <c r="AD269" i="1"/>
  <c r="AD354" i="1"/>
  <c r="AD400" i="1"/>
  <c r="AD64" i="1"/>
  <c r="AD604" i="1"/>
  <c r="AD446" i="1"/>
  <c r="AD479" i="1"/>
  <c r="AD603" i="1"/>
  <c r="AD572" i="1"/>
  <c r="AD555" i="1"/>
  <c r="AD550" i="1"/>
  <c r="AD440" i="1"/>
  <c r="AD496" i="1"/>
  <c r="AD476" i="1"/>
  <c r="AD611" i="1"/>
  <c r="AD635" i="1"/>
  <c r="AD616" i="1"/>
  <c r="AD673" i="1"/>
  <c r="AD681" i="1"/>
  <c r="AD689" i="1"/>
  <c r="AD750" i="1"/>
  <c r="AD768" i="1"/>
  <c r="AD776" i="1"/>
  <c r="AD67" i="1"/>
  <c r="AD632" i="1"/>
  <c r="AD656" i="1"/>
  <c r="AD121" i="1"/>
  <c r="AD122" i="1"/>
  <c r="AD624" i="1"/>
  <c r="AD602" i="1"/>
  <c r="R53" i="1"/>
  <c r="AD593" i="1"/>
  <c r="AL5" i="1"/>
  <c r="N5" i="1"/>
  <c r="AD5" i="1" s="1"/>
  <c r="AD640" i="1"/>
  <c r="AD460" i="1"/>
  <c r="AL58" i="1"/>
  <c r="AM58" i="1" s="1"/>
  <c r="S58" i="1" s="1"/>
  <c r="N20" i="1"/>
  <c r="AD20" i="1" s="1"/>
  <c r="AM54" i="1"/>
  <c r="S54" i="1" s="1"/>
  <c r="R54" i="1"/>
  <c r="AL19" i="1"/>
  <c r="N19" i="1"/>
  <c r="AD19" i="1" s="1"/>
  <c r="AD22" i="1"/>
  <c r="AD704" i="1"/>
  <c r="AD688" i="1"/>
  <c r="R47" i="1"/>
  <c r="AM20" i="1"/>
  <c r="S20" i="1" s="1"/>
  <c r="R20" i="1"/>
  <c r="AD754" i="1"/>
  <c r="AD705" i="1"/>
  <c r="AD444" i="1"/>
  <c r="AD86" i="1"/>
  <c r="AD55" i="1"/>
  <c r="AD45" i="1"/>
  <c r="AD50" i="1"/>
  <c r="AD100" i="1"/>
  <c r="AD51" i="1"/>
  <c r="AD117" i="1"/>
  <c r="AD113" i="1"/>
  <c r="AD111" i="1"/>
  <c r="AD73" i="1"/>
  <c r="AD59" i="1"/>
  <c r="AD108" i="1"/>
  <c r="AD13" i="1"/>
  <c r="AD554" i="1"/>
  <c r="AD464" i="1"/>
  <c r="AD52" i="1"/>
  <c r="AD105" i="1"/>
  <c r="AD548" i="1"/>
  <c r="AD524" i="1"/>
  <c r="AD438" i="1"/>
  <c r="AD607" i="1"/>
  <c r="AD631" i="1"/>
  <c r="AD647" i="1"/>
  <c r="AD677" i="1"/>
  <c r="AD693" i="1"/>
  <c r="AD738" i="1"/>
  <c r="AD759" i="1"/>
  <c r="AD779" i="1"/>
  <c r="AD785" i="1"/>
  <c r="AD789" i="1"/>
  <c r="AD69" i="1"/>
  <c r="AD109" i="1"/>
  <c r="AD106" i="1"/>
  <c r="BE79" i="1"/>
  <c r="AY79" i="1"/>
  <c r="AD123" i="1"/>
  <c r="AD103" i="1"/>
  <c r="AD97" i="1"/>
  <c r="AD56" i="1"/>
  <c r="AD85" i="1"/>
  <c r="AD124" i="1"/>
  <c r="AD53" i="1"/>
  <c r="AD442" i="1"/>
  <c r="N28" i="1"/>
  <c r="AD28" i="1" s="1"/>
  <c r="AD581" i="1"/>
  <c r="AD551" i="1"/>
  <c r="AM6" i="1"/>
  <c r="S6" i="1" s="1"/>
  <c r="AD58" i="1"/>
  <c r="AD482" i="1"/>
  <c r="AD125" i="1"/>
  <c r="AD40" i="1"/>
  <c r="AD54" i="1"/>
  <c r="AD70" i="1"/>
  <c r="BE76" i="1"/>
  <c r="N6" i="1"/>
  <c r="AD6" i="1" s="1"/>
  <c r="AL42" i="1"/>
  <c r="R42" i="1" s="1"/>
  <c r="N42" i="1"/>
  <c r="AD42" i="1" s="1"/>
  <c r="AL27" i="1"/>
  <c r="N27" i="1"/>
  <c r="AD27" i="1" s="1"/>
  <c r="AL23" i="1"/>
  <c r="N23" i="1"/>
  <c r="AD23" i="1" s="1"/>
  <c r="AL18" i="1"/>
  <c r="N18" i="1"/>
  <c r="AD18" i="1" s="1"/>
  <c r="AL24" i="1"/>
  <c r="N24" i="1"/>
  <c r="AD24" i="1" s="1"/>
  <c r="AD775" i="1"/>
  <c r="AD748" i="1"/>
  <c r="AD732" i="1"/>
  <c r="AD720" i="1"/>
  <c r="AD452" i="1"/>
  <c r="AD753" i="1"/>
  <c r="AD762" i="1"/>
  <c r="AD772" i="1"/>
  <c r="AD642" i="1"/>
  <c r="AD626" i="1"/>
  <c r="AD478" i="1"/>
  <c r="AD41" i="1"/>
  <c r="AD77" i="1"/>
  <c r="AD66" i="1"/>
  <c r="AD39" i="1"/>
  <c r="AD21" i="1"/>
  <c r="AD47" i="1"/>
  <c r="AD724" i="1"/>
  <c r="AD712" i="1"/>
  <c r="AD487" i="1"/>
  <c r="AD61" i="1"/>
  <c r="AD72" i="1"/>
  <c r="AD119" i="1"/>
  <c r="AD115" i="1"/>
  <c r="AD101" i="1"/>
  <c r="AD95" i="1"/>
  <c r="AD91" i="1"/>
  <c r="AD89" i="1"/>
  <c r="AD46" i="1"/>
  <c r="BF68" i="1"/>
  <c r="BH68" i="1" s="1"/>
  <c r="BE68" i="1"/>
  <c r="AY68" i="1"/>
  <c r="AZ68" i="1"/>
  <c r="AL14" i="1"/>
  <c r="N14" i="1"/>
  <c r="AD14" i="1" s="1"/>
  <c r="AD456" i="1"/>
  <c r="AD63" i="1"/>
  <c r="AD48" i="1"/>
  <c r="AD44" i="1"/>
  <c r="AD468" i="1"/>
  <c r="AD99" i="1"/>
  <c r="BC67" i="1"/>
  <c r="BA67" i="1"/>
  <c r="AZ67" i="1"/>
  <c r="BF67" i="1"/>
  <c r="BH67" i="1" s="1"/>
  <c r="BB67" i="1"/>
  <c r="BD67" i="1"/>
  <c r="AD82" i="1"/>
  <c r="BE80" i="1"/>
  <c r="AZ79" i="1"/>
  <c r="AD17" i="1"/>
  <c r="AL31" i="1"/>
  <c r="N31" i="1"/>
  <c r="AD31" i="1" s="1"/>
  <c r="AD75" i="1"/>
  <c r="AD79" i="1"/>
  <c r="AD65" i="1"/>
  <c r="AD30" i="1"/>
  <c r="AD84" i="1"/>
  <c r="BB79" i="1"/>
  <c r="BD79" i="1"/>
  <c r="AD68" i="1"/>
  <c r="AD43" i="1"/>
  <c r="AY80" i="1"/>
  <c r="BF79" i="1"/>
  <c r="BH79" i="1" s="1"/>
  <c r="BA79" i="1"/>
  <c r="AL38" i="1"/>
  <c r="N38" i="1"/>
  <c r="AD38" i="1" s="1"/>
  <c r="AL766" i="1"/>
  <c r="N766" i="1"/>
  <c r="AD766" i="1" s="1"/>
  <c r="AM763" i="1"/>
  <c r="S763" i="1" s="1"/>
  <c r="R763" i="1"/>
  <c r="R744" i="1"/>
  <c r="AM744" i="1"/>
  <c r="S744" i="1" s="1"/>
  <c r="AL727" i="1"/>
  <c r="N727" i="1"/>
  <c r="AD727" i="1" s="1"/>
  <c r="AL703" i="1"/>
  <c r="N703" i="1"/>
  <c r="AD703" i="1" s="1"/>
  <c r="AM721" i="1"/>
  <c r="S721" i="1" s="1"/>
  <c r="R721" i="1"/>
  <c r="AL676" i="1"/>
  <c r="N676" i="1"/>
  <c r="AD676" i="1" s="1"/>
  <c r="AL667" i="1"/>
  <c r="N667" i="1"/>
  <c r="AD667" i="1" s="1"/>
  <c r="AM705" i="1"/>
  <c r="S705" i="1" s="1"/>
  <c r="R705" i="1"/>
  <c r="AL684" i="1"/>
  <c r="N684" i="1"/>
  <c r="AD684" i="1" s="1"/>
  <c r="AL661" i="1"/>
  <c r="N661" i="1"/>
  <c r="AD661" i="1" s="1"/>
  <c r="AL645" i="1"/>
  <c r="N645" i="1"/>
  <c r="AD645" i="1" s="1"/>
  <c r="AL629" i="1"/>
  <c r="N629" i="1"/>
  <c r="AD629" i="1" s="1"/>
  <c r="R638" i="1"/>
  <c r="AM638" i="1"/>
  <c r="S638" i="1" s="1"/>
  <c r="R622" i="1"/>
  <c r="AM622" i="1"/>
  <c r="S622" i="1" s="1"/>
  <c r="AL599" i="1"/>
  <c r="N599" i="1"/>
  <c r="AD599" i="1" s="1"/>
  <c r="AL583" i="1"/>
  <c r="N583" i="1"/>
  <c r="AD583" i="1" s="1"/>
  <c r="R606" i="1"/>
  <c r="AM606" i="1"/>
  <c r="S606" i="1" s="1"/>
  <c r="AL534" i="1"/>
  <c r="N534" i="1"/>
  <c r="AD534" i="1" s="1"/>
  <c r="AL518" i="1"/>
  <c r="N518" i="1"/>
  <c r="AD518" i="1" s="1"/>
  <c r="AL502" i="1"/>
  <c r="N502" i="1"/>
  <c r="AD502" i="1" s="1"/>
  <c r="AL545" i="1"/>
  <c r="N545" i="1"/>
  <c r="AD545" i="1" s="1"/>
  <c r="AL529" i="1"/>
  <c r="N529" i="1"/>
  <c r="AD529" i="1" s="1"/>
  <c r="AL513" i="1"/>
  <c r="N513" i="1"/>
  <c r="AD513" i="1" s="1"/>
  <c r="AL497" i="1"/>
  <c r="N497" i="1"/>
  <c r="AD497" i="1" s="1"/>
  <c r="AL563" i="1"/>
  <c r="N563" i="1"/>
  <c r="AD563" i="1" s="1"/>
  <c r="AM550" i="1"/>
  <c r="S550" i="1" s="1"/>
  <c r="R550" i="1"/>
  <c r="AL489" i="1"/>
  <c r="N489" i="1"/>
  <c r="AD489" i="1" s="1"/>
  <c r="AM557" i="1"/>
  <c r="S557" i="1" s="1"/>
  <c r="R557" i="1"/>
  <c r="AM554" i="1"/>
  <c r="S554" i="1" s="1"/>
  <c r="R554" i="1"/>
  <c r="AL498" i="1"/>
  <c r="N498" i="1"/>
  <c r="AD498" i="1" s="1"/>
  <c r="R464" i="1"/>
  <c r="AM464" i="1"/>
  <c r="S464" i="1" s="1"/>
  <c r="R456" i="1"/>
  <c r="AM456" i="1"/>
  <c r="S456" i="1" s="1"/>
  <c r="R448" i="1"/>
  <c r="AM448" i="1"/>
  <c r="S448" i="1" s="1"/>
  <c r="R440" i="1"/>
  <c r="AM440" i="1"/>
  <c r="S440" i="1" s="1"/>
  <c r="R468" i="1"/>
  <c r="AM468" i="1"/>
  <c r="S468" i="1" s="1"/>
  <c r="R460" i="1"/>
  <c r="AM460" i="1"/>
  <c r="S460" i="1" s="1"/>
  <c r="R452" i="1"/>
  <c r="AM452" i="1"/>
  <c r="S452" i="1" s="1"/>
  <c r="R444" i="1"/>
  <c r="AM444" i="1"/>
  <c r="S444" i="1" s="1"/>
  <c r="R436" i="1"/>
  <c r="AM436" i="1"/>
  <c r="S436" i="1" s="1"/>
  <c r="R52" i="1"/>
  <c r="AM52" i="1"/>
  <c r="S52" i="1" s="1"/>
  <c r="R41" i="1"/>
  <c r="AM41" i="1"/>
  <c r="S41" i="1" s="1"/>
  <c r="R68" i="1"/>
  <c r="AM68" i="1"/>
  <c r="S68" i="1" s="1"/>
  <c r="R45" i="1"/>
  <c r="AM45" i="1"/>
  <c r="S45" i="1" s="1"/>
  <c r="R43" i="1"/>
  <c r="AM43" i="1"/>
  <c r="S43" i="1" s="1"/>
  <c r="R73" i="1"/>
  <c r="AM73" i="1"/>
  <c r="S73" i="1" s="1"/>
  <c r="R59" i="1"/>
  <c r="AM59" i="1"/>
  <c r="S59" i="1" s="1"/>
  <c r="R49" i="1"/>
  <c r="AM49" i="1"/>
  <c r="S49" i="1" s="1"/>
  <c r="R37" i="1"/>
  <c r="AM37" i="1"/>
  <c r="S37" i="1" s="1"/>
  <c r="AY75" i="1"/>
  <c r="BA75" i="1"/>
  <c r="AY71" i="1"/>
  <c r="BA71" i="1"/>
  <c r="AD34" i="1"/>
  <c r="AL7" i="1"/>
  <c r="N7" i="1"/>
  <c r="AD7" i="1" s="1"/>
  <c r="AL4" i="1"/>
  <c r="N4" i="1"/>
  <c r="AD4" i="1" s="1"/>
  <c r="R32" i="1"/>
  <c r="AM32" i="1"/>
  <c r="S32" i="1" s="1"/>
  <c r="AY76" i="1"/>
  <c r="AL780" i="1"/>
  <c r="N780" i="1"/>
  <c r="AD780" i="1" s="1"/>
  <c r="AL770" i="1"/>
  <c r="N770" i="1"/>
  <c r="AD770" i="1" s="1"/>
  <c r="AL747" i="1"/>
  <c r="N747" i="1"/>
  <c r="AD747" i="1" s="1"/>
  <c r="AL687" i="1"/>
  <c r="N687" i="1"/>
  <c r="AD687" i="1" s="1"/>
  <c r="AL796" i="1"/>
  <c r="N796" i="1"/>
  <c r="AD796" i="1" s="1"/>
  <c r="AL751" i="1"/>
  <c r="N751" i="1"/>
  <c r="AD751" i="1" s="1"/>
  <c r="AL715" i="1"/>
  <c r="N715" i="1"/>
  <c r="AD715" i="1" s="1"/>
  <c r="R708" i="1"/>
  <c r="AM708" i="1"/>
  <c r="S708" i="1" s="1"/>
  <c r="AL657" i="1"/>
  <c r="N657" i="1"/>
  <c r="AD657" i="1" s="1"/>
  <c r="AL625" i="1"/>
  <c r="N625" i="1"/>
  <c r="AD625" i="1" s="1"/>
  <c r="AD668" i="1"/>
  <c r="R704" i="1"/>
  <c r="AM704" i="1"/>
  <c r="S704" i="1" s="1"/>
  <c r="R688" i="1"/>
  <c r="AM688" i="1"/>
  <c r="S688" i="1" s="1"/>
  <c r="R658" i="1"/>
  <c r="AM658" i="1"/>
  <c r="S658" i="1" s="1"/>
  <c r="R626" i="1"/>
  <c r="AM626" i="1"/>
  <c r="S626" i="1" s="1"/>
  <c r="AL595" i="1"/>
  <c r="N595" i="1"/>
  <c r="AD595" i="1" s="1"/>
  <c r="R646" i="1"/>
  <c r="AM646" i="1"/>
  <c r="S646" i="1" s="1"/>
  <c r="R630" i="1"/>
  <c r="AM630" i="1"/>
  <c r="S630" i="1" s="1"/>
  <c r="AM603" i="1"/>
  <c r="S603" i="1" s="1"/>
  <c r="R603" i="1"/>
  <c r="AL530" i="1"/>
  <c r="N530" i="1"/>
  <c r="AD530" i="1" s="1"/>
  <c r="AL525" i="1"/>
  <c r="N525" i="1"/>
  <c r="AD525" i="1" s="1"/>
  <c r="AL509" i="1"/>
  <c r="N509" i="1"/>
  <c r="AD509" i="1" s="1"/>
  <c r="AL467" i="1"/>
  <c r="N467" i="1"/>
  <c r="AD467" i="1" s="1"/>
  <c r="AL459" i="1"/>
  <c r="N459" i="1"/>
  <c r="AD459" i="1" s="1"/>
  <c r="AL451" i="1"/>
  <c r="N451" i="1"/>
  <c r="AD451" i="1" s="1"/>
  <c r="AL443" i="1"/>
  <c r="N443" i="1"/>
  <c r="AD443" i="1" s="1"/>
  <c r="AL435" i="1"/>
  <c r="N435" i="1"/>
  <c r="AD435" i="1" s="1"/>
  <c r="AM487" i="1"/>
  <c r="S487" i="1" s="1"/>
  <c r="R487" i="1"/>
  <c r="AL471" i="1"/>
  <c r="N471" i="1"/>
  <c r="AD471" i="1" s="1"/>
  <c r="AL463" i="1"/>
  <c r="N463" i="1"/>
  <c r="AD463" i="1" s="1"/>
  <c r="AL455" i="1"/>
  <c r="N455" i="1"/>
  <c r="AD455" i="1" s="1"/>
  <c r="AL447" i="1"/>
  <c r="N447" i="1"/>
  <c r="AD447" i="1" s="1"/>
  <c r="AL439" i="1"/>
  <c r="N439" i="1"/>
  <c r="AD439" i="1" s="1"/>
  <c r="R472" i="1"/>
  <c r="AM472" i="1"/>
  <c r="S472" i="1" s="1"/>
  <c r="R72" i="1"/>
  <c r="AM72" i="1"/>
  <c r="S72" i="1" s="1"/>
  <c r="R46" i="1"/>
  <c r="AM46" i="1"/>
  <c r="S46" i="1" s="1"/>
  <c r="R85" i="1"/>
  <c r="AM85" i="1"/>
  <c r="S85" i="1" s="1"/>
  <c r="AL36" i="1"/>
  <c r="N36" i="1"/>
  <c r="AD36" i="1" s="1"/>
  <c r="AL29" i="1"/>
  <c r="N29" i="1"/>
  <c r="AD29" i="1" s="1"/>
  <c r="BC80" i="1"/>
  <c r="BD68" i="1"/>
  <c r="BC75" i="1"/>
  <c r="BE75" i="1"/>
  <c r="BC71" i="1"/>
  <c r="BE71" i="1"/>
  <c r="R34" i="1"/>
  <c r="AM34" i="1"/>
  <c r="S34" i="1" s="1"/>
  <c r="AW78" i="1"/>
  <c r="BF78" i="1" s="1"/>
  <c r="BH78" i="1" s="1"/>
  <c r="AL9" i="1"/>
  <c r="N9" i="1"/>
  <c r="AD9" i="1" s="1"/>
  <c r="AW77" i="1"/>
  <c r="BC77" i="1" s="1"/>
  <c r="BC76" i="1"/>
  <c r="BB72" i="1"/>
  <c r="AZ72" i="1"/>
  <c r="BC68" i="1"/>
  <c r="AL791" i="1"/>
  <c r="N791" i="1"/>
  <c r="AD791" i="1" s="1"/>
  <c r="AL792" i="1"/>
  <c r="N792" i="1"/>
  <c r="AD792" i="1" s="1"/>
  <c r="R762" i="1"/>
  <c r="AM762" i="1"/>
  <c r="S762" i="1" s="1"/>
  <c r="R728" i="1"/>
  <c r="AM728" i="1"/>
  <c r="S728" i="1" s="1"/>
  <c r="AL671" i="1"/>
  <c r="N671" i="1"/>
  <c r="AD671" i="1" s="1"/>
  <c r="AL787" i="1"/>
  <c r="N787" i="1"/>
  <c r="AD787" i="1" s="1"/>
  <c r="AL761" i="1"/>
  <c r="N761" i="1"/>
  <c r="AD761" i="1" s="1"/>
  <c r="AL683" i="1"/>
  <c r="N683" i="1"/>
  <c r="AD683" i="1" s="1"/>
  <c r="AL641" i="1"/>
  <c r="N641" i="1"/>
  <c r="AD641" i="1" s="1"/>
  <c r="R650" i="1"/>
  <c r="AM650" i="1"/>
  <c r="S650" i="1" s="1"/>
  <c r="R634" i="1"/>
  <c r="AM634" i="1"/>
  <c r="S634" i="1" s="1"/>
  <c r="R618" i="1"/>
  <c r="AM618" i="1"/>
  <c r="S618" i="1" s="1"/>
  <c r="R642" i="1"/>
  <c r="AM642" i="1"/>
  <c r="S642" i="1" s="1"/>
  <c r="AL579" i="1"/>
  <c r="N579" i="1"/>
  <c r="AD579" i="1" s="1"/>
  <c r="AL609" i="1"/>
  <c r="N609" i="1"/>
  <c r="AD609" i="1" s="1"/>
  <c r="AL546" i="1"/>
  <c r="N546" i="1"/>
  <c r="AD546" i="1" s="1"/>
  <c r="AL514" i="1"/>
  <c r="N514" i="1"/>
  <c r="AD514" i="1" s="1"/>
  <c r="AL541" i="1"/>
  <c r="N541" i="1"/>
  <c r="AD541" i="1" s="1"/>
  <c r="AL493" i="1"/>
  <c r="N493" i="1"/>
  <c r="AD493" i="1" s="1"/>
  <c r="AD557" i="1"/>
  <c r="AL783" i="1"/>
  <c r="N783" i="1"/>
  <c r="AD783" i="1" s="1"/>
  <c r="R775" i="1"/>
  <c r="AM775" i="1"/>
  <c r="S775" i="1" s="1"/>
  <c r="AL778" i="1"/>
  <c r="N778" i="1"/>
  <c r="AD778" i="1" s="1"/>
  <c r="AD771" i="1"/>
  <c r="AL767" i="1"/>
  <c r="N767" i="1"/>
  <c r="AD767" i="1" s="1"/>
  <c r="R732" i="1"/>
  <c r="AM732" i="1"/>
  <c r="S732" i="1" s="1"/>
  <c r="AL757" i="1"/>
  <c r="N757" i="1"/>
  <c r="AD757" i="1" s="1"/>
  <c r="AL711" i="1"/>
  <c r="N711" i="1"/>
  <c r="AD711" i="1" s="1"/>
  <c r="R736" i="1"/>
  <c r="AM736" i="1"/>
  <c r="S736" i="1" s="1"/>
  <c r="R724" i="1"/>
  <c r="AM724" i="1"/>
  <c r="S724" i="1" s="1"/>
  <c r="AM716" i="1"/>
  <c r="S716" i="1" s="1"/>
  <c r="R716" i="1"/>
  <c r="AL695" i="1"/>
  <c r="N695" i="1"/>
  <c r="AD695" i="1" s="1"/>
  <c r="AL679" i="1"/>
  <c r="N679" i="1"/>
  <c r="AD679" i="1" s="1"/>
  <c r="AM712" i="1"/>
  <c r="S712" i="1" s="1"/>
  <c r="R712" i="1"/>
  <c r="AL663" i="1"/>
  <c r="N663" i="1"/>
  <c r="AD663" i="1" s="1"/>
  <c r="AL653" i="1"/>
  <c r="N653" i="1"/>
  <c r="AD653" i="1" s="1"/>
  <c r="AL637" i="1"/>
  <c r="N637" i="1"/>
  <c r="AD637" i="1" s="1"/>
  <c r="AL621" i="1"/>
  <c r="N621" i="1"/>
  <c r="AD621" i="1" s="1"/>
  <c r="R700" i="1"/>
  <c r="AM700" i="1"/>
  <c r="S700" i="1" s="1"/>
  <c r="R668" i="1"/>
  <c r="AM668" i="1"/>
  <c r="S668" i="1" s="1"/>
  <c r="AD664" i="1"/>
  <c r="R610" i="1"/>
  <c r="AM610" i="1"/>
  <c r="S610" i="1" s="1"/>
  <c r="AL591" i="1"/>
  <c r="N591" i="1"/>
  <c r="AD591" i="1" s="1"/>
  <c r="AL575" i="1"/>
  <c r="N575" i="1"/>
  <c r="AD575" i="1" s="1"/>
  <c r="R564" i="1"/>
  <c r="AM564" i="1"/>
  <c r="S564" i="1" s="1"/>
  <c r="AL542" i="1"/>
  <c r="N542" i="1"/>
  <c r="AD542" i="1" s="1"/>
  <c r="AL526" i="1"/>
  <c r="N526" i="1"/>
  <c r="AD526" i="1" s="1"/>
  <c r="AL510" i="1"/>
  <c r="N510" i="1"/>
  <c r="AD510" i="1" s="1"/>
  <c r="AL553" i="1"/>
  <c r="N553" i="1"/>
  <c r="AD553" i="1" s="1"/>
  <c r="AL537" i="1"/>
  <c r="N537" i="1"/>
  <c r="AD537" i="1" s="1"/>
  <c r="AL521" i="1"/>
  <c r="N521" i="1"/>
  <c r="AD521" i="1" s="1"/>
  <c r="AL505" i="1"/>
  <c r="N505" i="1"/>
  <c r="AD505" i="1" s="1"/>
  <c r="AD560" i="1"/>
  <c r="AD486" i="1"/>
  <c r="AL481" i="1"/>
  <c r="N481" i="1"/>
  <c r="AD481" i="1" s="1"/>
  <c r="AL490" i="1"/>
  <c r="N490" i="1"/>
  <c r="AD490" i="1" s="1"/>
  <c r="AM484" i="1"/>
  <c r="S484" i="1" s="1"/>
  <c r="R484" i="1"/>
  <c r="AL485" i="1"/>
  <c r="N485" i="1"/>
  <c r="AD485" i="1" s="1"/>
  <c r="R69" i="1"/>
  <c r="AM69" i="1"/>
  <c r="S69" i="1" s="1"/>
  <c r="R55" i="1"/>
  <c r="AM55" i="1"/>
  <c r="S55" i="1" s="1"/>
  <c r="R77" i="1"/>
  <c r="AM77" i="1"/>
  <c r="S77" i="1" s="1"/>
  <c r="R63" i="1"/>
  <c r="AM63" i="1"/>
  <c r="S63" i="1" s="1"/>
  <c r="R48" i="1"/>
  <c r="AM48" i="1"/>
  <c r="S48" i="1" s="1"/>
  <c r="R125" i="1"/>
  <c r="AM125" i="1"/>
  <c r="S125" i="1" s="1"/>
  <c r="R123" i="1"/>
  <c r="AM123" i="1"/>
  <c r="S123" i="1" s="1"/>
  <c r="R119" i="1"/>
  <c r="AM119" i="1"/>
  <c r="S119" i="1" s="1"/>
  <c r="R117" i="1"/>
  <c r="AM117" i="1"/>
  <c r="S117" i="1" s="1"/>
  <c r="R115" i="1"/>
  <c r="AM115" i="1"/>
  <c r="S115" i="1" s="1"/>
  <c r="R113" i="1"/>
  <c r="AM113" i="1"/>
  <c r="S113" i="1" s="1"/>
  <c r="R111" i="1"/>
  <c r="AM111" i="1"/>
  <c r="S111" i="1" s="1"/>
  <c r="R109" i="1"/>
  <c r="AM109" i="1"/>
  <c r="S109" i="1" s="1"/>
  <c r="R107" i="1"/>
  <c r="AM107" i="1"/>
  <c r="S107" i="1" s="1"/>
  <c r="R105" i="1"/>
  <c r="AM105" i="1"/>
  <c r="S105" i="1" s="1"/>
  <c r="R103" i="1"/>
  <c r="AM103" i="1"/>
  <c r="S103" i="1" s="1"/>
  <c r="R101" i="1"/>
  <c r="AM101" i="1"/>
  <c r="S101" i="1" s="1"/>
  <c r="R99" i="1"/>
  <c r="AM99" i="1"/>
  <c r="S99" i="1" s="1"/>
  <c r="R97" i="1"/>
  <c r="AM97" i="1"/>
  <c r="S97" i="1" s="1"/>
  <c r="R95" i="1"/>
  <c r="AM95" i="1"/>
  <c r="S95" i="1" s="1"/>
  <c r="R93" i="1"/>
  <c r="AM93" i="1"/>
  <c r="S93" i="1" s="1"/>
  <c r="R91" i="1"/>
  <c r="AM91" i="1"/>
  <c r="S91" i="1" s="1"/>
  <c r="R89" i="1"/>
  <c r="AM89" i="1"/>
  <c r="S89" i="1" s="1"/>
  <c r="R86" i="1"/>
  <c r="AM86" i="1"/>
  <c r="S86" i="1" s="1"/>
  <c r="R56" i="1"/>
  <c r="AM56" i="1"/>
  <c r="S56" i="1" s="1"/>
  <c r="BB80" i="1"/>
  <c r="AZ80" i="1"/>
  <c r="BB68" i="1"/>
  <c r="AL33" i="1"/>
  <c r="N33" i="1"/>
  <c r="AD33" i="1" s="1"/>
  <c r="R22" i="1"/>
  <c r="AM22" i="1"/>
  <c r="S22" i="1" s="1"/>
  <c r="BC79" i="1"/>
  <c r="BB75" i="1"/>
  <c r="AZ75" i="1"/>
  <c r="BB71" i="1"/>
  <c r="AZ71" i="1"/>
  <c r="AY67" i="1"/>
  <c r="AL16" i="1"/>
  <c r="N16" i="1"/>
  <c r="AD16" i="1" s="1"/>
  <c r="AL11" i="1"/>
  <c r="N11" i="1"/>
  <c r="AD11" i="1" s="1"/>
  <c r="AL10" i="1"/>
  <c r="N10" i="1"/>
  <c r="AD10" i="1" s="1"/>
  <c r="AD752" i="1"/>
  <c r="AL15" i="1"/>
  <c r="N15" i="1"/>
  <c r="AD15" i="1" s="1"/>
  <c r="AW69" i="1"/>
  <c r="BE69" i="1" s="1"/>
  <c r="BB76" i="1"/>
  <c r="AZ76" i="1"/>
  <c r="BA72" i="1"/>
  <c r="BF72" i="1"/>
  <c r="BH72" i="1" s="1"/>
  <c r="BD72" i="1"/>
  <c r="AL774" i="1"/>
  <c r="N774" i="1"/>
  <c r="AD774" i="1" s="1"/>
  <c r="AL731" i="1"/>
  <c r="N731" i="1"/>
  <c r="AD731" i="1" s="1"/>
  <c r="R758" i="1"/>
  <c r="AM758" i="1"/>
  <c r="S758" i="1" s="1"/>
  <c r="AL735" i="1"/>
  <c r="N735" i="1"/>
  <c r="AD735" i="1" s="1"/>
  <c r="N725" i="1"/>
  <c r="AD725" i="1" s="1"/>
  <c r="AL725" i="1"/>
  <c r="AL699" i="1"/>
  <c r="N699" i="1"/>
  <c r="AD699" i="1" s="1"/>
  <c r="AL680" i="1"/>
  <c r="N680" i="1"/>
  <c r="AD680" i="1" s="1"/>
  <c r="AL795" i="1"/>
  <c r="N795" i="1"/>
  <c r="AD795" i="1" s="1"/>
  <c r="AL788" i="1"/>
  <c r="N788" i="1"/>
  <c r="AD788" i="1" s="1"/>
  <c r="R771" i="1"/>
  <c r="AM771" i="1"/>
  <c r="S771" i="1" s="1"/>
  <c r="AL784" i="1"/>
  <c r="N784" i="1"/>
  <c r="AD784" i="1" s="1"/>
  <c r="R753" i="1"/>
  <c r="AM753" i="1"/>
  <c r="S753" i="1" s="1"/>
  <c r="AM759" i="1"/>
  <c r="S759" i="1" s="1"/>
  <c r="R759" i="1"/>
  <c r="AM754" i="1"/>
  <c r="S754" i="1" s="1"/>
  <c r="R754" i="1"/>
  <c r="AL739" i="1"/>
  <c r="N739" i="1"/>
  <c r="AD739" i="1" s="1"/>
  <c r="R740" i="1"/>
  <c r="AM740" i="1"/>
  <c r="S740" i="1" s="1"/>
  <c r="AL743" i="1"/>
  <c r="N743" i="1"/>
  <c r="AD743" i="1" s="1"/>
  <c r="AL691" i="1"/>
  <c r="N691" i="1"/>
  <c r="AD691" i="1" s="1"/>
  <c r="AL675" i="1"/>
  <c r="N675" i="1"/>
  <c r="AD675" i="1" s="1"/>
  <c r="AD721" i="1"/>
  <c r="R692" i="1"/>
  <c r="AM692" i="1"/>
  <c r="S692" i="1" s="1"/>
  <c r="AL672" i="1"/>
  <c r="N672" i="1"/>
  <c r="AD672" i="1" s="1"/>
  <c r="R696" i="1"/>
  <c r="AM696" i="1"/>
  <c r="S696" i="1" s="1"/>
  <c r="AL649" i="1"/>
  <c r="N649" i="1"/>
  <c r="AD649" i="1" s="1"/>
  <c r="AL633" i="1"/>
  <c r="N633" i="1"/>
  <c r="AD633" i="1" s="1"/>
  <c r="AL617" i="1"/>
  <c r="N617" i="1"/>
  <c r="AD617" i="1" s="1"/>
  <c r="R664" i="1"/>
  <c r="AM664" i="1"/>
  <c r="S664" i="1" s="1"/>
  <c r="R614" i="1"/>
  <c r="AM614" i="1"/>
  <c r="S614" i="1" s="1"/>
  <c r="AL613" i="1"/>
  <c r="N613" i="1"/>
  <c r="AD613" i="1" s="1"/>
  <c r="AL587" i="1"/>
  <c r="N587" i="1"/>
  <c r="AD587" i="1" s="1"/>
  <c r="AL571" i="1"/>
  <c r="N571" i="1"/>
  <c r="AD571" i="1" s="1"/>
  <c r="R602" i="1"/>
  <c r="AM602" i="1"/>
  <c r="S602" i="1" s="1"/>
  <c r="AL567" i="1"/>
  <c r="N567" i="1"/>
  <c r="AD567" i="1" s="1"/>
  <c r="AL559" i="1"/>
  <c r="N559" i="1"/>
  <c r="AD559" i="1" s="1"/>
  <c r="AL538" i="1"/>
  <c r="N538" i="1"/>
  <c r="AD538" i="1" s="1"/>
  <c r="AL522" i="1"/>
  <c r="N522" i="1"/>
  <c r="AD522" i="1" s="1"/>
  <c r="AL506" i="1"/>
  <c r="N506" i="1"/>
  <c r="AD506" i="1" s="1"/>
  <c r="AL549" i="1"/>
  <c r="N549" i="1"/>
  <c r="AD549" i="1" s="1"/>
  <c r="AL533" i="1"/>
  <c r="N533" i="1"/>
  <c r="AD533" i="1" s="1"/>
  <c r="AL517" i="1"/>
  <c r="N517" i="1"/>
  <c r="AD517" i="1" s="1"/>
  <c r="AL501" i="1"/>
  <c r="N501" i="1"/>
  <c r="AD501" i="1" s="1"/>
  <c r="R568" i="1"/>
  <c r="AM568" i="1"/>
  <c r="S568" i="1" s="1"/>
  <c r="R560" i="1"/>
  <c r="AM560" i="1"/>
  <c r="S560" i="1" s="1"/>
  <c r="R486" i="1"/>
  <c r="AM486" i="1"/>
  <c r="S486" i="1" s="1"/>
  <c r="R478" i="1"/>
  <c r="AM478" i="1"/>
  <c r="S478" i="1" s="1"/>
  <c r="AL494" i="1"/>
  <c r="N494" i="1"/>
  <c r="AD494" i="1" s="1"/>
  <c r="AL477" i="1"/>
  <c r="N477" i="1"/>
  <c r="AD477" i="1" s="1"/>
  <c r="R66" i="1"/>
  <c r="AM66" i="1"/>
  <c r="S66" i="1" s="1"/>
  <c r="R75" i="1"/>
  <c r="AM75" i="1"/>
  <c r="S75" i="1" s="1"/>
  <c r="R61" i="1"/>
  <c r="AM61" i="1"/>
  <c r="S61" i="1" s="1"/>
  <c r="R40" i="1"/>
  <c r="AM40" i="1"/>
  <c r="S40" i="1" s="1"/>
  <c r="R65" i="1"/>
  <c r="AM65" i="1"/>
  <c r="S65" i="1" s="1"/>
  <c r="R50" i="1"/>
  <c r="AM50" i="1"/>
  <c r="S50" i="1" s="1"/>
  <c r="AL35" i="1"/>
  <c r="N35" i="1"/>
  <c r="AD35" i="1" s="1"/>
  <c r="AD37" i="1"/>
  <c r="AL26" i="1"/>
  <c r="N26" i="1"/>
  <c r="AD26" i="1" s="1"/>
  <c r="AL25" i="1"/>
  <c r="N25" i="1"/>
  <c r="AD25" i="1" s="1"/>
  <c r="BA80" i="1"/>
  <c r="BF80" i="1"/>
  <c r="BH80" i="1" s="1"/>
  <c r="BA68" i="1"/>
  <c r="BF75" i="1"/>
  <c r="BH75" i="1" s="1"/>
  <c r="BF71" i="1"/>
  <c r="BH71" i="1" s="1"/>
  <c r="AW74" i="1"/>
  <c r="BE74" i="1" s="1"/>
  <c r="AW70" i="1"/>
  <c r="BB70" i="1" s="1"/>
  <c r="AW66" i="1"/>
  <c r="BF66" i="1" s="1"/>
  <c r="BH66" i="1" s="1"/>
  <c r="AD32" i="1"/>
  <c r="AW73" i="1"/>
  <c r="BB73" i="1" s="1"/>
  <c r="AW65" i="1"/>
  <c r="BC65" i="1" s="1"/>
  <c r="BA76" i="1"/>
  <c r="BF76" i="1"/>
  <c r="BH76" i="1" s="1"/>
  <c r="BE72" i="1"/>
  <c r="R64" i="1" l="1"/>
  <c r="AM67" i="1"/>
  <c r="S67" i="1" s="1"/>
  <c r="R785" i="1"/>
  <c r="AM720" i="1"/>
  <c r="S720" i="1" s="1"/>
  <c r="AM748" i="1"/>
  <c r="S748" i="1" s="1"/>
  <c r="AM79" i="1"/>
  <c r="S79" i="1" s="1"/>
  <c r="R82" i="1"/>
  <c r="AM535" i="1"/>
  <c r="S535" i="1" s="1"/>
  <c r="R768" i="1"/>
  <c r="R555" i="1"/>
  <c r="R479" i="1"/>
  <c r="AM581" i="1"/>
  <c r="S581" i="1" s="1"/>
  <c r="R482" i="1"/>
  <c r="AM84" i="1"/>
  <c r="S84" i="1" s="1"/>
  <c r="R647" i="1"/>
  <c r="R572" i="1"/>
  <c r="AM556" i="1"/>
  <c r="S556" i="1" s="1"/>
  <c r="AM70" i="1"/>
  <c r="S70" i="1" s="1"/>
  <c r="AM465" i="1"/>
  <c r="S465" i="1" s="1"/>
  <c r="R465" i="1"/>
  <c r="R752" i="1"/>
  <c r="AM543" i="1"/>
  <c r="S543" i="1" s="1"/>
  <c r="R611" i="1"/>
  <c r="BC72" i="1"/>
  <c r="AM654" i="1"/>
  <c r="S654" i="1" s="1"/>
  <c r="R592" i="1"/>
  <c r="AM592" i="1"/>
  <c r="S592" i="1" s="1"/>
  <c r="R58" i="1"/>
  <c r="R772" i="1"/>
  <c r="R44" i="1"/>
  <c r="AZ78" i="1"/>
  <c r="AM474" i="1"/>
  <c r="S474" i="1" s="1"/>
  <c r="R474" i="1"/>
  <c r="R764" i="1"/>
  <c r="AM764" i="1"/>
  <c r="S764" i="1" s="1"/>
  <c r="R88" i="1"/>
  <c r="AM88" i="1"/>
  <c r="S88" i="1" s="1"/>
  <c r="AM83" i="1"/>
  <c r="S83" i="1" s="1"/>
  <c r="R83" i="1"/>
  <c r="R670" i="1"/>
  <c r="AM670" i="1"/>
  <c r="S670" i="1" s="1"/>
  <c r="R797" i="1"/>
  <c r="AM797" i="1"/>
  <c r="S797" i="1" s="1"/>
  <c r="R112" i="1"/>
  <c r="AM112" i="1"/>
  <c r="S112" i="1" s="1"/>
  <c r="R539" i="1"/>
  <c r="AM539" i="1"/>
  <c r="S539" i="1" s="1"/>
  <c r="R547" i="1"/>
  <c r="AM547" i="1"/>
  <c r="S547" i="1" s="1"/>
  <c r="R718" i="1"/>
  <c r="AM718" i="1"/>
  <c r="S718" i="1" s="1"/>
  <c r="AM782" i="1"/>
  <c r="S782" i="1" s="1"/>
  <c r="R782" i="1"/>
  <c r="R562" i="1"/>
  <c r="AM562" i="1"/>
  <c r="S562" i="1" s="1"/>
  <c r="AM608" i="1"/>
  <c r="S608" i="1" s="1"/>
  <c r="R608" i="1"/>
  <c r="R623" i="1"/>
  <c r="AM623" i="1"/>
  <c r="S623" i="1" s="1"/>
  <c r="R512" i="1"/>
  <c r="AM512" i="1"/>
  <c r="S512" i="1" s="1"/>
  <c r="AM454" i="1"/>
  <c r="S454" i="1" s="1"/>
  <c r="R454" i="1"/>
  <c r="AM734" i="1"/>
  <c r="S734" i="1" s="1"/>
  <c r="R734" i="1"/>
  <c r="R665" i="1"/>
  <c r="AM665" i="1"/>
  <c r="S665" i="1" s="1"/>
  <c r="AM437" i="1"/>
  <c r="S437" i="1" s="1"/>
  <c r="R437" i="1"/>
  <c r="AM453" i="1"/>
  <c r="S453" i="1" s="1"/>
  <c r="R453" i="1"/>
  <c r="AM520" i="1"/>
  <c r="S520" i="1" s="1"/>
  <c r="R520" i="1"/>
  <c r="R697" i="1"/>
  <c r="AM697" i="1"/>
  <c r="S697" i="1" s="1"/>
  <c r="AM458" i="1"/>
  <c r="S458" i="1" s="1"/>
  <c r="R458" i="1"/>
  <c r="AM473" i="1"/>
  <c r="S473" i="1" s="1"/>
  <c r="R473" i="1"/>
  <c r="R793" i="1"/>
  <c r="AM793" i="1"/>
  <c r="S793" i="1" s="1"/>
  <c r="R702" i="1"/>
  <c r="AM702" i="1"/>
  <c r="S702" i="1" s="1"/>
  <c r="AM666" i="1"/>
  <c r="S666" i="1" s="1"/>
  <c r="R666" i="1"/>
  <c r="R21" i="1"/>
  <c r="AM21" i="1"/>
  <c r="S21" i="1" s="1"/>
  <c r="R462" i="1"/>
  <c r="AM462" i="1"/>
  <c r="S462" i="1" s="1"/>
  <c r="AM528" i="1"/>
  <c r="S528" i="1" s="1"/>
  <c r="R528" i="1"/>
  <c r="AM749" i="1"/>
  <c r="S749" i="1" s="1"/>
  <c r="R749" i="1"/>
  <c r="AM480" i="1"/>
  <c r="S480" i="1" s="1"/>
  <c r="R480" i="1"/>
  <c r="AM42" i="1"/>
  <c r="S42" i="1" s="1"/>
  <c r="AM470" i="1"/>
  <c r="S470" i="1" s="1"/>
  <c r="R470" i="1"/>
  <c r="R655" i="1"/>
  <c r="AM655" i="1"/>
  <c r="S655" i="1" s="1"/>
  <c r="AM686" i="1"/>
  <c r="S686" i="1" s="1"/>
  <c r="R686" i="1"/>
  <c r="AM639" i="1"/>
  <c r="S639" i="1" s="1"/>
  <c r="R639" i="1"/>
  <c r="R507" i="1"/>
  <c r="AM507" i="1"/>
  <c r="S507" i="1" s="1"/>
  <c r="AM515" i="1"/>
  <c r="S515" i="1" s="1"/>
  <c r="R515" i="1"/>
  <c r="AM742" i="1"/>
  <c r="S742" i="1" s="1"/>
  <c r="R742" i="1"/>
  <c r="R495" i="1"/>
  <c r="AM495" i="1"/>
  <c r="S495" i="1" s="1"/>
  <c r="AM544" i="1"/>
  <c r="S544" i="1" s="1"/>
  <c r="R544" i="1"/>
  <c r="R713" i="1"/>
  <c r="AM713" i="1"/>
  <c r="S713" i="1" s="1"/>
  <c r="R628" i="1"/>
  <c r="AM628" i="1"/>
  <c r="S628" i="1" s="1"/>
  <c r="AM644" i="1"/>
  <c r="S644" i="1" s="1"/>
  <c r="R644" i="1"/>
  <c r="R536" i="1"/>
  <c r="AM536" i="1"/>
  <c r="S536" i="1" s="1"/>
  <c r="R710" i="1"/>
  <c r="AM710" i="1"/>
  <c r="S710" i="1" s="1"/>
  <c r="AM722" i="1"/>
  <c r="S722" i="1" s="1"/>
  <c r="R722" i="1"/>
  <c r="AM566" i="1"/>
  <c r="S566" i="1" s="1"/>
  <c r="R566" i="1"/>
  <c r="AM492" i="1"/>
  <c r="S492" i="1" s="1"/>
  <c r="R492" i="1"/>
  <c r="AM723" i="1"/>
  <c r="S723" i="1" s="1"/>
  <c r="R723" i="1"/>
  <c r="R531" i="1"/>
  <c r="AM531" i="1"/>
  <c r="S531" i="1" s="1"/>
  <c r="AM504" i="1"/>
  <c r="S504" i="1" s="1"/>
  <c r="R504" i="1"/>
  <c r="AM81" i="1"/>
  <c r="S81" i="1" s="1"/>
  <c r="R81" i="1"/>
  <c r="AM552" i="1"/>
  <c r="S552" i="1" s="1"/>
  <c r="R552" i="1"/>
  <c r="AM450" i="1"/>
  <c r="S450" i="1" s="1"/>
  <c r="R450" i="1"/>
  <c r="AM669" i="1"/>
  <c r="S669" i="1" s="1"/>
  <c r="R669" i="1"/>
  <c r="AM706" i="1"/>
  <c r="S706" i="1" s="1"/>
  <c r="R706" i="1"/>
  <c r="AM466" i="1"/>
  <c r="S466" i="1" s="1"/>
  <c r="R466" i="1"/>
  <c r="AM660" i="1"/>
  <c r="S660" i="1" s="1"/>
  <c r="R660" i="1"/>
  <c r="AM786" i="1"/>
  <c r="S786" i="1" s="1"/>
  <c r="R786" i="1"/>
  <c r="R523" i="1"/>
  <c r="AM523" i="1"/>
  <c r="S523" i="1" s="1"/>
  <c r="R499" i="1"/>
  <c r="AM499" i="1"/>
  <c r="S499" i="1" s="1"/>
  <c r="AZ77" i="1"/>
  <c r="BE78" i="1"/>
  <c r="BA77" i="1"/>
  <c r="R5" i="1"/>
  <c r="AM5" i="1"/>
  <c r="S5" i="1" s="1"/>
  <c r="BC78" i="1"/>
  <c r="BF73" i="1"/>
  <c r="BH73" i="1" s="1"/>
  <c r="AM19" i="1"/>
  <c r="S19" i="1" s="1"/>
  <c r="R19" i="1"/>
  <c r="BE66" i="1"/>
  <c r="BC66" i="1"/>
  <c r="BD78" i="1"/>
  <c r="BB78" i="1"/>
  <c r="BD66" i="1"/>
  <c r="AY78" i="1"/>
  <c r="BA78" i="1"/>
  <c r="BF74" i="1"/>
  <c r="BH74" i="1" s="1"/>
  <c r="R23" i="1"/>
  <c r="AM23" i="1"/>
  <c r="S23" i="1" s="1"/>
  <c r="R18" i="1"/>
  <c r="AM18" i="1"/>
  <c r="S18" i="1" s="1"/>
  <c r="AY74" i="1"/>
  <c r="BA73" i="1"/>
  <c r="AY66" i="1"/>
  <c r="BB66" i="1"/>
  <c r="AZ74" i="1"/>
  <c r="BF77" i="1"/>
  <c r="BH77" i="1" s="1"/>
  <c r="R24" i="1"/>
  <c r="AM24" i="1"/>
  <c r="S24" i="1" s="1"/>
  <c r="AY70" i="1"/>
  <c r="BA74" i="1"/>
  <c r="AM27" i="1"/>
  <c r="S27" i="1" s="1"/>
  <c r="R27" i="1"/>
  <c r="BF65" i="1"/>
  <c r="BH65" i="1" s="1"/>
  <c r="AZ69" i="1"/>
  <c r="BA65" i="1"/>
  <c r="AY65" i="1"/>
  <c r="AZ65" i="1"/>
  <c r="BA70" i="1"/>
  <c r="BF70" i="1"/>
  <c r="BH70" i="1" s="1"/>
  <c r="BD74" i="1"/>
  <c r="BB74" i="1"/>
  <c r="BA69" i="1"/>
  <c r="BD77" i="1"/>
  <c r="BB77" i="1"/>
  <c r="AM14" i="1"/>
  <c r="S14" i="1" s="1"/>
  <c r="R14" i="1"/>
  <c r="AM31" i="1"/>
  <c r="S31" i="1" s="1"/>
  <c r="R31" i="1"/>
  <c r="AY69" i="1"/>
  <c r="BB65" i="1"/>
  <c r="BE65" i="1"/>
  <c r="AZ73" i="1"/>
  <c r="AZ70" i="1"/>
  <c r="BC74" i="1"/>
  <c r="BB69" i="1"/>
  <c r="BE77" i="1"/>
  <c r="AY77" i="1"/>
  <c r="AM38" i="1"/>
  <c r="S38" i="1" s="1"/>
  <c r="R38" i="1"/>
  <c r="AM35" i="1"/>
  <c r="S35" i="1" s="1"/>
  <c r="R35" i="1"/>
  <c r="AM494" i="1"/>
  <c r="S494" i="1" s="1"/>
  <c r="R494" i="1"/>
  <c r="AM517" i="1"/>
  <c r="S517" i="1" s="1"/>
  <c r="R517" i="1"/>
  <c r="AM549" i="1"/>
  <c r="S549" i="1" s="1"/>
  <c r="R549" i="1"/>
  <c r="AM522" i="1"/>
  <c r="S522" i="1" s="1"/>
  <c r="R522" i="1"/>
  <c r="AM559" i="1"/>
  <c r="S559" i="1" s="1"/>
  <c r="R559" i="1"/>
  <c r="AM571" i="1"/>
  <c r="S571" i="1" s="1"/>
  <c r="R571" i="1"/>
  <c r="AM613" i="1"/>
  <c r="S613" i="1" s="1"/>
  <c r="R613" i="1"/>
  <c r="AM633" i="1"/>
  <c r="S633" i="1" s="1"/>
  <c r="R633" i="1"/>
  <c r="AM637" i="1"/>
  <c r="S637" i="1" s="1"/>
  <c r="R637" i="1"/>
  <c r="AM663" i="1"/>
  <c r="S663" i="1" s="1"/>
  <c r="R663" i="1"/>
  <c r="AM679" i="1"/>
  <c r="S679" i="1" s="1"/>
  <c r="R679" i="1"/>
  <c r="AM757" i="1"/>
  <c r="S757" i="1" s="1"/>
  <c r="R757" i="1"/>
  <c r="R767" i="1"/>
  <c r="AM767" i="1"/>
  <c r="S767" i="1" s="1"/>
  <c r="AM493" i="1"/>
  <c r="S493" i="1" s="1"/>
  <c r="R493" i="1"/>
  <c r="AM514" i="1"/>
  <c r="S514" i="1" s="1"/>
  <c r="R514" i="1"/>
  <c r="AM609" i="1"/>
  <c r="S609" i="1" s="1"/>
  <c r="R609" i="1"/>
  <c r="AM641" i="1"/>
  <c r="S641" i="1" s="1"/>
  <c r="R641" i="1"/>
  <c r="AM787" i="1"/>
  <c r="S787" i="1" s="1"/>
  <c r="R787" i="1"/>
  <c r="R792" i="1"/>
  <c r="AM792" i="1"/>
  <c r="S792" i="1" s="1"/>
  <c r="AM625" i="1"/>
  <c r="S625" i="1" s="1"/>
  <c r="R625" i="1"/>
  <c r="AM751" i="1"/>
  <c r="S751" i="1" s="1"/>
  <c r="R751" i="1"/>
  <c r="AM687" i="1"/>
  <c r="S687" i="1" s="1"/>
  <c r="R687" i="1"/>
  <c r="AM770" i="1"/>
  <c r="S770" i="1" s="1"/>
  <c r="R770" i="1"/>
  <c r="BE73" i="1"/>
  <c r="AY73" i="1"/>
  <c r="BE70" i="1"/>
  <c r="BD70" i="1"/>
  <c r="AM691" i="1"/>
  <c r="S691" i="1" s="1"/>
  <c r="R691" i="1"/>
  <c r="AM795" i="1"/>
  <c r="S795" i="1" s="1"/>
  <c r="R795" i="1"/>
  <c r="AM699" i="1"/>
  <c r="S699" i="1" s="1"/>
  <c r="R699" i="1"/>
  <c r="AM735" i="1"/>
  <c r="S735" i="1" s="1"/>
  <c r="R735" i="1"/>
  <c r="AM731" i="1"/>
  <c r="S731" i="1" s="1"/>
  <c r="R731" i="1"/>
  <c r="BD69" i="1"/>
  <c r="BC69" i="1"/>
  <c r="AM15" i="1"/>
  <c r="S15" i="1" s="1"/>
  <c r="R15" i="1"/>
  <c r="AM11" i="1"/>
  <c r="S11" i="1" s="1"/>
  <c r="R11" i="1"/>
  <c r="AM33" i="1"/>
  <c r="S33" i="1" s="1"/>
  <c r="R33" i="1"/>
  <c r="AM485" i="1"/>
  <c r="S485" i="1" s="1"/>
  <c r="R485" i="1"/>
  <c r="R490" i="1"/>
  <c r="AM490" i="1"/>
  <c r="S490" i="1" s="1"/>
  <c r="AM481" i="1"/>
  <c r="S481" i="1" s="1"/>
  <c r="R481" i="1"/>
  <c r="AM521" i="1"/>
  <c r="S521" i="1" s="1"/>
  <c r="R521" i="1"/>
  <c r="AM553" i="1"/>
  <c r="S553" i="1" s="1"/>
  <c r="R553" i="1"/>
  <c r="AM526" i="1"/>
  <c r="S526" i="1" s="1"/>
  <c r="R526" i="1"/>
  <c r="AM591" i="1"/>
  <c r="S591" i="1" s="1"/>
  <c r="R591" i="1"/>
  <c r="AM778" i="1"/>
  <c r="S778" i="1" s="1"/>
  <c r="R778" i="1"/>
  <c r="AM9" i="1"/>
  <c r="S9" i="1" s="1"/>
  <c r="R9" i="1"/>
  <c r="AM29" i="1"/>
  <c r="S29" i="1" s="1"/>
  <c r="R29" i="1"/>
  <c r="AM447" i="1"/>
  <c r="S447" i="1" s="1"/>
  <c r="R447" i="1"/>
  <c r="AM463" i="1"/>
  <c r="S463" i="1" s="1"/>
  <c r="R463" i="1"/>
  <c r="AM471" i="1"/>
  <c r="S471" i="1" s="1"/>
  <c r="R471" i="1"/>
  <c r="AM435" i="1"/>
  <c r="S435" i="1" s="1"/>
  <c r="R435" i="1"/>
  <c r="AM451" i="1"/>
  <c r="S451" i="1" s="1"/>
  <c r="R451" i="1"/>
  <c r="AM467" i="1"/>
  <c r="S467" i="1" s="1"/>
  <c r="R467" i="1"/>
  <c r="AM509" i="1"/>
  <c r="S509" i="1" s="1"/>
  <c r="R509" i="1"/>
  <c r="AM530" i="1"/>
  <c r="S530" i="1" s="1"/>
  <c r="R530" i="1"/>
  <c r="AM595" i="1"/>
  <c r="S595" i="1" s="1"/>
  <c r="R595" i="1"/>
  <c r="AM4" i="1"/>
  <c r="S4" i="1" s="1"/>
  <c r="R4" i="1"/>
  <c r="AM7" i="1"/>
  <c r="S7" i="1" s="1"/>
  <c r="R7" i="1"/>
  <c r="AM498" i="1"/>
  <c r="S498" i="1" s="1"/>
  <c r="R498" i="1"/>
  <c r="AM497" i="1"/>
  <c r="S497" i="1" s="1"/>
  <c r="R497" i="1"/>
  <c r="AM529" i="1"/>
  <c r="S529" i="1" s="1"/>
  <c r="R529" i="1"/>
  <c r="AM502" i="1"/>
  <c r="S502" i="1" s="1"/>
  <c r="R502" i="1"/>
  <c r="AM534" i="1"/>
  <c r="S534" i="1" s="1"/>
  <c r="R534" i="1"/>
  <c r="AM583" i="1"/>
  <c r="S583" i="1" s="1"/>
  <c r="R583" i="1"/>
  <c r="AM645" i="1"/>
  <c r="S645" i="1" s="1"/>
  <c r="R645" i="1"/>
  <c r="R684" i="1"/>
  <c r="AM684" i="1"/>
  <c r="S684" i="1" s="1"/>
  <c r="AM667" i="1"/>
  <c r="S667" i="1" s="1"/>
  <c r="R667" i="1"/>
  <c r="AM727" i="1"/>
  <c r="S727" i="1" s="1"/>
  <c r="R727" i="1"/>
  <c r="AM25" i="1"/>
  <c r="S25" i="1" s="1"/>
  <c r="R25" i="1"/>
  <c r="AM477" i="1"/>
  <c r="S477" i="1" s="1"/>
  <c r="R477" i="1"/>
  <c r="AM501" i="1"/>
  <c r="S501" i="1" s="1"/>
  <c r="R501" i="1"/>
  <c r="AM533" i="1"/>
  <c r="S533" i="1" s="1"/>
  <c r="R533" i="1"/>
  <c r="AM506" i="1"/>
  <c r="S506" i="1" s="1"/>
  <c r="R506" i="1"/>
  <c r="AM538" i="1"/>
  <c r="S538" i="1" s="1"/>
  <c r="R538" i="1"/>
  <c r="AM567" i="1"/>
  <c r="S567" i="1" s="1"/>
  <c r="R567" i="1"/>
  <c r="AM587" i="1"/>
  <c r="S587" i="1" s="1"/>
  <c r="R587" i="1"/>
  <c r="AM617" i="1"/>
  <c r="S617" i="1" s="1"/>
  <c r="R617" i="1"/>
  <c r="AM649" i="1"/>
  <c r="S649" i="1" s="1"/>
  <c r="R649" i="1"/>
  <c r="R672" i="1"/>
  <c r="AM672" i="1"/>
  <c r="S672" i="1" s="1"/>
  <c r="AM725" i="1"/>
  <c r="S725" i="1" s="1"/>
  <c r="R725" i="1"/>
  <c r="AM621" i="1"/>
  <c r="S621" i="1" s="1"/>
  <c r="R621" i="1"/>
  <c r="AM653" i="1"/>
  <c r="S653" i="1" s="1"/>
  <c r="R653" i="1"/>
  <c r="AM695" i="1"/>
  <c r="S695" i="1" s="1"/>
  <c r="R695" i="1"/>
  <c r="AM711" i="1"/>
  <c r="S711" i="1" s="1"/>
  <c r="R711" i="1"/>
  <c r="AM541" i="1"/>
  <c r="S541" i="1" s="1"/>
  <c r="R541" i="1"/>
  <c r="AM546" i="1"/>
  <c r="S546" i="1" s="1"/>
  <c r="R546" i="1"/>
  <c r="AM579" i="1"/>
  <c r="S579" i="1" s="1"/>
  <c r="R579" i="1"/>
  <c r="AM683" i="1"/>
  <c r="S683" i="1" s="1"/>
  <c r="R683" i="1"/>
  <c r="AM761" i="1"/>
  <c r="S761" i="1" s="1"/>
  <c r="R761" i="1"/>
  <c r="AM671" i="1"/>
  <c r="S671" i="1" s="1"/>
  <c r="R671" i="1"/>
  <c r="AM791" i="1"/>
  <c r="S791" i="1" s="1"/>
  <c r="R791" i="1"/>
  <c r="AM657" i="1"/>
  <c r="S657" i="1" s="1"/>
  <c r="R657" i="1"/>
  <c r="AM715" i="1"/>
  <c r="S715" i="1" s="1"/>
  <c r="R715" i="1"/>
  <c r="R796" i="1"/>
  <c r="AM796" i="1"/>
  <c r="S796" i="1" s="1"/>
  <c r="AM747" i="1"/>
  <c r="S747" i="1" s="1"/>
  <c r="R747" i="1"/>
  <c r="AM780" i="1"/>
  <c r="S780" i="1" s="1"/>
  <c r="R780" i="1"/>
  <c r="BC73" i="1"/>
  <c r="AM26" i="1"/>
  <c r="S26" i="1" s="1"/>
  <c r="R26" i="1"/>
  <c r="BD65" i="1"/>
  <c r="BD73" i="1"/>
  <c r="BA66" i="1"/>
  <c r="AZ66" i="1"/>
  <c r="BC70" i="1"/>
  <c r="AM675" i="1"/>
  <c r="S675" i="1" s="1"/>
  <c r="R675" i="1"/>
  <c r="AM743" i="1"/>
  <c r="S743" i="1" s="1"/>
  <c r="R743" i="1"/>
  <c r="AM739" i="1"/>
  <c r="S739" i="1" s="1"/>
  <c r="R739" i="1"/>
  <c r="R784" i="1"/>
  <c r="AM784" i="1"/>
  <c r="S784" i="1" s="1"/>
  <c r="R788" i="1"/>
  <c r="AM788" i="1"/>
  <c r="S788" i="1" s="1"/>
  <c r="R680" i="1"/>
  <c r="AM680" i="1"/>
  <c r="S680" i="1" s="1"/>
  <c r="AM774" i="1"/>
  <c r="S774" i="1" s="1"/>
  <c r="R774" i="1"/>
  <c r="BF69" i="1"/>
  <c r="BH69" i="1" s="1"/>
  <c r="AM10" i="1"/>
  <c r="S10" i="1" s="1"/>
  <c r="R10" i="1"/>
  <c r="AM16" i="1"/>
  <c r="S16" i="1" s="1"/>
  <c r="R16" i="1"/>
  <c r="AM505" i="1"/>
  <c r="S505" i="1" s="1"/>
  <c r="R505" i="1"/>
  <c r="AM537" i="1"/>
  <c r="S537" i="1" s="1"/>
  <c r="R537" i="1"/>
  <c r="AM510" i="1"/>
  <c r="S510" i="1" s="1"/>
  <c r="R510" i="1"/>
  <c r="AM542" i="1"/>
  <c r="S542" i="1" s="1"/>
  <c r="R542" i="1"/>
  <c r="AM575" i="1"/>
  <c r="S575" i="1" s="1"/>
  <c r="R575" i="1"/>
  <c r="AM783" i="1"/>
  <c r="S783" i="1" s="1"/>
  <c r="R783" i="1"/>
  <c r="AM36" i="1"/>
  <c r="S36" i="1" s="1"/>
  <c r="R36" i="1"/>
  <c r="AM439" i="1"/>
  <c r="S439" i="1" s="1"/>
  <c r="R439" i="1"/>
  <c r="AM455" i="1"/>
  <c r="S455" i="1" s="1"/>
  <c r="R455" i="1"/>
  <c r="AM443" i="1"/>
  <c r="S443" i="1" s="1"/>
  <c r="R443" i="1"/>
  <c r="AM459" i="1"/>
  <c r="S459" i="1" s="1"/>
  <c r="R459" i="1"/>
  <c r="AM525" i="1"/>
  <c r="S525" i="1" s="1"/>
  <c r="R525" i="1"/>
  <c r="AM489" i="1"/>
  <c r="S489" i="1" s="1"/>
  <c r="R489" i="1"/>
  <c r="AM563" i="1"/>
  <c r="S563" i="1" s="1"/>
  <c r="R563" i="1"/>
  <c r="AM513" i="1"/>
  <c r="S513" i="1" s="1"/>
  <c r="R513" i="1"/>
  <c r="AM545" i="1"/>
  <c r="S545" i="1" s="1"/>
  <c r="R545" i="1"/>
  <c r="AM518" i="1"/>
  <c r="S518" i="1" s="1"/>
  <c r="R518" i="1"/>
  <c r="AM599" i="1"/>
  <c r="S599" i="1" s="1"/>
  <c r="R599" i="1"/>
  <c r="AM629" i="1"/>
  <c r="S629" i="1" s="1"/>
  <c r="R629" i="1"/>
  <c r="AM661" i="1"/>
  <c r="S661" i="1" s="1"/>
  <c r="R661" i="1"/>
  <c r="R676" i="1"/>
  <c r="AM676" i="1"/>
  <c r="S676" i="1" s="1"/>
  <c r="AM703" i="1"/>
  <c r="S703" i="1" s="1"/>
  <c r="R703" i="1"/>
  <c r="AM766" i="1"/>
  <c r="S766" i="1" s="1"/>
  <c r="R766" i="1"/>
</calcChain>
</file>

<file path=xl/sharedStrings.xml><?xml version="1.0" encoding="utf-8"?>
<sst xmlns="http://schemas.openxmlformats.org/spreadsheetml/2006/main" count="4658" uniqueCount="747">
  <si>
    <t>id</t>
  </si>
  <si>
    <t>name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</si>
  <si>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</si>
  <si>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</si>
  <si>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</si>
  <si>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</si>
  <si>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</si>
  <si>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</si>
  <si>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</si>
  <si>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</si>
  <si>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</si>
  <si>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</si>
  <si>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</si>
  <si>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</si>
  <si>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</si>
  <si>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</si>
  <si>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</si>
  <si>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</si>
  <si>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</si>
  <si>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</si>
  <si>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</si>
  <si>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</si>
  <si>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</si>
  <si>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</si>
  <si>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</si>
  <si>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</si>
  <si>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cale</t>
    </r>
  </si>
  <si>
    <t>offset</t>
  </si>
  <si>
    <t>level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</si>
  <si>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</si>
  <si>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</si>
  <si>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</si>
  <si>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</si>
  <si>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</si>
  <si>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</si>
  <si>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</si>
  <si>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</t>
    </r>
    <r>
      <rPr>
        <sz val="11"/>
        <color theme="1"/>
        <rFont val="宋体"/>
        <family val="3"/>
        <charset val="134"/>
        <scheme val="minor"/>
      </rPr>
      <t>32</t>
    </r>
  </si>
  <si>
    <t>ID</t>
  </si>
  <si>
    <t>名称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</si>
  <si>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</si>
  <si>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</si>
  <si>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</si>
  <si>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</si>
  <si>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</si>
  <si>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</si>
  <si>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</si>
  <si>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</si>
  <si>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</si>
  <si>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</si>
  <si>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</si>
  <si>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</si>
  <si>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</si>
  <si>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</si>
  <si>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</si>
  <si>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</si>
  <si>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</si>
  <si>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</si>
  <si>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</si>
  <si>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</si>
  <si>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</si>
  <si>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</si>
  <si>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</si>
  <si>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</si>
  <si>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模型缩放</t>
  </si>
  <si>
    <t>主角和随从攻击怪时的攻击距离补正</t>
  </si>
  <si>
    <t>战力</t>
  </si>
  <si>
    <t>基础攻击</t>
  </si>
  <si>
    <t>攻击提升</t>
  </si>
  <si>
    <t>施法速度</t>
  </si>
  <si>
    <t>职业ID</t>
  </si>
  <si>
    <t>初始星级</t>
  </si>
  <si>
    <t>基础属性：1</t>
  </si>
  <si>
    <t>基础攻</t>
  </si>
  <si>
    <t>基础血</t>
  </si>
  <si>
    <t>基础防</t>
  </si>
  <si>
    <t>参照标准</t>
  </si>
  <si>
    <t>模型攻击动作时长</t>
  </si>
  <si>
    <t>DATA_Class_Base21</t>
  </si>
  <si>
    <t>新普攻粒子/狂战士普通攻击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</si>
  <si>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</si>
  <si>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</si>
  <si>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</si>
  <si>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</si>
  <si>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防御系数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</si>
  <si>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</si>
  <si>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</si>
  <si>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</si>
  <si>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</si>
  <si>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</si>
  <si>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</si>
  <si>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主角</t>
  </si>
  <si>
    <t>DATA_Class_Base16</t>
  </si>
  <si>
    <t>新普攻粒子/坦克普通攻击</t>
  </si>
  <si>
    <t>骑士</t>
  </si>
  <si>
    <t>DATA_Class_Base26</t>
  </si>
  <si>
    <t>战士2_33_1</t>
  </si>
  <si>
    <t>新普攻粒子/维京战士普通攻击</t>
  </si>
  <si>
    <t>狂战士</t>
  </si>
  <si>
    <t>DATA_Class_Base17</t>
  </si>
  <si>
    <t>刺客1_33_1</t>
  </si>
  <si>
    <t>新普攻粒子/佐罗普通攻击</t>
  </si>
  <si>
    <t>剑盾士兵</t>
  </si>
  <si>
    <t>DATA_Class_Base33</t>
  </si>
  <si>
    <t>新普攻粒子/魔导师普通攻击</t>
  </si>
  <si>
    <t>维京勇士</t>
  </si>
  <si>
    <t>DATA_Class_Base23</t>
  </si>
  <si>
    <t>新普攻粒子/女巫普通攻击</t>
  </si>
  <si>
    <t>忍神</t>
  </si>
  <si>
    <t>DATA_Class_Base19</t>
  </si>
  <si>
    <t>新普攻粒子/海盗船长普通攻击</t>
  </si>
  <si>
    <t>剑术师</t>
  </si>
  <si>
    <t>DATA_Class_Base24</t>
  </si>
  <si>
    <t>游侠2_33_1</t>
  </si>
  <si>
    <t>新普攻粒子/火枪手普通攻击</t>
  </si>
  <si>
    <t>刺杀者</t>
  </si>
  <si>
    <t>DATA_Class_Base35</t>
  </si>
  <si>
    <t>新普攻粒子/牧师普通攻击</t>
  </si>
  <si>
    <t>法老王</t>
  </si>
  <si>
    <t>魔导师</t>
  </si>
  <si>
    <t>战士1_33_2</t>
  </si>
  <si>
    <t>火焰巫师</t>
  </si>
  <si>
    <t>海盗船长</t>
  </si>
  <si>
    <t>弓箭手</t>
  </si>
  <si>
    <t>火枪手</t>
  </si>
  <si>
    <t>酒仙</t>
  </si>
  <si>
    <t>游侠0_33_2</t>
  </si>
  <si>
    <t>牧师</t>
  </si>
  <si>
    <t>占星师</t>
  </si>
  <si>
    <t>牧师1_33_2</t>
  </si>
  <si>
    <t>兽人战士</t>
  </si>
  <si>
    <t>战士0_33_3</t>
  </si>
  <si>
    <t>恶魔战士</t>
  </si>
  <si>
    <t>骷髅战士</t>
  </si>
  <si>
    <t>鸟人战士</t>
  </si>
  <si>
    <t>黑狂战士</t>
  </si>
  <si>
    <t>黑剑盾士兵</t>
  </si>
  <si>
    <t>战士1</t>
  </si>
  <si>
    <t>法师2_33_3</t>
  </si>
  <si>
    <t>黑维京勇士</t>
  </si>
  <si>
    <t>史莱姆</t>
  </si>
  <si>
    <t>狼人</t>
  </si>
  <si>
    <t>刺客1</t>
  </si>
  <si>
    <t>黑忍者</t>
  </si>
  <si>
    <t>DATA_Class_Base41</t>
  </si>
  <si>
    <t>新普攻粒子/猎人普通攻击</t>
  </si>
  <si>
    <t>黑剑术师</t>
  </si>
  <si>
    <t>DATA_Class_Base45</t>
  </si>
  <si>
    <t>新普攻粒子/酒仙普通攻击</t>
  </si>
  <si>
    <t>黑刺杀者</t>
  </si>
  <si>
    <t>DATA_Class_Base42</t>
  </si>
  <si>
    <t>新普攻粒子/占星师普攻蓄力</t>
  </si>
  <si>
    <t>新普攻粒子/占星师普通攻击</t>
  </si>
  <si>
    <t>兽人萨满</t>
  </si>
  <si>
    <t>DATA_Class_Base43</t>
  </si>
  <si>
    <t>新普攻粒子/忍者普通攻击</t>
  </si>
  <si>
    <t>血族法师</t>
  </si>
  <si>
    <t>DATA_Class_Base22</t>
  </si>
  <si>
    <t>新普攻粒子/食人族长普通攻击</t>
  </si>
  <si>
    <t>骷髅法师</t>
  </si>
  <si>
    <t>游侠1</t>
  </si>
  <si>
    <t>DATA_Class_Base28</t>
  </si>
  <si>
    <t>新普攻粒子/法老普通攻击</t>
  </si>
  <si>
    <t>鸟人法师</t>
  </si>
  <si>
    <t>黑法老</t>
  </si>
  <si>
    <t>黑法师</t>
  </si>
  <si>
    <t>刺客2</t>
  </si>
  <si>
    <t>黑女法</t>
  </si>
  <si>
    <t>法师1</t>
  </si>
  <si>
    <t>树怪</t>
  </si>
  <si>
    <t>游侠0</t>
  </si>
  <si>
    <t>熊怪</t>
  </si>
  <si>
    <t>牧师1</t>
  </si>
  <si>
    <t>黑海盗</t>
  </si>
  <si>
    <t>战士0</t>
  </si>
  <si>
    <t>黑弓箭手</t>
  </si>
  <si>
    <t>黑火枪</t>
  </si>
  <si>
    <t>法师2</t>
  </si>
  <si>
    <t>黑熊猫</t>
  </si>
  <si>
    <t>游侠2</t>
  </si>
  <si>
    <t>黑牧师</t>
  </si>
  <si>
    <t>牧师2</t>
  </si>
  <si>
    <t>黑占星师</t>
  </si>
  <si>
    <t>战士2</t>
  </si>
  <si>
    <t>黑骑士</t>
  </si>
  <si>
    <t>刺客0</t>
  </si>
  <si>
    <t>狼骑兵</t>
  </si>
  <si>
    <t>法师0</t>
  </si>
  <si>
    <t>龙</t>
  </si>
  <si>
    <t>牧师0</t>
  </si>
  <si>
    <t>伤害：</t>
  </si>
  <si>
    <t>攻击*（1-护甲/(200+20*(等级-1))*(1-破甲)</t>
  </si>
  <si>
    <t>从护甲公式可以看出，护甲主要是抵消伤害。但是由于护甲还和等级相关，所以同一个人等级高和低，他受到的伤害比率是一样的。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</si>
  <si>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</si>
  <si>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</si>
  <si>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免伤率=护甲*等级*免伤系数</t>
  </si>
  <si>
    <t>免伤成长/防</t>
  </si>
  <si>
    <t>等级对应免伤</t>
  </si>
  <si>
    <t>基础防御</t>
  </si>
  <si>
    <t>防御成长</t>
  </si>
  <si>
    <t>基础免伤</t>
  </si>
  <si>
    <t>免伤上限</t>
  </si>
  <si>
    <t>主角升星加成</t>
  </si>
  <si>
    <t>升星加成</t>
  </si>
  <si>
    <t>等级星级天赋加成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</si>
  <si>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</si>
  <si>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星级加成</t>
  </si>
  <si>
    <t>等级</t>
  </si>
  <si>
    <t>战士0_55_1</t>
  </si>
  <si>
    <t>战士1_55_1</t>
  </si>
  <si>
    <t>DATA_Class_Base38</t>
  </si>
  <si>
    <t>战士2_55_1</t>
  </si>
  <si>
    <t>刺客1_55_1</t>
  </si>
  <si>
    <t>法师1_55_1</t>
  </si>
  <si>
    <t>法师2_55_1</t>
  </si>
  <si>
    <t>游侠0_55_1</t>
  </si>
  <si>
    <t>游侠2_55_1</t>
  </si>
  <si>
    <t>牧师1_55_1</t>
  </si>
  <si>
    <t>战士0_55_2</t>
  </si>
  <si>
    <t>战士1_55_2</t>
  </si>
  <si>
    <t>战士2_55_2</t>
  </si>
  <si>
    <t>刺客1_55_2</t>
  </si>
  <si>
    <t>法师1_55_2</t>
  </si>
  <si>
    <t>法师2_55_2</t>
  </si>
  <si>
    <t>游侠0_55_2</t>
  </si>
  <si>
    <t>游侠2_55_2</t>
  </si>
  <si>
    <t>牧师1_55_2</t>
  </si>
  <si>
    <t>战士0_55_3</t>
  </si>
  <si>
    <t>战士1_55_3</t>
  </si>
  <si>
    <t>战士2_55_3</t>
  </si>
  <si>
    <t>刺客1_55_3</t>
  </si>
  <si>
    <t>法师1_55_3</t>
  </si>
  <si>
    <t>法师2_55_3</t>
  </si>
  <si>
    <t>游侠0_55_3</t>
  </si>
  <si>
    <t>游侠2_55_3</t>
  </si>
  <si>
    <t>牧师1_55_3</t>
  </si>
  <si>
    <t>游侠1_55_4</t>
  </si>
  <si>
    <t>牧师0_55_4</t>
  </si>
  <si>
    <t>牧师2_55_4</t>
  </si>
  <si>
    <t>刺客0_55_5</t>
  </si>
  <si>
    <t>刺客2_55_5</t>
  </si>
  <si>
    <t>法师0_55_5</t>
  </si>
  <si>
    <t>DATA_Class_Base7</t>
  </si>
  <si>
    <t>怪_兽人战士_1</t>
  </si>
  <si>
    <t>兽人战士_1</t>
  </si>
  <si>
    <t>DATA_Class_Base8</t>
  </si>
  <si>
    <t>怪_兽人萨满_1</t>
  </si>
  <si>
    <t>兽人法师_1</t>
  </si>
  <si>
    <t>DATA_Class_Base3</t>
  </si>
  <si>
    <t>怪_骷髅战士_1</t>
  </si>
  <si>
    <t>骷髅战士_1</t>
  </si>
  <si>
    <t>DATA_Class_Base12</t>
  </si>
  <si>
    <r>
      <rPr>
        <sz val="11"/>
        <color theme="1"/>
        <rFont val="宋体"/>
        <family val="3"/>
        <charset val="134"/>
        <scheme val="minor"/>
      </rPr>
      <t>怪_骷髅法师_</t>
    </r>
    <r>
      <rPr>
        <sz val="11"/>
        <color theme="1"/>
        <rFont val="宋体"/>
        <family val="3"/>
        <charset val="134"/>
        <scheme val="minor"/>
      </rPr>
      <t>1</t>
    </r>
  </si>
  <si>
    <r>
      <rPr>
        <sz val="11"/>
        <color theme="1"/>
        <rFont val="宋体"/>
        <family val="3"/>
        <charset val="134"/>
        <scheme val="minor"/>
      </rPr>
      <t>骷髅法师_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</si>
  <si>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DATA_Class_Base5</t>
  </si>
  <si>
    <t>怪_史莱姆_1</t>
  </si>
  <si>
    <t>史莱母_1</t>
  </si>
  <si>
    <t>DATA_Class_Base4</t>
  </si>
  <si>
    <r>
      <rPr>
        <sz val="11"/>
        <color theme="1"/>
        <rFont val="宋体"/>
        <family val="3"/>
        <charset val="134"/>
        <scheme val="minor"/>
      </rPr>
      <t>怪_趴趴熊_</t>
    </r>
    <r>
      <rPr>
        <sz val="11"/>
        <color theme="1"/>
        <rFont val="宋体"/>
        <family val="3"/>
        <charset val="134"/>
        <scheme val="minor"/>
      </rPr>
      <t>1</t>
    </r>
  </si>
  <si>
    <t>趴趴熊_1</t>
  </si>
  <si>
    <t>DATA_Class_Base1</t>
  </si>
  <si>
    <t>怪_鸟人战士_1</t>
  </si>
  <si>
    <t>鸟人战士_1</t>
  </si>
  <si>
    <t>DATA_Class_Base2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</si>
  <si>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</si>
  <si>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</si>
  <si>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</si>
  <si>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怪_血族战士_1</t>
  </si>
  <si>
    <t>血族战士_1</t>
  </si>
  <si>
    <t>DATA_Class_Base14</t>
  </si>
  <si>
    <t>怪_血族法师_1</t>
  </si>
  <si>
    <t>血族法师_1</t>
  </si>
  <si>
    <t>DATA_Class_Base11</t>
  </si>
  <si>
    <t>怪_树人_1</t>
  </si>
  <si>
    <t>树人_1</t>
  </si>
  <si>
    <t>DATA_Class_Base9</t>
  </si>
  <si>
    <r>
      <rPr>
        <sz val="11"/>
        <color theme="1"/>
        <rFont val="宋体"/>
        <family val="3"/>
        <charset val="134"/>
        <scheme val="minor"/>
      </rPr>
      <t>怪_狼人_</t>
    </r>
    <r>
      <rPr>
        <sz val="11"/>
        <color theme="1"/>
        <rFont val="宋体"/>
        <family val="3"/>
        <charset val="134"/>
        <scheme val="minor"/>
      </rPr>
      <t>1</t>
    </r>
  </si>
  <si>
    <t>狼人_1</t>
  </si>
  <si>
    <t>怪_兽人战士_2</t>
  </si>
  <si>
    <t>兽人战士_2</t>
  </si>
  <si>
    <t>怪_兽人萨满_2</t>
  </si>
  <si>
    <t>兽人法师_2</t>
  </si>
  <si>
    <t>怪_骷髅战士_2</t>
  </si>
  <si>
    <t>骷髅战士_2</t>
  </si>
  <si>
    <t>怪_骷髅法师_2</t>
  </si>
  <si>
    <t>骷髅法师_2</t>
  </si>
  <si>
    <t>怪_史莱姆_2</t>
  </si>
  <si>
    <t>史莱母_2</t>
  </si>
  <si>
    <t>怪_趴趴熊_2</t>
  </si>
  <si>
    <t>趴趴熊_2</t>
  </si>
  <si>
    <t>怪_鸟人战士_2</t>
  </si>
  <si>
    <t>鸟人战士_2</t>
  </si>
  <si>
    <t>怪_鸟人法师_2</t>
  </si>
  <si>
    <t>鸟人法师_2</t>
  </si>
  <si>
    <t>怪_血族战士_2</t>
  </si>
  <si>
    <t>血族战士_2</t>
  </si>
  <si>
    <t>怪_血族法师_2</t>
  </si>
  <si>
    <t>血族法师_2</t>
  </si>
  <si>
    <t>怪_树人_2</t>
  </si>
  <si>
    <t>树人_2</t>
  </si>
  <si>
    <t>怪_狼人_2</t>
  </si>
  <si>
    <t>狼人_2</t>
  </si>
  <si>
    <t>怪_兽人战士_3</t>
  </si>
  <si>
    <t>兽人战士_3</t>
  </si>
  <si>
    <t>怪_兽人萨满_3</t>
  </si>
  <si>
    <t>兽人法师_3</t>
  </si>
  <si>
    <t>怪_骷髅战士_3</t>
  </si>
  <si>
    <t>骷髅战士_3</t>
  </si>
  <si>
    <t>怪_骷髅法师_3</t>
  </si>
  <si>
    <t>骷髅法师_3</t>
  </si>
  <si>
    <t>怪_史莱姆_3</t>
  </si>
  <si>
    <t>史莱母_3</t>
  </si>
  <si>
    <t>怪_趴趴熊_3</t>
  </si>
  <si>
    <t>趴趴熊_3</t>
  </si>
  <si>
    <t>怪_鸟人战士_3</t>
  </si>
  <si>
    <t>鸟人战士_3</t>
  </si>
  <si>
    <t>怪_鸟人法师_3</t>
  </si>
  <si>
    <t>鸟人法师_3</t>
  </si>
  <si>
    <t>怪_血族战士_3</t>
  </si>
  <si>
    <t>血族战士_3</t>
  </si>
  <si>
    <t>怪_血族法师_3</t>
  </si>
  <si>
    <t>血族法师_3</t>
  </si>
  <si>
    <t>怪_树人_3</t>
  </si>
  <si>
    <t>树人_3</t>
  </si>
  <si>
    <t>怪_狼人_3</t>
  </si>
  <si>
    <t>狼人_3</t>
  </si>
  <si>
    <t>怪_兽人战士_4</t>
  </si>
  <si>
    <t>兽人战士_4</t>
  </si>
  <si>
    <t>怪_兽人萨满_4</t>
  </si>
  <si>
    <t>兽人法师_4</t>
  </si>
  <si>
    <t>怪_骷髅战士_4</t>
  </si>
  <si>
    <t>骷髅战士_4</t>
  </si>
  <si>
    <t>怪_骷髅法师_4</t>
  </si>
  <si>
    <t>骷髅法师_4</t>
  </si>
  <si>
    <t>怪_史莱姆_4</t>
  </si>
  <si>
    <t>史莱母_4</t>
  </si>
  <si>
    <t>怪_趴趴熊_4</t>
  </si>
  <si>
    <t>趴趴熊_4</t>
  </si>
  <si>
    <t>怪_鸟人战士_4</t>
  </si>
  <si>
    <t>鸟人战士_4</t>
  </si>
  <si>
    <t>怪_鸟人法师_4</t>
  </si>
  <si>
    <t>鸟人法师_4</t>
  </si>
  <si>
    <t>怪_血族战士_4</t>
  </si>
  <si>
    <t>血族战士_4</t>
  </si>
  <si>
    <t>怪_血族法师_4</t>
  </si>
  <si>
    <t>血族法师_4</t>
  </si>
  <si>
    <t>怪_树人_4</t>
  </si>
  <si>
    <t>树人_4</t>
  </si>
  <si>
    <t>怪_狼人_4</t>
  </si>
  <si>
    <t>狼人_4</t>
  </si>
  <si>
    <t>怪_兽人战士_5</t>
  </si>
  <si>
    <t>兽人战士_5</t>
  </si>
  <si>
    <t>怪_兽人萨满_5</t>
  </si>
  <si>
    <t>兽人法师_5</t>
  </si>
  <si>
    <t>怪_骷髅战士_5</t>
  </si>
  <si>
    <t>骷髅战士_5</t>
  </si>
  <si>
    <t>怪_骷髅法师_5</t>
  </si>
  <si>
    <t>骷髅法师_5</t>
  </si>
  <si>
    <t>怪_史莱姆_5</t>
  </si>
  <si>
    <t>史莱母_5</t>
  </si>
  <si>
    <t>怪_趴趴熊_5</t>
  </si>
  <si>
    <t>趴趴熊_5</t>
  </si>
  <si>
    <t>怪_鸟人战士_5</t>
  </si>
  <si>
    <t>鸟人战士_5</t>
  </si>
  <si>
    <t>怪_鸟人法师_5</t>
  </si>
  <si>
    <t>鸟人法师_5</t>
  </si>
  <si>
    <t>怪_血族战士_5</t>
  </si>
  <si>
    <t>血族战士_5</t>
  </si>
  <si>
    <t>怪_血族法师_5</t>
  </si>
  <si>
    <t>血族法师_5</t>
  </si>
  <si>
    <t>怪_树人_5</t>
  </si>
  <si>
    <t>树人_5</t>
  </si>
  <si>
    <t>怪_狼人_5</t>
  </si>
  <si>
    <t>狼人_5</t>
  </si>
  <si>
    <t>怪_黑骑士_1</t>
  </si>
  <si>
    <t>黑骑士_1</t>
  </si>
  <si>
    <t>怪_黑骑士_2</t>
  </si>
  <si>
    <t>黑骑士_2</t>
  </si>
  <si>
    <t>怪_黑骑士_3</t>
  </si>
  <si>
    <t>黑骑士_3</t>
  </si>
  <si>
    <t>怪_黑骑士_4</t>
  </si>
  <si>
    <t>黑骑士_4</t>
  </si>
  <si>
    <t>怪_黑骑士_5</t>
  </si>
  <si>
    <t>黑骑士_5</t>
  </si>
  <si>
    <t>怪_狼骑兵_1</t>
  </si>
  <si>
    <t>狼骑兵_1</t>
  </si>
  <si>
    <t>怪_狼骑兵_2</t>
  </si>
  <si>
    <t>狼骑兵_2</t>
  </si>
  <si>
    <t>怪_狼骑兵_3</t>
  </si>
  <si>
    <t>狼骑兵_3</t>
  </si>
  <si>
    <t>怪_狼骑兵_4</t>
  </si>
  <si>
    <t>狼骑兵_4</t>
  </si>
  <si>
    <t>怪_狼骑兵_5</t>
  </si>
  <si>
    <t>狼骑兵_5</t>
  </si>
  <si>
    <t>怪_龙_1</t>
  </si>
  <si>
    <t>龙_1</t>
  </si>
  <si>
    <t>新普攻粒子/怪_龙普通攻击</t>
  </si>
  <si>
    <t>怪_龙_2</t>
  </si>
  <si>
    <t>龙_2</t>
  </si>
  <si>
    <t>怪_龙_3</t>
  </si>
  <si>
    <t>龙_3</t>
  </si>
  <si>
    <t>怪_龙_4</t>
  </si>
  <si>
    <t>龙_4</t>
  </si>
  <si>
    <t>怪_龙_5</t>
  </si>
  <si>
    <t>龙_5</t>
  </si>
  <si>
    <t>怪_巨龙_1</t>
  </si>
  <si>
    <t>怪_巨龙_2</t>
  </si>
  <si>
    <t>怪_巨龙_3</t>
  </si>
  <si>
    <t>DATA_Class_Base29</t>
  </si>
  <si>
    <t>DATA_Class_Base30</t>
  </si>
  <si>
    <t>DATA_Class_Base31</t>
  </si>
  <si>
    <t>DATA_Class_Base32</t>
  </si>
  <si>
    <t>DATA_Class_Base34</t>
  </si>
  <si>
    <t>DATA_Class_Base36</t>
  </si>
  <si>
    <t>DATA_Class_Base37</t>
  </si>
  <si>
    <t>DATA_Class_Base39</t>
  </si>
  <si>
    <t>DATA_Class_Base40</t>
  </si>
  <si>
    <t>1312021</t>
  </si>
  <si>
    <t>1313011</t>
  </si>
  <si>
    <t>1315021</t>
  </si>
  <si>
    <t>1322011</t>
  </si>
  <si>
    <t>1325001</t>
  </si>
  <si>
    <t>1326011</t>
  </si>
  <si>
    <t>1332001</t>
  </si>
  <si>
    <t>1334011</t>
  </si>
  <si>
    <t>1334021</t>
  </si>
  <si>
    <t>1345011</t>
  </si>
  <si>
    <t>1346001</t>
  </si>
  <si>
    <t>1346021</t>
  </si>
  <si>
    <t>1353001</t>
  </si>
  <si>
    <t>1353021</t>
  </si>
  <si>
    <t>1354001</t>
  </si>
  <si>
    <t>1312021,2312021</t>
  </si>
  <si>
    <t>1313011,2313011</t>
  </si>
  <si>
    <t>1315021,2315021</t>
  </si>
  <si>
    <t>1322011,2322011</t>
  </si>
  <si>
    <t>1325001,2325001</t>
  </si>
  <si>
    <t>1326011,2326011</t>
  </si>
  <si>
    <t>1332001,2332001</t>
  </si>
  <si>
    <t>1334011,2334011</t>
  </si>
  <si>
    <t>1334021,2334021</t>
  </si>
  <si>
    <t>1345011,2345011</t>
  </si>
  <si>
    <t>1346001,2346001</t>
  </si>
  <si>
    <t>1346021,2346021</t>
  </si>
  <si>
    <t>1353001,2353001</t>
  </si>
  <si>
    <t>1353021,2353021</t>
  </si>
  <si>
    <t>1354001,2354001</t>
  </si>
  <si>
    <t>1512001,2512001,3512001</t>
  </si>
  <si>
    <t>1512011,2512011,3512011</t>
  </si>
  <si>
    <t>1512021,2512021,3512021</t>
  </si>
  <si>
    <t>1513011,2513011,3513011</t>
  </si>
  <si>
    <t>1514011,2514011,3514011</t>
  </si>
  <si>
    <t>1514021,2514021,3514021</t>
  </si>
  <si>
    <t>1515001,2515001,3515001</t>
  </si>
  <si>
    <t>1515021,2515021,3515021</t>
  </si>
  <si>
    <t>1516011,2516011,3516011</t>
  </si>
  <si>
    <t>1522001,2522001,3522001</t>
  </si>
  <si>
    <t>1522011,2522011,3522011</t>
  </si>
  <si>
    <t>1522021,2522021,3522021</t>
  </si>
  <si>
    <t>1523011,2523011,3523011</t>
  </si>
  <si>
    <t>1524011,2524011,3524011</t>
  </si>
  <si>
    <t>1524021,2524021,3524021</t>
  </si>
  <si>
    <t>1525001,2525001,3525001</t>
  </si>
  <si>
    <t>1525021,2525021,3525021</t>
  </si>
  <si>
    <t>1526011,2526011,3526011</t>
  </si>
  <si>
    <t>1532001,2532001,3532001</t>
  </si>
  <si>
    <t>1532011,2532011,3532011</t>
  </si>
  <si>
    <t>1532021,2532021,3532021</t>
  </si>
  <si>
    <t>1533011,2533011,3533011</t>
  </si>
  <si>
    <t>1534011,2534011,3534011</t>
  </si>
  <si>
    <t>1534021,2534021,3534021</t>
  </si>
  <si>
    <t>1535001,2535001,3535001</t>
  </si>
  <si>
    <t>1535021,2535021,3535021</t>
  </si>
  <si>
    <t>1545011,2545011,3545011</t>
  </si>
  <si>
    <t>1546001,2546001,3546001</t>
  </si>
  <si>
    <t>1546021,2546021,3546021</t>
  </si>
  <si>
    <t>1553001,2553001,3553001</t>
  </si>
  <si>
    <t>1553021,2553021,3553021</t>
  </si>
  <si>
    <t>1554001,2554001,3554001</t>
  </si>
  <si>
    <t>DATA_Dragon_Boss2</t>
    <phoneticPr fontId="5" type="noConversion"/>
  </si>
  <si>
    <t>DATA_Dragon_Boss3</t>
  </si>
  <si>
    <t>DATA_Dragon_Boss4</t>
  </si>
  <si>
    <t>0</t>
  </si>
  <si>
    <t>0</t>
    <phoneticPr fontId="5" type="noConversion"/>
  </si>
  <si>
    <t>121,221,321</t>
    <phoneticPr fontId="5" type="noConversion"/>
  </si>
  <si>
    <t>131,231,331</t>
    <phoneticPr fontId="5" type="noConversion"/>
  </si>
  <si>
    <t>141,241,341</t>
    <phoneticPr fontId="5" type="noConversion"/>
  </si>
  <si>
    <t>1312022,2312021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</si>
  <si>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</si>
  <si>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</si>
  <si>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</si>
  <si>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</si>
  <si>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</si>
  <si>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</si>
  <si>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</si>
  <si>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</si>
  <si>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</si>
  <si>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</si>
  <si>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</si>
  <si>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</si>
  <si>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</si>
  <si>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</si>
  <si>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</si>
  <si>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</si>
  <si>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</si>
  <si>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</si>
  <si>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</si>
  <si>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1326012,2326012</t>
  </si>
  <si>
    <t>1332002,2332002</t>
  </si>
  <si>
    <t>1334012,2334012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</si>
  <si>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</si>
  <si>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</si>
  <si>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</si>
  <si>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</si>
  <si>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</si>
  <si>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</si>
  <si>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</si>
  <si>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1536011,2536011,3536011</t>
  </si>
  <si>
    <t>1542011,2542011,3542011</t>
  </si>
  <si>
    <t>1543021,2543021,3543021</t>
  </si>
  <si>
    <t>1552021,2552021,3552021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</si>
  <si>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</si>
  <si>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</si>
  <si>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</si>
  <si>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</si>
  <si>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</si>
  <si>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</si>
  <si>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</si>
  <si>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</si>
  <si>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</si>
  <si>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</si>
  <si>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</si>
  <si>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</si>
  <si>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</si>
  <si>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</si>
  <si>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</si>
  <si>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</si>
  <si>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</si>
  <si>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</si>
  <si>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</si>
  <si>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</si>
  <si>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</si>
  <si>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</si>
  <si>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</si>
  <si>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</si>
  <si>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</si>
  <si>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</si>
  <si>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</si>
  <si>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</si>
  <si>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</si>
  <si>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</si>
  <si>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</si>
  <si>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</si>
  <si>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</si>
  <si>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</si>
  <si>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</si>
  <si>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</si>
  <si>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</si>
  <si>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</si>
  <si>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</si>
  <si>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</si>
  <si>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</si>
  <si>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</si>
  <si>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</si>
  <si>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</si>
  <si>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</si>
  <si>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</si>
  <si>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</si>
  <si>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</si>
  <si>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</si>
  <si>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</si>
  <si>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</si>
  <si>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</si>
  <si>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</si>
  <si>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</si>
  <si>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</si>
  <si>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</si>
  <si>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</si>
  <si>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</si>
  <si>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</si>
  <si>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</si>
  <si>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</si>
  <si>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</si>
  <si>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</si>
  <si>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</si>
  <si>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</si>
  <si>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</si>
  <si>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</si>
  <si>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</si>
  <si>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</si>
  <si>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</si>
  <si>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</si>
  <si>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</si>
  <si>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</si>
  <si>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</si>
  <si>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</si>
  <si>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</si>
  <si>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</si>
  <si>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</si>
  <si>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</si>
  <si>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</si>
  <si>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</si>
  <si>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</si>
  <si>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</si>
  <si>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</si>
  <si>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</si>
  <si>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</si>
  <si>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</si>
  <si>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</si>
  <si>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</si>
  <si>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</si>
  <si>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</si>
  <si>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</si>
  <si>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</si>
  <si>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</si>
  <si>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</si>
  <si>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</si>
  <si>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</si>
  <si>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</si>
  <si>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</si>
  <si>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</si>
  <si>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</si>
  <si>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</si>
  <si>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</si>
  <si>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</si>
  <si>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</si>
  <si>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</si>
  <si>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</si>
  <si>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</si>
  <si>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</si>
  <si>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</si>
  <si>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</si>
  <si>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</si>
  <si>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</si>
  <si>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</si>
  <si>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</si>
  <si>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</si>
  <si>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</si>
  <si>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</si>
  <si>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</si>
  <si>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</si>
  <si>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</si>
  <si>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</si>
  <si>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</si>
  <si>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</si>
  <si>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</si>
  <si>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</si>
  <si>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</si>
  <si>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</si>
  <si>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</si>
  <si>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</si>
  <si>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</si>
  <si>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</si>
  <si>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</si>
  <si>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</si>
  <si>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</si>
  <si>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</si>
  <si>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</si>
  <si>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</si>
  <si>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</si>
  <si>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</si>
  <si>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</si>
  <si>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</si>
  <si>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</si>
  <si>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</si>
  <si>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</si>
  <si>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</si>
  <si>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</si>
  <si>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</si>
  <si>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</si>
  <si>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</si>
  <si>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</si>
  <si>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</si>
  <si>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</si>
  <si>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</si>
  <si>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</si>
  <si>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</si>
  <si>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</si>
  <si>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</si>
  <si>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</si>
  <si>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</si>
  <si>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</si>
  <si>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</si>
  <si>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</si>
  <si>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</si>
  <si>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</si>
  <si>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</si>
  <si>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</si>
  <si>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</si>
  <si>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</si>
  <si>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</si>
  <si>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</si>
  <si>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</si>
  <si>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</si>
  <si>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</si>
  <si>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</si>
  <si>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</si>
  <si>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</si>
  <si>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</si>
  <si>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</si>
  <si>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</si>
  <si>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</si>
  <si>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</si>
  <si>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</si>
  <si>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</si>
  <si>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</si>
  <si>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</si>
  <si>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战士1_55_4</t>
  </si>
  <si>
    <t>刺客2_55_4</t>
  </si>
  <si>
    <t>战士2_55_5</t>
  </si>
  <si>
    <t>游侠1_55_5</t>
  </si>
  <si>
    <t>1,2</t>
    <phoneticPr fontId="5" type="noConversion"/>
  </si>
  <si>
    <t>新普攻粒子/水锻造大师普通攻击</t>
    <phoneticPr fontId="5" type="noConversion"/>
  </si>
  <si>
    <t>新普攻粒子/水皇家枪卫普通攻击</t>
    <phoneticPr fontId="5" type="noConversion"/>
  </si>
  <si>
    <t>新普攻粒子/水皇家刺客普通攻击</t>
    <phoneticPr fontId="5" type="noConversion"/>
  </si>
  <si>
    <t>新普攻粒子/魔导师普通攻击</t>
    <phoneticPr fontId="5" type="noConversion"/>
  </si>
  <si>
    <t>新普攻粒子/火无情刀客普通攻击</t>
    <phoneticPr fontId="5" type="noConversion"/>
  </si>
  <si>
    <t>新普攻粒子/女巫普通攻击</t>
    <phoneticPr fontId="5" type="noConversion"/>
  </si>
  <si>
    <t>新普攻粒子/木精灵盗贼普通攻击</t>
    <phoneticPr fontId="5" type="noConversion"/>
  </si>
  <si>
    <t>新普攻粒子/木法师普通攻击</t>
    <phoneticPr fontId="5" type="noConversion"/>
  </si>
  <si>
    <t>新普攻粒子/木丛林猎人普通攻击</t>
    <phoneticPr fontId="5" type="noConversion"/>
  </si>
  <si>
    <t>新普攻粒子/暗影武士普通攻击</t>
    <phoneticPr fontId="5" type="noConversion"/>
  </si>
  <si>
    <t>新普攻粒子/暗夜游侠普通攻击</t>
    <phoneticPr fontId="5" type="noConversion"/>
  </si>
  <si>
    <t>新普攻粒子/美猴王普通攻击</t>
    <phoneticPr fontId="5" type="noConversion"/>
  </si>
  <si>
    <t>法师1_33_1</t>
    <phoneticPr fontId="5" type="noConversion"/>
  </si>
  <si>
    <t>游侠1_33_3</t>
    <phoneticPr fontId="5" type="noConversion"/>
  </si>
  <si>
    <t>牧师0_33_3</t>
    <phoneticPr fontId="5" type="noConversion"/>
  </si>
  <si>
    <t>牧师2_33_1</t>
    <phoneticPr fontId="5" type="noConversion"/>
  </si>
  <si>
    <t>刺客0_33_2</t>
    <phoneticPr fontId="5" type="noConversion"/>
  </si>
  <si>
    <t>刺客2_33_3</t>
    <phoneticPr fontId="5" type="noConversion"/>
  </si>
  <si>
    <t>法师0_33_2</t>
    <phoneticPr fontId="5" type="noConversion"/>
  </si>
  <si>
    <t>怪_史莱姆_3</t>
    <phoneticPr fontId="5" type="noConversion"/>
  </si>
  <si>
    <t>史莱母_3</t>
    <phoneticPr fontId="5" type="noConversion"/>
  </si>
  <si>
    <t>怪_趴趴熊_3</t>
    <phoneticPr fontId="5" type="noConversion"/>
  </si>
  <si>
    <t>趴趴熊_3</t>
    <phoneticPr fontId="5" type="noConversion"/>
  </si>
  <si>
    <t>怪_骷髅战士_2</t>
    <phoneticPr fontId="5" type="noConversion"/>
  </si>
  <si>
    <t>骷髅战士_2</t>
    <phoneticPr fontId="5" type="noConversion"/>
  </si>
  <si>
    <t>怪_骷髅法师_2</t>
    <phoneticPr fontId="5" type="noConversion"/>
  </si>
  <si>
    <t>骷髅法师_2</t>
    <phoneticPr fontId="5" type="noConversion"/>
  </si>
  <si>
    <t>怪_血族战士_2</t>
    <phoneticPr fontId="5" type="noConversion"/>
  </si>
  <si>
    <t>血族战士_2</t>
    <phoneticPr fontId="5" type="noConversion"/>
  </si>
  <si>
    <t>怪_血族法师_2</t>
    <phoneticPr fontId="5" type="noConversion"/>
  </si>
  <si>
    <t>血族法师_2</t>
    <phoneticPr fontId="5" type="noConversion"/>
  </si>
  <si>
    <t>怪_树人_3</t>
    <phoneticPr fontId="5" type="noConversion"/>
  </si>
  <si>
    <t>怪_狼人_3</t>
    <phoneticPr fontId="5" type="noConversion"/>
  </si>
  <si>
    <t>狼人_3</t>
    <phoneticPr fontId="5" type="noConversion"/>
  </si>
  <si>
    <t>树人_3</t>
    <phoneticPr fontId="5" type="noConversion"/>
  </si>
  <si>
    <t>新普攻粒子/兽人剑圣普通攻击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</si>
</sst>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6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20651875362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0" fontId="0" fillId="0" borderId="0" xfId="0" applyFont="1" applyAlignment="1"/>
    <xf numFmtId="0" fontId="0" fillId="2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 applyAlignment="1"/>
    <xf numFmtId="0" fontId="0" fillId="2" borderId="0" xfId="0" applyFont="1" applyFill="1" applyAlignment="1"/>
    <xf numFmtId="0" fontId="0" fillId="4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49" fontId="0" fillId="0" borderId="0" xfId="0" applyNumberFormat="1" applyAlignment="1"/>
    <xf numFmtId="0" fontId="1" fillId="0" borderId="0" xfId="0" applyNumberFormat="1" applyFont="1" applyFill="1" applyBorder="1" applyAlignment="1" applyProtection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177" fontId="1" fillId="0" borderId="0" xfId="0" applyNumberFormat="1" applyFont="1" applyFill="1" applyBorder="1" applyAlignment="1" applyProtection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Font="1" applyAlignment="1">
      <alignment horizontal="left" vertical="center"/>
    </xf>
    <xf numFmtId="0" fontId="0" fillId="5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49" fontId="4" fillId="0" borderId="0" xfId="0" applyNumberFormat="1" applyFont="1" applyAlignment="1"/>
    <xf numFmtId="0" fontId="4" fillId="5" borderId="0" xfId="0" applyFont="1" applyFill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left" vertical="center"/>
    </xf>
  </cellXfs>
  <cellStyles count="1">
    <cellStyle name="常规" xfId="0" builtinId="0"/>
  </cellStyles>
  <dxfs count="6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862"/>
  <sheetViews>
    <sheetView tabSelected="1" workbookViewId="0">
      <pane xSplit="2" ySplit="3" topLeftCell="C394" activePane="bottomRight" state="frozenSplit"/>
      <selection pane="topRight"/>
      <selection pane="bottomLeft"/>
      <selection pane="bottomRight" activeCell="I94" sqref="I94:I426"/>
    </sheetView>
  </sheetViews>
  <sheetFormatPr defaultColWidth="9" defaultRowHeight="13.5" x14ac:dyDescent="0.15"/>
  <cols>
    <col min="1" max="1" width="14.875" customWidth="1"/>
    <col min="2" max="2" width="19.375" bestFit="1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2.75" customWidth="1"/>
    <col min="27" max="30" width="11" customWidth="1"/>
    <col min="32" max="32" width="9" style="1"/>
    <col min="34" max="35" width="12.875"/>
    <col min="38" max="39" width="12.875"/>
    <col min="46" max="46" width="8.875" customWidth="1"/>
    <col min="47" max="47" width="22.125" customWidth="1"/>
    <col min="48" max="48" width="14" customWidth="1"/>
    <col min="51" max="51" width="20.375" customWidth="1"/>
    <col min="55" max="55" width="11.625" customWidth="1"/>
    <col min="58" max="58" width="9" customWidth="1"/>
    <col min="59" max="59" width="11" customWidth="1"/>
    <col min="60" max="60" width="11.625" customWidth="1"/>
  </cols>
  <sheetData>
    <row r="1" spans="1:68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7" t="s">
        <v>13</v>
      </c>
      <c r="O1" s="4" t="s">
        <v>14</v>
      </c>
      <c r="P1" s="8" t="s">
        <v>15</v>
      </c>
      <c r="Q1" s="4" t="s">
        <v>16</v>
      </c>
      <c r="R1" s="9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4" t="s">
        <v>22</v>
      </c>
      <c r="X1" s="2" t="s">
        <v>23</v>
      </c>
      <c r="Y1" s="10" t="s">
        <v>24</v>
      </c>
      <c r="Z1" s="2" t="s">
        <v>25</v>
      </c>
      <c r="AA1" s="4" t="s">
        <v>26</v>
      </c>
      <c r="AB1" s="4" t="s">
        <v>27</v>
      </c>
      <c r="AC1" s="4"/>
      <c r="AD1" s="4" t="s">
        <v>28</v>
      </c>
      <c r="AF1" s="11" t="s">
        <v>6</v>
      </c>
      <c r="AG1" s="2"/>
      <c r="AH1" s="2"/>
      <c r="AI1" s="2"/>
      <c r="AJ1" s="2"/>
      <c r="AK1" s="2"/>
      <c r="AL1" s="2"/>
      <c r="AM1" s="2"/>
      <c r="AN1" s="2"/>
      <c r="AO1" s="2"/>
      <c r="AP1" s="2"/>
      <c r="AQ1" s="6"/>
    </row>
    <row r="2" spans="1:68" x14ac:dyDescent="0.15">
      <c r="A2" s="3" t="s">
        <v>29</v>
      </c>
      <c r="B2" s="3" t="s">
        <v>30</v>
      </c>
      <c r="C2" t="s">
        <v>31</v>
      </c>
      <c r="D2" t="s">
        <v>31</v>
      </c>
      <c r="E2" t="s">
        <v>31</v>
      </c>
      <c r="F2" t="s">
        <v>30</v>
      </c>
      <c r="G2" t="s">
        <v>30</v>
      </c>
      <c r="H2" s="2" t="s">
        <v>30</v>
      </c>
      <c r="I2" s="3" t="s">
        <v>30</v>
      </c>
      <c r="J2" s="3" t="s">
        <v>32</v>
      </c>
      <c r="K2" s="3" t="s">
        <v>33</v>
      </c>
      <c r="L2" s="3" t="s">
        <v>33</v>
      </c>
      <c r="M2" s="3" t="s">
        <v>34</v>
      </c>
      <c r="N2" s="7" t="s">
        <v>33</v>
      </c>
      <c r="O2" s="4" t="s">
        <v>33</v>
      </c>
      <c r="P2" s="8" t="s">
        <v>33</v>
      </c>
      <c r="Q2" s="4" t="s">
        <v>33</v>
      </c>
      <c r="R2" s="9" t="s">
        <v>33</v>
      </c>
      <c r="S2" s="4" t="s">
        <v>33</v>
      </c>
      <c r="T2" s="3" t="s">
        <v>33</v>
      </c>
      <c r="U2" s="3" t="s">
        <v>33</v>
      </c>
      <c r="V2" s="3" t="s">
        <v>33</v>
      </c>
      <c r="W2" s="3" t="s">
        <v>33</v>
      </c>
      <c r="X2" s="3" t="s">
        <v>33</v>
      </c>
      <c r="Y2" s="3" t="s">
        <v>29</v>
      </c>
      <c r="Z2" s="3" t="s">
        <v>35</v>
      </c>
      <c r="AA2" s="3" t="s">
        <v>36</v>
      </c>
      <c r="AB2" s="4" t="s">
        <v>32</v>
      </c>
      <c r="AC2" s="4"/>
      <c r="AD2" s="4">
        <v>100</v>
      </c>
      <c r="AQ2" s="6"/>
    </row>
    <row r="3" spans="1:68" x14ac:dyDescent="0.15">
      <c r="A3" s="2" t="s">
        <v>37</v>
      </c>
      <c r="B3" s="2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  <c r="H3" s="4" t="s">
        <v>44</v>
      </c>
      <c r="I3" s="4" t="s">
        <v>45</v>
      </c>
      <c r="J3" s="4" t="s">
        <v>46</v>
      </c>
      <c r="K3" s="4" t="s">
        <v>47</v>
      </c>
      <c r="L3" s="4" t="s">
        <v>48</v>
      </c>
      <c r="M3" s="3" t="s">
        <v>49</v>
      </c>
      <c r="N3" s="7" t="s">
        <v>50</v>
      </c>
      <c r="O3" s="4" t="s">
        <v>51</v>
      </c>
      <c r="P3" s="8" t="s">
        <v>52</v>
      </c>
      <c r="Q3" s="4" t="s">
        <v>53</v>
      </c>
      <c r="R3" s="9" t="s">
        <v>54</v>
      </c>
      <c r="S3" s="4" t="s">
        <v>55</v>
      </c>
      <c r="T3" s="2" t="s">
        <v>56</v>
      </c>
      <c r="U3" s="2" t="s">
        <v>57</v>
      </c>
      <c r="V3" s="4" t="s">
        <v>58</v>
      </c>
      <c r="W3" s="4" t="s">
        <v>59</v>
      </c>
      <c r="X3" s="2" t="s">
        <v>60</v>
      </c>
      <c r="Y3" s="2" t="s">
        <v>61</v>
      </c>
      <c r="Z3" s="2" t="s">
        <v>62</v>
      </c>
      <c r="AA3" s="4" t="s">
        <v>63</v>
      </c>
      <c r="AB3" s="4" t="s">
        <v>64</v>
      </c>
      <c r="AC3" s="4"/>
      <c r="AD3" s="4" t="s">
        <v>65</v>
      </c>
      <c r="AG3" s="2" t="s">
        <v>39</v>
      </c>
      <c r="AH3" s="4" t="s">
        <v>66</v>
      </c>
      <c r="AI3" s="4" t="s">
        <v>67</v>
      </c>
      <c r="AJ3" s="4" t="s">
        <v>52</v>
      </c>
      <c r="AK3" s="4" t="s">
        <v>53</v>
      </c>
      <c r="AL3" s="4" t="s">
        <v>54</v>
      </c>
      <c r="AM3" s="4" t="s">
        <v>55</v>
      </c>
      <c r="AN3" s="4" t="s">
        <v>47</v>
      </c>
      <c r="AO3" s="4" t="s">
        <v>68</v>
      </c>
      <c r="AP3" s="4" t="s">
        <v>46</v>
      </c>
      <c r="AQ3" s="4" t="s">
        <v>69</v>
      </c>
      <c r="AR3" s="4" t="s">
        <v>70</v>
      </c>
      <c r="AT3" s="6" t="s">
        <v>71</v>
      </c>
      <c r="AV3">
        <v>1</v>
      </c>
      <c r="AW3">
        <v>1</v>
      </c>
      <c r="AX3">
        <v>1</v>
      </c>
      <c r="AY3" s="6"/>
      <c r="AZ3" s="15" t="s">
        <v>72</v>
      </c>
      <c r="BA3" s="15" t="s">
        <v>73</v>
      </c>
      <c r="BB3" s="15" t="s">
        <v>74</v>
      </c>
      <c r="BE3" s="15" t="s">
        <v>75</v>
      </c>
      <c r="BG3" s="6" t="s">
        <v>76</v>
      </c>
    </row>
    <row r="4" spans="1:68" x14ac:dyDescent="0.15">
      <c r="A4">
        <f t="shared" ref="A4:A32" si="0">AR4*1000000+AQ4*1000+C4*10+E4</f>
        <v>3202031</v>
      </c>
      <c r="B4" s="5" t="s">
        <v>94</v>
      </c>
      <c r="C4">
        <v>3</v>
      </c>
      <c r="D4">
        <v>2</v>
      </c>
      <c r="E4">
        <v>1</v>
      </c>
      <c r="F4" t="s">
        <v>95</v>
      </c>
      <c r="G4" t="s">
        <v>95</v>
      </c>
      <c r="H4">
        <v>0</v>
      </c>
      <c r="I4" s="2" t="s">
        <v>96</v>
      </c>
      <c r="J4" s="2">
        <f t="shared" ref="J4:J32" si="1">AP4</f>
        <v>3</v>
      </c>
      <c r="K4" s="2">
        <f t="shared" ref="K4:K32" si="2">FLOOR(AN4/1,0.01)</f>
        <v>1.8</v>
      </c>
      <c r="L4" s="2">
        <f t="shared" ref="L4:L32" si="3">FLOOR(AO4/1,0.01)</f>
        <v>2</v>
      </c>
      <c r="M4" s="2">
        <v>10</v>
      </c>
      <c r="N4" s="2">
        <f t="shared" ref="N4:N32" si="4">ROUND(AH4,2)</f>
        <v>103.68</v>
      </c>
      <c r="O4" s="2">
        <f t="shared" ref="O4:O32" si="5">ROUND(AI4,2)</f>
        <v>10.37</v>
      </c>
      <c r="P4" s="2">
        <f t="shared" ref="P4:P32" si="6">ROUND(AJ4,2)</f>
        <v>1280</v>
      </c>
      <c r="Q4" s="2">
        <f t="shared" ref="Q4:Q32" si="7">ROUND(AK4,2)</f>
        <v>128</v>
      </c>
      <c r="R4" s="2">
        <f t="shared" ref="R4:R32" si="8">ROUND(AL4,2)</f>
        <v>20.74</v>
      </c>
      <c r="S4" s="2">
        <f t="shared" ref="S4:S32" si="9">ROUND(AM4,2)</f>
        <v>2.0699999999999998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4">
        <v>312021</v>
      </c>
      <c r="Z4" s="12" t="s">
        <v>416</v>
      </c>
      <c r="AA4" s="4">
        <v>1</v>
      </c>
      <c r="AB4" s="4">
        <v>0</v>
      </c>
      <c r="AC4" s="4"/>
      <c r="AD4" s="4">
        <f t="shared" ref="AD4:AD22" si="10">(N4+O4*$AD$2)*(P4+Q4*$AD$2)/K4*0.945/3000</f>
        <v>2810.6355199999994</v>
      </c>
      <c r="AF4" s="1" t="str">
        <f t="shared" ref="AF4:AF31" si="11">RIGHT(AQ4,1)</f>
        <v>2</v>
      </c>
      <c r="AG4">
        <v>3</v>
      </c>
      <c r="AH4">
        <f t="shared" ref="AH4:AH32" si="12">INDEX($AV$5:$AV$50,MATCH($AQ4,$AT$5:$AT$50))*$AN4/1.5*$AZ$4*INDEX($AV$87:$BI$87,MATCH($AG4,$AV$86:$BI$86))</f>
        <v>103.68</v>
      </c>
      <c r="AI4">
        <f t="shared" ref="AI4:AI32" si="13">(INDEX($AV$5:$AV$50,MATCH($AQ4,$AT$5:$AT$50))*$AN4/1.5*$AZ$4*INDEX($AV$87:$BI$87,MATCH($AG4,$AV$86:$BI$86)))*0.1</f>
        <v>10.368000000000002</v>
      </c>
      <c r="AJ4">
        <f t="shared" ref="AJ4:AJ32" si="14">INDEX($AW$5:$AW$50,MATCH($AQ4,$AT$5:$AT$50))*$BA$4*INDEX($AV$87:$BI$87,MATCH($AG4,$AV$86:$BI$86))</f>
        <v>1280</v>
      </c>
      <c r="AK4">
        <f t="shared" ref="AK4:AK32" si="15">(INDEX($AW$5:$AW$50,MATCH($AQ4,$AT$5:$AT$50))*$BA$4*INDEX($AV$87:$BI$87,MATCH($AG4,$AV$86:$BI$86)))*0.1</f>
        <v>128</v>
      </c>
      <c r="AL4">
        <f t="shared" ref="AL4:AL32" si="16">$AH4/INDEX($AX$5:$AX$50,MATCH($AQ4,$AT$5:$AT$50))</f>
        <v>20.736000000000001</v>
      </c>
      <c r="AM4">
        <f t="shared" ref="AM4:AM32" si="17">AL4*0.1</f>
        <v>2.0736000000000003</v>
      </c>
      <c r="AN4">
        <f t="shared" ref="AN4:AN32" si="18">INDEX($AY$5:$AY$50,MATCH($AQ4,$AT$5:$AT$50,0))</f>
        <v>1.8</v>
      </c>
      <c r="AO4">
        <f t="shared" ref="AO4:AO32" si="19">ROUND(IF(INDEX($BG$5:$BG$50,MATCH($AQ4,$AT$5:$AT$50,0))&lt;2,INDEX($BG$5:$BG$49,MATCH($AQ4,$AT$5:$AT$49,0))+0.2,2),1)</f>
        <v>2</v>
      </c>
      <c r="AP4">
        <f t="shared" ref="AP4:AP32" si="20">INDEX($BC$5:$BC$50,MATCH($AQ4,$AT$5:$AT$50,0))</f>
        <v>3</v>
      </c>
      <c r="AQ4">
        <v>202</v>
      </c>
      <c r="AR4">
        <v>3</v>
      </c>
      <c r="AT4" s="6" t="s">
        <v>79</v>
      </c>
      <c r="AU4" s="4" t="s">
        <v>80</v>
      </c>
      <c r="AV4" s="2" t="s">
        <v>81</v>
      </c>
      <c r="AW4" s="2" t="s">
        <v>82</v>
      </c>
      <c r="AX4" s="2" t="s">
        <v>83</v>
      </c>
      <c r="AY4" s="4" t="s">
        <v>84</v>
      </c>
      <c r="AZ4" s="16">
        <v>80</v>
      </c>
      <c r="BA4" s="16">
        <v>960</v>
      </c>
      <c r="BB4" s="16">
        <v>30</v>
      </c>
      <c r="BC4" s="6" t="s">
        <v>46</v>
      </c>
      <c r="BD4" s="6" t="s">
        <v>85</v>
      </c>
      <c r="BE4" s="6" t="s">
        <v>86</v>
      </c>
      <c r="BF4" s="6" t="s">
        <v>87</v>
      </c>
      <c r="BG4" s="6" t="s">
        <v>88</v>
      </c>
      <c r="BH4" s="3" t="s">
        <v>89</v>
      </c>
      <c r="BO4" t="s">
        <v>90</v>
      </c>
      <c r="BP4" t="str">
        <f>RIGHT(BO4,1)</f>
        <v>角</v>
      </c>
    </row>
    <row r="5" spans="1:68" x14ac:dyDescent="0.15">
      <c r="A5">
        <f t="shared" si="0"/>
        <v>3301031</v>
      </c>
      <c r="B5" s="5" t="s">
        <v>98</v>
      </c>
      <c r="C5">
        <v>3</v>
      </c>
      <c r="D5">
        <v>3</v>
      </c>
      <c r="E5">
        <v>1</v>
      </c>
      <c r="F5" t="s">
        <v>99</v>
      </c>
      <c r="G5" t="s">
        <v>99</v>
      </c>
      <c r="H5" s="2">
        <v>0</v>
      </c>
      <c r="I5" s="2" t="s">
        <v>100</v>
      </c>
      <c r="J5" s="2">
        <f t="shared" si="1"/>
        <v>3</v>
      </c>
      <c r="K5" s="2">
        <f t="shared" si="2"/>
        <v>1.2</v>
      </c>
      <c r="L5" s="2">
        <f t="shared" si="3"/>
        <v>2</v>
      </c>
      <c r="M5" s="2">
        <v>10</v>
      </c>
      <c r="N5" s="2">
        <f t="shared" si="4"/>
        <v>69.12</v>
      </c>
      <c r="O5" s="2">
        <f t="shared" si="5"/>
        <v>6.91</v>
      </c>
      <c r="P5" s="2">
        <f t="shared" si="6"/>
        <v>1280</v>
      </c>
      <c r="Q5" s="2">
        <f t="shared" si="7"/>
        <v>128</v>
      </c>
      <c r="R5" s="2">
        <f t="shared" si="8"/>
        <v>13.82</v>
      </c>
      <c r="S5" s="2">
        <f t="shared" si="9"/>
        <v>1.38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4">
        <v>313011</v>
      </c>
      <c r="Z5" s="12" t="s">
        <v>417</v>
      </c>
      <c r="AA5" s="4">
        <v>1</v>
      </c>
      <c r="AB5" s="4">
        <v>0</v>
      </c>
      <c r="AC5" s="4"/>
      <c r="AD5" s="4">
        <f t="shared" si="10"/>
        <v>2809.4035200000003</v>
      </c>
      <c r="AF5" s="1" t="str">
        <f t="shared" si="11"/>
        <v>1</v>
      </c>
      <c r="AG5">
        <v>3</v>
      </c>
      <c r="AH5">
        <f t="shared" si="12"/>
        <v>69.12</v>
      </c>
      <c r="AI5">
        <f t="shared" si="13"/>
        <v>6.9120000000000008</v>
      </c>
      <c r="AJ5">
        <f t="shared" si="14"/>
        <v>1280</v>
      </c>
      <c r="AK5">
        <f t="shared" si="15"/>
        <v>128</v>
      </c>
      <c r="AL5">
        <f t="shared" si="16"/>
        <v>13.824000000000002</v>
      </c>
      <c r="AM5">
        <f t="shared" si="17"/>
        <v>1.3824000000000003</v>
      </c>
      <c r="AN5">
        <f t="shared" si="18"/>
        <v>1.2</v>
      </c>
      <c r="AO5">
        <f t="shared" si="19"/>
        <v>2</v>
      </c>
      <c r="AP5">
        <f t="shared" si="20"/>
        <v>3</v>
      </c>
      <c r="AQ5">
        <v>301</v>
      </c>
      <c r="AR5">
        <v>3</v>
      </c>
      <c r="AT5">
        <v>1</v>
      </c>
      <c r="AU5" s="6" t="s">
        <v>93</v>
      </c>
      <c r="AV5">
        <v>1</v>
      </c>
      <c r="AW5">
        <f>1/AV5</f>
        <v>1</v>
      </c>
      <c r="AX5" s="17">
        <v>3</v>
      </c>
      <c r="AY5" s="4">
        <v>1.3</v>
      </c>
      <c r="AZ5" s="18">
        <f>AV5*$AZ$4*AY5/1.5</f>
        <v>69.333333333333329</v>
      </c>
      <c r="BA5" s="18">
        <f>AW5*$BA$4</f>
        <v>960</v>
      </c>
      <c r="BB5" s="18">
        <f>$AZ5/AX5</f>
        <v>23.111111111111111</v>
      </c>
      <c r="BC5">
        <v>3</v>
      </c>
      <c r="BD5" s="6">
        <f>AZ5*(1/AY5)</f>
        <v>53.333333333333321</v>
      </c>
      <c r="BE5">
        <f>BF5/30</f>
        <v>1.5</v>
      </c>
      <c r="BF5">
        <v>45</v>
      </c>
      <c r="BG5">
        <f t="shared" ref="BG5:BG50" si="21">BH5/30</f>
        <v>1.3333333333333333</v>
      </c>
      <c r="BH5">
        <v>40</v>
      </c>
      <c r="BI5">
        <v>1.5</v>
      </c>
      <c r="BO5" t="s">
        <v>90</v>
      </c>
      <c r="BP5" t="str">
        <f t="shared" ref="BP5:BP68" si="22">RIGHT(BO5,1)</f>
        <v>角</v>
      </c>
    </row>
    <row r="6" spans="1:68" x14ac:dyDescent="0.15">
      <c r="A6">
        <f t="shared" si="0"/>
        <v>3502031</v>
      </c>
      <c r="B6" s="5" t="s">
        <v>111</v>
      </c>
      <c r="C6">
        <v>3</v>
      </c>
      <c r="D6">
        <v>5</v>
      </c>
      <c r="E6">
        <v>1</v>
      </c>
      <c r="F6" t="s">
        <v>112</v>
      </c>
      <c r="G6" t="s">
        <v>112</v>
      </c>
      <c r="H6" s="2">
        <v>0</v>
      </c>
      <c r="I6" s="2" t="s">
        <v>113</v>
      </c>
      <c r="J6" s="2">
        <f t="shared" si="1"/>
        <v>6</v>
      </c>
      <c r="K6" s="2">
        <f t="shared" si="2"/>
        <v>1.4000000000000001</v>
      </c>
      <c r="L6" s="2">
        <f t="shared" si="3"/>
        <v>2</v>
      </c>
      <c r="M6" s="2">
        <v>10</v>
      </c>
      <c r="N6" s="2">
        <f t="shared" si="4"/>
        <v>125.44</v>
      </c>
      <c r="O6" s="2">
        <f t="shared" si="5"/>
        <v>12.54</v>
      </c>
      <c r="P6" s="2">
        <f t="shared" si="6"/>
        <v>822.86</v>
      </c>
      <c r="Q6" s="2">
        <f t="shared" si="7"/>
        <v>82.29</v>
      </c>
      <c r="R6" s="2">
        <f t="shared" si="8"/>
        <v>15.68</v>
      </c>
      <c r="S6" s="2">
        <f t="shared" si="9"/>
        <v>1.57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4">
        <v>315021</v>
      </c>
      <c r="Z6" s="12" t="s">
        <v>418</v>
      </c>
      <c r="AA6" s="4">
        <v>1</v>
      </c>
      <c r="AB6" s="4">
        <v>0</v>
      </c>
      <c r="AC6" s="4"/>
      <c r="AD6" s="4">
        <f t="shared" si="10"/>
        <v>2809.4619956399997</v>
      </c>
      <c r="AF6" s="1" t="str">
        <f t="shared" si="11"/>
        <v>2</v>
      </c>
      <c r="AG6">
        <v>3</v>
      </c>
      <c r="AH6">
        <f t="shared" si="12"/>
        <v>125.43999999999997</v>
      </c>
      <c r="AI6">
        <f t="shared" si="13"/>
        <v>12.543999999999997</v>
      </c>
      <c r="AJ6">
        <f t="shared" si="14"/>
        <v>822.85714285714289</v>
      </c>
      <c r="AK6">
        <f t="shared" si="15"/>
        <v>82.285714285714292</v>
      </c>
      <c r="AL6">
        <f t="shared" si="16"/>
        <v>15.679999999999996</v>
      </c>
      <c r="AM6">
        <f t="shared" si="17"/>
        <v>1.5679999999999996</v>
      </c>
      <c r="AN6">
        <f t="shared" si="18"/>
        <v>1.4</v>
      </c>
      <c r="AO6">
        <f t="shared" si="19"/>
        <v>2</v>
      </c>
      <c r="AP6">
        <f t="shared" si="20"/>
        <v>6</v>
      </c>
      <c r="AQ6">
        <v>502</v>
      </c>
      <c r="AR6">
        <v>3</v>
      </c>
      <c r="AT6">
        <v>200</v>
      </c>
      <c r="AU6" s="4" t="s">
        <v>97</v>
      </c>
      <c r="AV6" s="13">
        <v>1</v>
      </c>
      <c r="AW6">
        <f>1/AV6</f>
        <v>1</v>
      </c>
      <c r="AX6" s="17">
        <v>4</v>
      </c>
      <c r="AY6" s="4">
        <v>1.5</v>
      </c>
      <c r="AZ6" s="18">
        <f t="shared" ref="AZ6:AZ20" si="23">AV6*$AZ$4*AY6/1.5</f>
        <v>80</v>
      </c>
      <c r="BA6" s="18">
        <f t="shared" ref="BA6:BA20" si="24">AW6*$BA$4</f>
        <v>960</v>
      </c>
      <c r="BB6" s="18">
        <f t="shared" ref="BB6:BB50" si="25">$AZ6/AX6</f>
        <v>20</v>
      </c>
      <c r="BC6">
        <v>3</v>
      </c>
      <c r="BD6" s="6">
        <f t="shared" ref="BD6:BD24" si="26">AZ6*(1/AY6)</f>
        <v>53.333333333333329</v>
      </c>
      <c r="BE6">
        <f t="shared" ref="BE6:BE24" si="27">BF6/30</f>
        <v>1</v>
      </c>
      <c r="BF6">
        <v>30</v>
      </c>
      <c r="BG6">
        <f t="shared" si="21"/>
        <v>1</v>
      </c>
      <c r="BH6">
        <v>30</v>
      </c>
      <c r="BI6" s="2">
        <v>1.5</v>
      </c>
      <c r="BO6" t="s">
        <v>90</v>
      </c>
      <c r="BP6" t="str">
        <f t="shared" si="22"/>
        <v>角</v>
      </c>
    </row>
    <row r="7" spans="1:68" x14ac:dyDescent="0.15">
      <c r="A7">
        <f t="shared" si="0"/>
        <v>3201032</v>
      </c>
      <c r="B7" s="5" t="s">
        <v>91</v>
      </c>
      <c r="C7">
        <v>3</v>
      </c>
      <c r="D7">
        <v>2</v>
      </c>
      <c r="E7">
        <v>2</v>
      </c>
      <c r="F7" t="s">
        <v>119</v>
      </c>
      <c r="G7" t="s">
        <v>119</v>
      </c>
      <c r="H7">
        <v>0</v>
      </c>
      <c r="I7" s="4" t="s">
        <v>92</v>
      </c>
      <c r="J7" s="2">
        <f t="shared" si="1"/>
        <v>3</v>
      </c>
      <c r="K7" s="2">
        <f t="shared" si="2"/>
        <v>1.8</v>
      </c>
      <c r="L7" s="2">
        <f t="shared" si="3"/>
        <v>1.8</v>
      </c>
      <c r="M7" s="2">
        <v>10</v>
      </c>
      <c r="N7" s="2">
        <f t="shared" si="4"/>
        <v>92.16</v>
      </c>
      <c r="O7" s="2">
        <f t="shared" si="5"/>
        <v>9.2200000000000006</v>
      </c>
      <c r="P7" s="2">
        <f t="shared" si="6"/>
        <v>1440</v>
      </c>
      <c r="Q7" s="2">
        <f t="shared" si="7"/>
        <v>144</v>
      </c>
      <c r="R7" s="2">
        <f t="shared" si="8"/>
        <v>30.72</v>
      </c>
      <c r="S7" s="2">
        <f t="shared" si="9"/>
        <v>3.07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5">
        <v>322011</v>
      </c>
      <c r="Z7" s="12" t="s">
        <v>419</v>
      </c>
      <c r="AA7" s="4">
        <v>1</v>
      </c>
      <c r="AB7" s="4">
        <v>0</v>
      </c>
      <c r="AC7" s="4"/>
      <c r="AD7" s="4">
        <f t="shared" si="10"/>
        <v>2811.2515199999993</v>
      </c>
      <c r="AF7" s="1" t="str">
        <f t="shared" si="11"/>
        <v>1</v>
      </c>
      <c r="AG7">
        <v>3</v>
      </c>
      <c r="AH7">
        <f t="shared" si="12"/>
        <v>92.160000000000011</v>
      </c>
      <c r="AI7">
        <f t="shared" si="13"/>
        <v>9.2160000000000011</v>
      </c>
      <c r="AJ7">
        <f t="shared" si="14"/>
        <v>1440</v>
      </c>
      <c r="AK7">
        <f t="shared" si="15"/>
        <v>144</v>
      </c>
      <c r="AL7">
        <f t="shared" si="16"/>
        <v>30.720000000000002</v>
      </c>
      <c r="AM7">
        <f t="shared" si="17"/>
        <v>3.0720000000000005</v>
      </c>
      <c r="AN7">
        <f t="shared" si="18"/>
        <v>1.8</v>
      </c>
      <c r="AO7">
        <f t="shared" si="19"/>
        <v>1.8</v>
      </c>
      <c r="AP7">
        <f t="shared" si="20"/>
        <v>3</v>
      </c>
      <c r="AQ7">
        <v>201</v>
      </c>
      <c r="AR7">
        <v>3</v>
      </c>
      <c r="AT7">
        <v>201</v>
      </c>
      <c r="AU7" s="6" t="s">
        <v>101</v>
      </c>
      <c r="AV7" s="13">
        <v>0.8</v>
      </c>
      <c r="AW7">
        <f t="shared" ref="AW7:AW50" si="28">1/AV7</f>
        <v>1.25</v>
      </c>
      <c r="AX7" s="17">
        <v>3</v>
      </c>
      <c r="AY7" s="4">
        <v>1.8</v>
      </c>
      <c r="AZ7" s="18">
        <f t="shared" si="23"/>
        <v>76.8</v>
      </c>
      <c r="BA7" s="18">
        <f t="shared" si="24"/>
        <v>1200</v>
      </c>
      <c r="BB7" s="18">
        <f t="shared" si="25"/>
        <v>25.599999999999998</v>
      </c>
      <c r="BC7">
        <v>3</v>
      </c>
      <c r="BD7" s="6">
        <f t="shared" si="26"/>
        <v>42.666666666666664</v>
      </c>
      <c r="BE7">
        <f t="shared" si="27"/>
        <v>1.6666666666666667</v>
      </c>
      <c r="BF7">
        <v>50</v>
      </c>
      <c r="BG7">
        <f t="shared" si="21"/>
        <v>1.6</v>
      </c>
      <c r="BH7">
        <v>48</v>
      </c>
      <c r="BI7">
        <v>1.5</v>
      </c>
      <c r="BO7" t="s">
        <v>90</v>
      </c>
      <c r="BP7" t="str">
        <f t="shared" si="22"/>
        <v>角</v>
      </c>
    </row>
    <row r="8" spans="1:68" x14ac:dyDescent="0.15">
      <c r="A8">
        <f t="shared" si="0"/>
        <v>3500032</v>
      </c>
      <c r="B8" s="5" t="s">
        <v>108</v>
      </c>
      <c r="C8">
        <v>3</v>
      </c>
      <c r="D8">
        <v>5</v>
      </c>
      <c r="E8">
        <v>2</v>
      </c>
      <c r="F8" t="s">
        <v>125</v>
      </c>
      <c r="G8" t="s">
        <v>125</v>
      </c>
      <c r="H8" s="2">
        <v>0</v>
      </c>
      <c r="I8" s="2" t="s">
        <v>109</v>
      </c>
      <c r="J8" s="2">
        <f t="shared" si="1"/>
        <v>6</v>
      </c>
      <c r="K8" s="2">
        <f t="shared" si="2"/>
        <v>1.5</v>
      </c>
      <c r="L8" s="2">
        <f t="shared" si="3"/>
        <v>1.5</v>
      </c>
      <c r="M8" s="2">
        <v>10</v>
      </c>
      <c r="N8" s="2">
        <f t="shared" si="4"/>
        <v>134.4</v>
      </c>
      <c r="O8" s="2">
        <f t="shared" si="5"/>
        <v>13.44</v>
      </c>
      <c r="P8" s="2">
        <f t="shared" si="6"/>
        <v>822.86</v>
      </c>
      <c r="Q8" s="2">
        <f t="shared" si="7"/>
        <v>82.29</v>
      </c>
      <c r="R8" s="2">
        <f t="shared" si="8"/>
        <v>16.8</v>
      </c>
      <c r="S8" s="2">
        <f t="shared" si="9"/>
        <v>1.68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5">
        <v>325001</v>
      </c>
      <c r="Z8" s="12" t="s">
        <v>420</v>
      </c>
      <c r="AA8" s="4">
        <v>1</v>
      </c>
      <c r="AB8" s="4">
        <v>0</v>
      </c>
      <c r="AC8" s="4"/>
      <c r="AD8" s="4">
        <f t="shared" si="10"/>
        <v>2810.2766630399997</v>
      </c>
      <c r="AF8" s="1" t="str">
        <f t="shared" si="11"/>
        <v>0</v>
      </c>
      <c r="AG8">
        <v>3</v>
      </c>
      <c r="AH8">
        <f t="shared" si="12"/>
        <v>134.39999999999995</v>
      </c>
      <c r="AI8">
        <f t="shared" si="13"/>
        <v>13.439999999999996</v>
      </c>
      <c r="AJ8">
        <f t="shared" si="14"/>
        <v>822.85714285714289</v>
      </c>
      <c r="AK8">
        <f t="shared" si="15"/>
        <v>82.285714285714292</v>
      </c>
      <c r="AL8">
        <f t="shared" si="16"/>
        <v>16.799999999999994</v>
      </c>
      <c r="AM8">
        <f t="shared" si="17"/>
        <v>1.6799999999999995</v>
      </c>
      <c r="AN8">
        <f t="shared" si="18"/>
        <v>1.5</v>
      </c>
      <c r="AO8">
        <f t="shared" si="19"/>
        <v>1.5</v>
      </c>
      <c r="AP8">
        <f t="shared" si="20"/>
        <v>6</v>
      </c>
      <c r="AQ8">
        <v>500</v>
      </c>
      <c r="AR8">
        <v>3</v>
      </c>
      <c r="AT8">
        <v>202</v>
      </c>
      <c r="AU8" s="4" t="s">
        <v>104</v>
      </c>
      <c r="AV8" s="13">
        <v>0.9</v>
      </c>
      <c r="AW8">
        <f t="shared" si="28"/>
        <v>1.1111111111111112</v>
      </c>
      <c r="AX8" s="17">
        <v>5</v>
      </c>
      <c r="AY8" s="4">
        <v>1.8</v>
      </c>
      <c r="AZ8" s="18">
        <f t="shared" si="23"/>
        <v>86.399999999999991</v>
      </c>
      <c r="BA8" s="18">
        <f t="shared" si="24"/>
        <v>1066.6666666666667</v>
      </c>
      <c r="BB8" s="18">
        <f t="shared" si="25"/>
        <v>17.279999999999998</v>
      </c>
      <c r="BC8">
        <v>3</v>
      </c>
      <c r="BD8" s="6">
        <f t="shared" si="26"/>
        <v>48</v>
      </c>
      <c r="BE8">
        <f t="shared" si="27"/>
        <v>1.6666666666666667</v>
      </c>
      <c r="BF8">
        <v>50</v>
      </c>
      <c r="BG8">
        <f t="shared" si="21"/>
        <v>2</v>
      </c>
      <c r="BH8">
        <v>60</v>
      </c>
      <c r="BI8" s="2">
        <v>1.5</v>
      </c>
      <c r="BO8" t="s">
        <v>90</v>
      </c>
      <c r="BP8" t="str">
        <f t="shared" si="22"/>
        <v>角</v>
      </c>
    </row>
    <row r="9" spans="1:68" x14ac:dyDescent="0.15">
      <c r="A9">
        <f t="shared" si="0"/>
        <v>3601032</v>
      </c>
      <c r="B9" s="5" t="s">
        <v>115</v>
      </c>
      <c r="C9">
        <v>3</v>
      </c>
      <c r="D9">
        <v>6</v>
      </c>
      <c r="E9">
        <v>2</v>
      </c>
      <c r="F9" t="s">
        <v>128</v>
      </c>
      <c r="G9" t="s">
        <v>128</v>
      </c>
      <c r="H9" s="2">
        <v>0</v>
      </c>
      <c r="I9" s="2" t="s">
        <v>116</v>
      </c>
      <c r="J9" s="2">
        <f t="shared" si="1"/>
        <v>6</v>
      </c>
      <c r="K9" s="2">
        <f t="shared" si="2"/>
        <v>1.5</v>
      </c>
      <c r="L9" s="2">
        <f t="shared" si="3"/>
        <v>2</v>
      </c>
      <c r="M9" s="2">
        <v>10</v>
      </c>
      <c r="N9" s="2">
        <f t="shared" si="4"/>
        <v>148.80000000000001</v>
      </c>
      <c r="O9" s="2">
        <f t="shared" si="5"/>
        <v>14.88</v>
      </c>
      <c r="P9" s="2">
        <f t="shared" si="6"/>
        <v>743.23</v>
      </c>
      <c r="Q9" s="2">
        <f t="shared" si="7"/>
        <v>74.319999999999993</v>
      </c>
      <c r="R9" s="2">
        <f t="shared" si="8"/>
        <v>14.88</v>
      </c>
      <c r="S9" s="2">
        <f t="shared" si="9"/>
        <v>1.49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5">
        <v>326011</v>
      </c>
      <c r="Z9" s="12" t="s">
        <v>421</v>
      </c>
      <c r="AA9" s="4">
        <v>1</v>
      </c>
      <c r="AB9" s="4">
        <v>0</v>
      </c>
      <c r="AC9" s="4"/>
      <c r="AD9" s="4">
        <f t="shared" si="10"/>
        <v>2810.0554574399998</v>
      </c>
      <c r="AF9" s="1" t="str">
        <f t="shared" si="11"/>
        <v>1</v>
      </c>
      <c r="AG9">
        <v>3</v>
      </c>
      <c r="AH9">
        <f t="shared" si="12"/>
        <v>148.79999999999998</v>
      </c>
      <c r="AI9">
        <f t="shared" si="13"/>
        <v>14.879999999999999</v>
      </c>
      <c r="AJ9">
        <f t="shared" si="14"/>
        <v>743.22580645161293</v>
      </c>
      <c r="AK9">
        <f t="shared" si="15"/>
        <v>74.322580645161295</v>
      </c>
      <c r="AL9">
        <f t="shared" si="16"/>
        <v>14.879999999999999</v>
      </c>
      <c r="AM9">
        <f t="shared" si="17"/>
        <v>1.488</v>
      </c>
      <c r="AN9">
        <f t="shared" si="18"/>
        <v>1.5</v>
      </c>
      <c r="AO9">
        <f t="shared" si="19"/>
        <v>2</v>
      </c>
      <c r="AP9">
        <f t="shared" si="20"/>
        <v>6</v>
      </c>
      <c r="AQ9">
        <v>601</v>
      </c>
      <c r="AR9">
        <v>3</v>
      </c>
      <c r="AT9" s="4">
        <v>300</v>
      </c>
      <c r="AU9" s="4" t="s">
        <v>107</v>
      </c>
      <c r="AV9" s="13">
        <v>1.1499999999999999</v>
      </c>
      <c r="AW9">
        <f t="shared" si="28"/>
        <v>0.86956521739130443</v>
      </c>
      <c r="AX9" s="17">
        <v>8</v>
      </c>
      <c r="AY9" s="4">
        <v>1.3</v>
      </c>
      <c r="AZ9" s="18">
        <f t="shared" si="23"/>
        <v>79.733333333333334</v>
      </c>
      <c r="BA9" s="18">
        <f t="shared" si="24"/>
        <v>834.78260869565224</v>
      </c>
      <c r="BB9" s="18">
        <f t="shared" si="25"/>
        <v>9.9666666666666668</v>
      </c>
      <c r="BC9">
        <v>3</v>
      </c>
      <c r="BD9" s="6">
        <f t="shared" si="26"/>
        <v>61.333333333333329</v>
      </c>
      <c r="BE9">
        <f t="shared" si="27"/>
        <v>1</v>
      </c>
      <c r="BF9">
        <v>30</v>
      </c>
      <c r="BG9">
        <f t="shared" si="21"/>
        <v>1.6666666666666667</v>
      </c>
      <c r="BH9">
        <v>50</v>
      </c>
      <c r="BI9" s="4">
        <v>1.2</v>
      </c>
      <c r="BO9" t="s">
        <v>90</v>
      </c>
      <c r="BP9" t="str">
        <f t="shared" si="22"/>
        <v>角</v>
      </c>
    </row>
    <row r="10" spans="1:68" x14ac:dyDescent="0.15">
      <c r="A10">
        <f t="shared" si="0"/>
        <v>3200033</v>
      </c>
      <c r="B10" s="5" t="s">
        <v>77</v>
      </c>
      <c r="C10">
        <v>3</v>
      </c>
      <c r="D10">
        <v>2</v>
      </c>
      <c r="E10">
        <v>3</v>
      </c>
      <c r="F10" t="s">
        <v>130</v>
      </c>
      <c r="G10" t="s">
        <v>130</v>
      </c>
      <c r="H10">
        <v>0</v>
      </c>
      <c r="I10" s="2" t="s">
        <v>78</v>
      </c>
      <c r="J10" s="2">
        <f t="shared" si="1"/>
        <v>3</v>
      </c>
      <c r="K10" s="2">
        <f t="shared" si="2"/>
        <v>1.5</v>
      </c>
      <c r="L10" s="2">
        <f t="shared" si="3"/>
        <v>1.2</v>
      </c>
      <c r="M10" s="2">
        <v>10</v>
      </c>
      <c r="N10" s="2">
        <f t="shared" si="4"/>
        <v>96</v>
      </c>
      <c r="O10" s="2">
        <f t="shared" si="5"/>
        <v>9.6</v>
      </c>
      <c r="P10" s="2">
        <f t="shared" si="6"/>
        <v>1152</v>
      </c>
      <c r="Q10" s="2">
        <f t="shared" si="7"/>
        <v>115.2</v>
      </c>
      <c r="R10" s="2">
        <f t="shared" si="8"/>
        <v>24</v>
      </c>
      <c r="S10" s="2">
        <f t="shared" si="9"/>
        <v>2.4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5">
        <v>332001</v>
      </c>
      <c r="Z10" s="12" t="s">
        <v>422</v>
      </c>
      <c r="AA10" s="4">
        <v>1</v>
      </c>
      <c r="AB10" s="4">
        <v>0</v>
      </c>
      <c r="AC10" s="4"/>
      <c r="AD10" s="4">
        <f t="shared" si="10"/>
        <v>2810.1427199999998</v>
      </c>
      <c r="AF10" s="1" t="str">
        <f t="shared" si="11"/>
        <v>0</v>
      </c>
      <c r="AG10">
        <v>3</v>
      </c>
      <c r="AH10">
        <f t="shared" si="12"/>
        <v>96</v>
      </c>
      <c r="AI10">
        <f t="shared" si="13"/>
        <v>9.6000000000000014</v>
      </c>
      <c r="AJ10">
        <f t="shared" si="14"/>
        <v>1152</v>
      </c>
      <c r="AK10">
        <f t="shared" si="15"/>
        <v>115.2</v>
      </c>
      <c r="AL10">
        <f t="shared" si="16"/>
        <v>24</v>
      </c>
      <c r="AM10">
        <f t="shared" si="17"/>
        <v>2.4000000000000004</v>
      </c>
      <c r="AN10">
        <f t="shared" si="18"/>
        <v>1.5</v>
      </c>
      <c r="AO10">
        <f t="shared" si="19"/>
        <v>1.2</v>
      </c>
      <c r="AP10">
        <f t="shared" si="20"/>
        <v>3</v>
      </c>
      <c r="AQ10">
        <v>200</v>
      </c>
      <c r="AR10">
        <v>3</v>
      </c>
      <c r="AT10">
        <v>301</v>
      </c>
      <c r="AU10" s="4" t="s">
        <v>110</v>
      </c>
      <c r="AV10" s="13">
        <v>1.1000000000000001</v>
      </c>
      <c r="AW10">
        <f t="shared" si="28"/>
        <v>0.90909090909090906</v>
      </c>
      <c r="AX10" s="17">
        <v>6</v>
      </c>
      <c r="AY10" s="4">
        <v>1.2</v>
      </c>
      <c r="AZ10" s="18">
        <f t="shared" si="23"/>
        <v>70.399999999999991</v>
      </c>
      <c r="BA10" s="18">
        <f t="shared" si="24"/>
        <v>872.72727272727275</v>
      </c>
      <c r="BB10" s="18">
        <f t="shared" si="25"/>
        <v>11.733333333333333</v>
      </c>
      <c r="BC10">
        <v>3</v>
      </c>
      <c r="BD10" s="6">
        <f t="shared" si="26"/>
        <v>58.666666666666664</v>
      </c>
      <c r="BE10">
        <f t="shared" si="27"/>
        <v>1.2</v>
      </c>
      <c r="BF10">
        <v>36</v>
      </c>
      <c r="BG10">
        <f t="shared" si="21"/>
        <v>2.5</v>
      </c>
      <c r="BH10">
        <v>75</v>
      </c>
      <c r="BI10" s="4">
        <v>1</v>
      </c>
      <c r="BO10" t="s">
        <v>90</v>
      </c>
      <c r="BP10" t="str">
        <f t="shared" si="22"/>
        <v>角</v>
      </c>
    </row>
    <row r="11" spans="1:68" x14ac:dyDescent="0.15">
      <c r="A11">
        <f t="shared" si="0"/>
        <v>3401031</v>
      </c>
      <c r="B11" s="5" t="s">
        <v>102</v>
      </c>
      <c r="C11">
        <v>3</v>
      </c>
      <c r="D11">
        <v>4</v>
      </c>
      <c r="E11">
        <v>1</v>
      </c>
      <c r="F11" s="22" t="s">
        <v>723</v>
      </c>
      <c r="G11" s="22" t="s">
        <v>723</v>
      </c>
      <c r="H11">
        <v>0</v>
      </c>
      <c r="I11" s="2" t="s">
        <v>103</v>
      </c>
      <c r="J11" s="2">
        <f t="shared" si="1"/>
        <v>6</v>
      </c>
      <c r="K11" s="2">
        <f t="shared" si="2"/>
        <v>1.6</v>
      </c>
      <c r="L11" s="2">
        <f t="shared" si="3"/>
        <v>2</v>
      </c>
      <c r="M11" s="2">
        <v>10</v>
      </c>
      <c r="N11" s="2">
        <f t="shared" si="4"/>
        <v>122.88</v>
      </c>
      <c r="O11" s="2">
        <f t="shared" si="5"/>
        <v>12.29</v>
      </c>
      <c r="P11" s="2">
        <f t="shared" si="6"/>
        <v>960</v>
      </c>
      <c r="Q11" s="2">
        <f t="shared" si="7"/>
        <v>96</v>
      </c>
      <c r="R11" s="2">
        <f t="shared" si="8"/>
        <v>17.55</v>
      </c>
      <c r="S11" s="2">
        <f t="shared" si="9"/>
        <v>1.76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5">
        <v>334011</v>
      </c>
      <c r="Z11" s="12" t="s">
        <v>423</v>
      </c>
      <c r="AA11" s="4">
        <v>1</v>
      </c>
      <c r="AB11" s="4">
        <v>0</v>
      </c>
      <c r="AC11" s="4"/>
      <c r="AD11" s="4">
        <f t="shared" si="10"/>
        <v>2810.5585199999996</v>
      </c>
      <c r="AF11" s="1" t="str">
        <f t="shared" si="11"/>
        <v>1</v>
      </c>
      <c r="AG11">
        <v>3</v>
      </c>
      <c r="AH11">
        <f t="shared" si="12"/>
        <v>122.88</v>
      </c>
      <c r="AI11">
        <f t="shared" si="13"/>
        <v>12.288</v>
      </c>
      <c r="AJ11">
        <f t="shared" si="14"/>
        <v>960</v>
      </c>
      <c r="AK11">
        <f t="shared" si="15"/>
        <v>96</v>
      </c>
      <c r="AL11">
        <f t="shared" si="16"/>
        <v>17.554285714285715</v>
      </c>
      <c r="AM11">
        <f t="shared" si="17"/>
        <v>1.7554285714285716</v>
      </c>
      <c r="AN11">
        <f t="shared" si="18"/>
        <v>1.6</v>
      </c>
      <c r="AO11">
        <f t="shared" si="19"/>
        <v>2</v>
      </c>
      <c r="AP11">
        <f t="shared" si="20"/>
        <v>6</v>
      </c>
      <c r="AQ11">
        <v>401</v>
      </c>
      <c r="AR11">
        <v>3</v>
      </c>
      <c r="AT11">
        <v>302</v>
      </c>
      <c r="AU11" s="4" t="s">
        <v>114</v>
      </c>
      <c r="AV11" s="13">
        <v>1.2</v>
      </c>
      <c r="AW11">
        <f t="shared" si="28"/>
        <v>0.83333333333333337</v>
      </c>
      <c r="AX11" s="17">
        <v>7</v>
      </c>
      <c r="AY11" s="4">
        <v>1.4</v>
      </c>
      <c r="AZ11" s="18">
        <f t="shared" si="23"/>
        <v>89.59999999999998</v>
      </c>
      <c r="BA11" s="18">
        <f t="shared" si="24"/>
        <v>800</v>
      </c>
      <c r="BB11" s="18">
        <f t="shared" si="25"/>
        <v>12.799999999999997</v>
      </c>
      <c r="BC11">
        <v>3</v>
      </c>
      <c r="BD11" s="6">
        <f t="shared" si="26"/>
        <v>63.999999999999986</v>
      </c>
      <c r="BE11">
        <f t="shared" si="27"/>
        <v>0.93333333333333335</v>
      </c>
      <c r="BF11">
        <v>28</v>
      </c>
      <c r="BG11">
        <f t="shared" si="21"/>
        <v>1.5</v>
      </c>
      <c r="BH11">
        <v>45</v>
      </c>
      <c r="BI11" s="4">
        <v>1.2</v>
      </c>
      <c r="BO11" t="s">
        <v>90</v>
      </c>
      <c r="BP11" t="str">
        <f t="shared" si="22"/>
        <v>角</v>
      </c>
    </row>
    <row r="12" spans="1:68" x14ac:dyDescent="0.15">
      <c r="A12">
        <f t="shared" si="0"/>
        <v>3402033</v>
      </c>
      <c r="B12" s="5" t="s">
        <v>105</v>
      </c>
      <c r="C12">
        <v>3</v>
      </c>
      <c r="D12">
        <v>4</v>
      </c>
      <c r="E12">
        <v>3</v>
      </c>
      <c r="F12" t="s">
        <v>137</v>
      </c>
      <c r="G12" t="s">
        <v>137</v>
      </c>
      <c r="H12" s="2">
        <v>0</v>
      </c>
      <c r="I12" s="2" t="s">
        <v>106</v>
      </c>
      <c r="J12" s="2">
        <f t="shared" si="1"/>
        <v>6</v>
      </c>
      <c r="K12" s="2">
        <f t="shared" si="2"/>
        <v>1.5</v>
      </c>
      <c r="L12" s="2">
        <f t="shared" si="3"/>
        <v>1.5</v>
      </c>
      <c r="M12" s="2">
        <v>10</v>
      </c>
      <c r="N12" s="2">
        <f t="shared" si="4"/>
        <v>115.2</v>
      </c>
      <c r="O12" s="2">
        <f t="shared" si="5"/>
        <v>11.52</v>
      </c>
      <c r="P12" s="2">
        <f t="shared" si="6"/>
        <v>960</v>
      </c>
      <c r="Q12" s="2">
        <f t="shared" si="7"/>
        <v>96</v>
      </c>
      <c r="R12" s="2">
        <f t="shared" si="8"/>
        <v>16.46</v>
      </c>
      <c r="S12" s="2">
        <f t="shared" si="9"/>
        <v>1.65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5">
        <v>334021</v>
      </c>
      <c r="Z12" s="12" t="s">
        <v>424</v>
      </c>
      <c r="AA12" s="4">
        <v>1</v>
      </c>
      <c r="AB12" s="4">
        <v>0</v>
      </c>
      <c r="AC12" s="4"/>
      <c r="AD12" s="4">
        <f t="shared" si="10"/>
        <v>2810.1427199999998</v>
      </c>
      <c r="AF12" s="1" t="str">
        <f t="shared" si="11"/>
        <v>2</v>
      </c>
      <c r="AG12">
        <v>3</v>
      </c>
      <c r="AH12">
        <f t="shared" si="12"/>
        <v>115.19999999999999</v>
      </c>
      <c r="AI12">
        <f t="shared" si="13"/>
        <v>11.52</v>
      </c>
      <c r="AJ12">
        <f t="shared" si="14"/>
        <v>960</v>
      </c>
      <c r="AK12">
        <f t="shared" si="15"/>
        <v>96</v>
      </c>
      <c r="AL12">
        <f t="shared" si="16"/>
        <v>16.457142857142856</v>
      </c>
      <c r="AM12">
        <f t="shared" si="17"/>
        <v>1.6457142857142857</v>
      </c>
      <c r="AN12">
        <f t="shared" si="18"/>
        <v>1.5</v>
      </c>
      <c r="AO12">
        <f t="shared" si="19"/>
        <v>1.5</v>
      </c>
      <c r="AP12">
        <f t="shared" si="20"/>
        <v>6</v>
      </c>
      <c r="AQ12">
        <v>402</v>
      </c>
      <c r="AR12">
        <v>3</v>
      </c>
      <c r="AT12" s="4">
        <v>400</v>
      </c>
      <c r="AU12" s="4" t="s">
        <v>117</v>
      </c>
      <c r="AV12" s="13">
        <v>1.25</v>
      </c>
      <c r="AW12">
        <f t="shared" si="28"/>
        <v>0.8</v>
      </c>
      <c r="AX12" s="17">
        <v>6</v>
      </c>
      <c r="AY12" s="4">
        <v>1.4</v>
      </c>
      <c r="AZ12" s="18">
        <f t="shared" si="23"/>
        <v>93.333333333333329</v>
      </c>
      <c r="BA12" s="18">
        <f t="shared" si="24"/>
        <v>768</v>
      </c>
      <c r="BB12" s="18">
        <f t="shared" si="25"/>
        <v>15.555555555555555</v>
      </c>
      <c r="BC12">
        <v>6</v>
      </c>
      <c r="BD12" s="6">
        <f t="shared" si="26"/>
        <v>66.666666666666671</v>
      </c>
      <c r="BE12">
        <f t="shared" si="27"/>
        <v>0.83333333333333337</v>
      </c>
      <c r="BF12">
        <v>25</v>
      </c>
      <c r="BG12">
        <f t="shared" si="21"/>
        <v>1.2333333333333334</v>
      </c>
      <c r="BH12">
        <v>37</v>
      </c>
      <c r="BI12" s="4">
        <v>1.8</v>
      </c>
      <c r="BO12" t="s">
        <v>90</v>
      </c>
      <c r="BP12" t="str">
        <f t="shared" si="22"/>
        <v>角</v>
      </c>
    </row>
    <row r="13" spans="1:68" x14ac:dyDescent="0.15">
      <c r="A13">
        <f t="shared" si="0"/>
        <v>3501033</v>
      </c>
      <c r="B13" s="5" t="s">
        <v>143</v>
      </c>
      <c r="C13">
        <v>3</v>
      </c>
      <c r="D13">
        <v>5</v>
      </c>
      <c r="E13">
        <v>3</v>
      </c>
      <c r="F13" s="22" t="s">
        <v>724</v>
      </c>
      <c r="G13" s="22" t="s">
        <v>724</v>
      </c>
      <c r="H13">
        <v>0</v>
      </c>
      <c r="I13" s="2" t="s">
        <v>144</v>
      </c>
      <c r="J13" s="2">
        <f t="shared" si="1"/>
        <v>6</v>
      </c>
      <c r="K13" s="2">
        <f t="shared" si="2"/>
        <v>1.6</v>
      </c>
      <c r="L13" s="2">
        <f t="shared" si="3"/>
        <v>2</v>
      </c>
      <c r="M13" s="2">
        <v>10</v>
      </c>
      <c r="N13" s="2">
        <f t="shared" si="4"/>
        <v>143.36000000000001</v>
      </c>
      <c r="O13" s="2">
        <f t="shared" si="5"/>
        <v>14.34</v>
      </c>
      <c r="P13" s="2">
        <f t="shared" si="6"/>
        <v>822.86</v>
      </c>
      <c r="Q13" s="2">
        <f t="shared" si="7"/>
        <v>82.29</v>
      </c>
      <c r="R13" s="2">
        <f t="shared" si="8"/>
        <v>17.920000000000002</v>
      </c>
      <c r="S13" s="2">
        <f t="shared" si="9"/>
        <v>1.79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5">
        <v>345011</v>
      </c>
      <c r="Z13" s="12" t="s">
        <v>425</v>
      </c>
      <c r="AA13" s="4">
        <v>1</v>
      </c>
      <c r="AB13" s="4">
        <v>0</v>
      </c>
      <c r="AC13" s="4"/>
      <c r="AD13" s="4">
        <f t="shared" si="10"/>
        <v>2810.9894970149999</v>
      </c>
      <c r="AF13" s="1" t="str">
        <f t="shared" si="11"/>
        <v>1</v>
      </c>
      <c r="AG13">
        <v>3</v>
      </c>
      <c r="AH13">
        <f t="shared" si="12"/>
        <v>143.35999999999999</v>
      </c>
      <c r="AI13">
        <f t="shared" si="13"/>
        <v>14.335999999999999</v>
      </c>
      <c r="AJ13">
        <f t="shared" si="14"/>
        <v>822.85714285714289</v>
      </c>
      <c r="AK13">
        <f t="shared" si="15"/>
        <v>82.285714285714292</v>
      </c>
      <c r="AL13">
        <f t="shared" si="16"/>
        <v>17.919999999999998</v>
      </c>
      <c r="AM13">
        <f t="shared" si="17"/>
        <v>1.7919999999999998</v>
      </c>
      <c r="AN13">
        <f t="shared" si="18"/>
        <v>1.6</v>
      </c>
      <c r="AO13">
        <f t="shared" si="19"/>
        <v>2</v>
      </c>
      <c r="AP13">
        <f t="shared" si="20"/>
        <v>6</v>
      </c>
      <c r="AQ13">
        <v>501</v>
      </c>
      <c r="AR13">
        <v>3</v>
      </c>
      <c r="AT13">
        <v>401</v>
      </c>
      <c r="AU13" s="4" t="s">
        <v>118</v>
      </c>
      <c r="AV13" s="13">
        <v>1.2</v>
      </c>
      <c r="AW13">
        <f t="shared" si="28"/>
        <v>0.83333333333333337</v>
      </c>
      <c r="AX13" s="17">
        <v>6</v>
      </c>
      <c r="AY13" s="4">
        <v>1.6</v>
      </c>
      <c r="AZ13" s="18">
        <f t="shared" si="23"/>
        <v>102.40000000000002</v>
      </c>
      <c r="BA13" s="18">
        <f t="shared" si="24"/>
        <v>800</v>
      </c>
      <c r="BB13" s="18">
        <f t="shared" si="25"/>
        <v>17.06666666666667</v>
      </c>
      <c r="BC13">
        <v>6</v>
      </c>
      <c r="BD13" s="6">
        <f t="shared" si="26"/>
        <v>64.000000000000014</v>
      </c>
      <c r="BE13">
        <f t="shared" si="27"/>
        <v>1</v>
      </c>
      <c r="BF13">
        <v>30</v>
      </c>
      <c r="BG13">
        <f t="shared" si="21"/>
        <v>2</v>
      </c>
      <c r="BH13">
        <v>60</v>
      </c>
      <c r="BI13" s="4">
        <v>1.8</v>
      </c>
      <c r="BO13" t="s">
        <v>90</v>
      </c>
      <c r="BP13" t="str">
        <f t="shared" si="22"/>
        <v>角</v>
      </c>
    </row>
    <row r="14" spans="1:68" x14ac:dyDescent="0.15">
      <c r="A14">
        <f t="shared" si="0"/>
        <v>3600033</v>
      </c>
      <c r="B14" s="5" t="s">
        <v>146</v>
      </c>
      <c r="C14">
        <v>3</v>
      </c>
      <c r="D14">
        <v>6</v>
      </c>
      <c r="E14">
        <v>3</v>
      </c>
      <c r="F14" s="22" t="s">
        <v>725</v>
      </c>
      <c r="G14" s="22" t="s">
        <v>725</v>
      </c>
      <c r="H14" s="2">
        <v>0</v>
      </c>
      <c r="I14" s="2" t="s">
        <v>147</v>
      </c>
      <c r="J14" s="2">
        <f t="shared" si="1"/>
        <v>3</v>
      </c>
      <c r="K14" s="2">
        <f t="shared" si="2"/>
        <v>1.4000000000000001</v>
      </c>
      <c r="L14" s="2">
        <f t="shared" si="3"/>
        <v>1.9000000000000001</v>
      </c>
      <c r="M14" s="2">
        <v>10</v>
      </c>
      <c r="N14" s="2">
        <f t="shared" si="4"/>
        <v>138.88</v>
      </c>
      <c r="O14" s="2">
        <f t="shared" si="5"/>
        <v>13.89</v>
      </c>
      <c r="P14" s="2">
        <f t="shared" si="6"/>
        <v>743.23</v>
      </c>
      <c r="Q14" s="2">
        <f t="shared" si="7"/>
        <v>74.319999999999993</v>
      </c>
      <c r="R14" s="2">
        <f t="shared" si="8"/>
        <v>13.89</v>
      </c>
      <c r="S14" s="2">
        <f t="shared" si="9"/>
        <v>1.39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5">
        <v>346001</v>
      </c>
      <c r="Z14" s="12" t="s">
        <v>426</v>
      </c>
      <c r="AA14" s="4">
        <v>1</v>
      </c>
      <c r="AB14" s="4">
        <v>0</v>
      </c>
      <c r="AC14" s="4"/>
      <c r="AD14" s="4">
        <f t="shared" si="10"/>
        <v>2810.4233427899994</v>
      </c>
      <c r="AF14" s="1" t="str">
        <f t="shared" si="11"/>
        <v>0</v>
      </c>
      <c r="AG14">
        <v>3</v>
      </c>
      <c r="AH14">
        <f t="shared" si="12"/>
        <v>138.87999999999997</v>
      </c>
      <c r="AI14">
        <f t="shared" si="13"/>
        <v>13.887999999999998</v>
      </c>
      <c r="AJ14">
        <f t="shared" si="14"/>
        <v>743.22580645161293</v>
      </c>
      <c r="AK14">
        <f t="shared" si="15"/>
        <v>74.322580645161295</v>
      </c>
      <c r="AL14">
        <f t="shared" si="16"/>
        <v>13.887999999999996</v>
      </c>
      <c r="AM14">
        <f t="shared" si="17"/>
        <v>1.3887999999999998</v>
      </c>
      <c r="AN14">
        <f t="shared" si="18"/>
        <v>1.4</v>
      </c>
      <c r="AO14">
        <f t="shared" si="19"/>
        <v>1.9</v>
      </c>
      <c r="AP14">
        <f t="shared" si="20"/>
        <v>3</v>
      </c>
      <c r="AQ14">
        <v>600</v>
      </c>
      <c r="AR14">
        <v>3</v>
      </c>
      <c r="AT14">
        <v>402</v>
      </c>
      <c r="AU14" s="4" t="s">
        <v>120</v>
      </c>
      <c r="AV14" s="13">
        <v>1.4</v>
      </c>
      <c r="AW14">
        <f t="shared" si="28"/>
        <v>0.7142857142857143</v>
      </c>
      <c r="AX14" s="17">
        <v>8</v>
      </c>
      <c r="AY14" s="4">
        <v>1.5</v>
      </c>
      <c r="AZ14" s="18">
        <f t="shared" si="23"/>
        <v>112</v>
      </c>
      <c r="BA14" s="18">
        <f t="shared" si="24"/>
        <v>685.71428571428578</v>
      </c>
      <c r="BB14" s="18">
        <f t="shared" si="25"/>
        <v>14</v>
      </c>
      <c r="BC14">
        <v>6</v>
      </c>
      <c r="BD14" s="6">
        <f t="shared" si="26"/>
        <v>74.666666666666657</v>
      </c>
      <c r="BE14">
        <f t="shared" si="27"/>
        <v>1.2666666666666666</v>
      </c>
      <c r="BF14">
        <v>38</v>
      </c>
      <c r="BG14">
        <f t="shared" si="21"/>
        <v>1.3333333333333333</v>
      </c>
      <c r="BH14">
        <v>40</v>
      </c>
      <c r="BI14" s="4">
        <v>1.8</v>
      </c>
      <c r="BO14" t="s">
        <v>90</v>
      </c>
      <c r="BP14" t="str">
        <f t="shared" si="22"/>
        <v>角</v>
      </c>
    </row>
    <row r="15" spans="1:68" x14ac:dyDescent="0.15">
      <c r="A15">
        <f t="shared" si="0"/>
        <v>3602031</v>
      </c>
      <c r="B15" s="5" t="s">
        <v>149</v>
      </c>
      <c r="C15">
        <v>3</v>
      </c>
      <c r="D15">
        <v>6</v>
      </c>
      <c r="E15">
        <v>1</v>
      </c>
      <c r="F15" s="22" t="s">
        <v>726</v>
      </c>
      <c r="G15" s="22" t="s">
        <v>726</v>
      </c>
      <c r="H15" t="s">
        <v>150</v>
      </c>
      <c r="I15" s="2" t="s">
        <v>151</v>
      </c>
      <c r="J15" s="2">
        <f t="shared" si="1"/>
        <v>6</v>
      </c>
      <c r="K15" s="2">
        <f t="shared" si="2"/>
        <v>1.8</v>
      </c>
      <c r="L15" s="2">
        <f t="shared" si="3"/>
        <v>2</v>
      </c>
      <c r="M15" s="2">
        <v>10</v>
      </c>
      <c r="N15" s="2">
        <f t="shared" si="4"/>
        <v>178.56</v>
      </c>
      <c r="O15" s="2">
        <f t="shared" si="5"/>
        <v>17.86</v>
      </c>
      <c r="P15" s="2">
        <f t="shared" si="6"/>
        <v>743.23</v>
      </c>
      <c r="Q15" s="2">
        <f t="shared" si="7"/>
        <v>74.319999999999993</v>
      </c>
      <c r="R15" s="2">
        <f t="shared" si="8"/>
        <v>17.86</v>
      </c>
      <c r="S15" s="2">
        <f t="shared" si="9"/>
        <v>1.79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5">
        <v>346021</v>
      </c>
      <c r="Z15" s="12" t="s">
        <v>427</v>
      </c>
      <c r="AA15" s="4">
        <v>1</v>
      </c>
      <c r="AB15" s="4">
        <v>0</v>
      </c>
      <c r="AC15" s="4"/>
      <c r="AD15" s="4">
        <f t="shared" si="10"/>
        <v>2810.6277235399998</v>
      </c>
      <c r="AF15" s="1" t="str">
        <f t="shared" si="11"/>
        <v>2</v>
      </c>
      <c r="AG15">
        <v>3</v>
      </c>
      <c r="AH15">
        <f t="shared" si="12"/>
        <v>178.56</v>
      </c>
      <c r="AI15">
        <f t="shared" si="13"/>
        <v>17.856000000000002</v>
      </c>
      <c r="AJ15">
        <f t="shared" si="14"/>
        <v>743.22580645161293</v>
      </c>
      <c r="AK15">
        <f t="shared" si="15"/>
        <v>74.322580645161295</v>
      </c>
      <c r="AL15">
        <f t="shared" si="16"/>
        <v>17.856000000000002</v>
      </c>
      <c r="AM15">
        <f t="shared" si="17"/>
        <v>1.7856000000000003</v>
      </c>
      <c r="AN15">
        <f t="shared" si="18"/>
        <v>1.8</v>
      </c>
      <c r="AO15">
        <f t="shared" si="19"/>
        <v>2</v>
      </c>
      <c r="AP15">
        <f t="shared" si="20"/>
        <v>6</v>
      </c>
      <c r="AQ15">
        <v>602</v>
      </c>
      <c r="AR15">
        <v>3</v>
      </c>
      <c r="AT15">
        <v>500</v>
      </c>
      <c r="AU15" s="4" t="s">
        <v>121</v>
      </c>
      <c r="AV15" s="13">
        <v>1.5</v>
      </c>
      <c r="AW15">
        <f t="shared" si="28"/>
        <v>0.66666666666666663</v>
      </c>
      <c r="AX15" s="17">
        <v>8</v>
      </c>
      <c r="AY15" s="4">
        <v>1.5</v>
      </c>
      <c r="AZ15" s="18">
        <f t="shared" si="23"/>
        <v>120</v>
      </c>
      <c r="BA15" s="18">
        <f t="shared" si="24"/>
        <v>640</v>
      </c>
      <c r="BB15" s="18">
        <f t="shared" si="25"/>
        <v>15</v>
      </c>
      <c r="BC15">
        <v>6</v>
      </c>
      <c r="BD15" s="6">
        <f t="shared" si="26"/>
        <v>80</v>
      </c>
      <c r="BE15">
        <f t="shared" si="27"/>
        <v>1</v>
      </c>
      <c r="BF15">
        <v>30</v>
      </c>
      <c r="BG15">
        <f t="shared" si="21"/>
        <v>1.3333333333333333</v>
      </c>
      <c r="BH15">
        <v>40</v>
      </c>
      <c r="BI15" s="2">
        <v>1.5</v>
      </c>
      <c r="BO15" t="s">
        <v>90</v>
      </c>
      <c r="BP15" t="str">
        <f t="shared" si="22"/>
        <v>角</v>
      </c>
    </row>
    <row r="16" spans="1:68" x14ac:dyDescent="0.15">
      <c r="A16">
        <f t="shared" si="0"/>
        <v>3300032</v>
      </c>
      <c r="B16" s="5" t="s">
        <v>153</v>
      </c>
      <c r="C16">
        <v>3</v>
      </c>
      <c r="D16">
        <v>3</v>
      </c>
      <c r="E16">
        <v>2</v>
      </c>
      <c r="F16" s="22" t="s">
        <v>727</v>
      </c>
      <c r="G16" s="22" t="s">
        <v>727</v>
      </c>
      <c r="H16" s="2">
        <v>0</v>
      </c>
      <c r="I16" s="2" t="s">
        <v>154</v>
      </c>
      <c r="J16" s="2">
        <v>6</v>
      </c>
      <c r="K16" s="2">
        <f t="shared" si="2"/>
        <v>1.3</v>
      </c>
      <c r="L16" s="2">
        <f t="shared" si="3"/>
        <v>1.9000000000000001</v>
      </c>
      <c r="M16" s="2">
        <v>10</v>
      </c>
      <c r="N16" s="2">
        <f t="shared" si="4"/>
        <v>74.88</v>
      </c>
      <c r="O16" s="2">
        <f t="shared" si="5"/>
        <v>7.49</v>
      </c>
      <c r="P16" s="2">
        <f t="shared" si="6"/>
        <v>1280</v>
      </c>
      <c r="Q16" s="2">
        <f t="shared" si="7"/>
        <v>128</v>
      </c>
      <c r="R16" s="2">
        <f t="shared" si="8"/>
        <v>14.98</v>
      </c>
      <c r="S16" s="2">
        <f t="shared" si="9"/>
        <v>1.5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5">
        <v>353001</v>
      </c>
      <c r="Z16" s="12" t="s">
        <v>428</v>
      </c>
      <c r="AA16" s="4">
        <v>1</v>
      </c>
      <c r="AB16" s="4">
        <v>0</v>
      </c>
      <c r="AC16" s="4"/>
      <c r="AD16" s="4">
        <f t="shared" si="10"/>
        <v>2810.825058461538</v>
      </c>
      <c r="AF16" s="1" t="str">
        <f t="shared" si="11"/>
        <v>0</v>
      </c>
      <c r="AG16">
        <v>3</v>
      </c>
      <c r="AH16">
        <f t="shared" si="12"/>
        <v>74.88000000000001</v>
      </c>
      <c r="AI16">
        <f t="shared" si="13"/>
        <v>7.4880000000000013</v>
      </c>
      <c r="AJ16">
        <f t="shared" si="14"/>
        <v>1280</v>
      </c>
      <c r="AK16">
        <f t="shared" si="15"/>
        <v>128</v>
      </c>
      <c r="AL16">
        <f t="shared" si="16"/>
        <v>14.976000000000003</v>
      </c>
      <c r="AM16">
        <f t="shared" si="17"/>
        <v>1.4976000000000003</v>
      </c>
      <c r="AN16">
        <f t="shared" si="18"/>
        <v>1.3</v>
      </c>
      <c r="AO16">
        <f t="shared" si="19"/>
        <v>1.9</v>
      </c>
      <c r="AP16">
        <f t="shared" si="20"/>
        <v>3</v>
      </c>
      <c r="AQ16">
        <v>300</v>
      </c>
      <c r="AR16">
        <v>3</v>
      </c>
      <c r="AT16">
        <v>501</v>
      </c>
      <c r="AU16" s="6" t="s">
        <v>122</v>
      </c>
      <c r="AV16" s="13">
        <v>1.45</v>
      </c>
      <c r="AW16">
        <f t="shared" si="28"/>
        <v>0.68965517241379315</v>
      </c>
      <c r="AX16" s="17">
        <v>9</v>
      </c>
      <c r="AY16" s="4">
        <v>1.6</v>
      </c>
      <c r="AZ16" s="18">
        <f t="shared" si="23"/>
        <v>123.73333333333335</v>
      </c>
      <c r="BA16" s="18">
        <f t="shared" si="24"/>
        <v>662.06896551724139</v>
      </c>
      <c r="BB16" s="18">
        <f t="shared" si="25"/>
        <v>13.74814814814815</v>
      </c>
      <c r="BC16">
        <v>6</v>
      </c>
      <c r="BD16" s="6">
        <f t="shared" si="26"/>
        <v>77.333333333333343</v>
      </c>
      <c r="BE16">
        <f t="shared" si="27"/>
        <v>1.3333333333333333</v>
      </c>
      <c r="BF16">
        <v>40</v>
      </c>
      <c r="BG16">
        <f t="shared" si="21"/>
        <v>2.5</v>
      </c>
      <c r="BH16">
        <v>75</v>
      </c>
      <c r="BI16" s="2">
        <v>1.5</v>
      </c>
      <c r="BO16">
        <v>0</v>
      </c>
      <c r="BP16" t="str">
        <f t="shared" si="22"/>
        <v>0</v>
      </c>
    </row>
    <row r="17" spans="1:68" x14ac:dyDescent="0.15">
      <c r="A17">
        <f t="shared" si="0"/>
        <v>3302033</v>
      </c>
      <c r="B17" s="5" t="s">
        <v>156</v>
      </c>
      <c r="C17">
        <v>3</v>
      </c>
      <c r="D17">
        <v>3</v>
      </c>
      <c r="E17">
        <v>3</v>
      </c>
      <c r="F17" s="22" t="s">
        <v>728</v>
      </c>
      <c r="G17" s="22" t="s">
        <v>728</v>
      </c>
      <c r="H17">
        <v>0</v>
      </c>
      <c r="I17" s="2" t="s">
        <v>157</v>
      </c>
      <c r="J17" s="2">
        <f t="shared" si="1"/>
        <v>3</v>
      </c>
      <c r="K17" s="2">
        <f t="shared" si="2"/>
        <v>1.4000000000000001</v>
      </c>
      <c r="L17" s="2">
        <f t="shared" si="3"/>
        <v>1.7</v>
      </c>
      <c r="M17" s="2">
        <v>10</v>
      </c>
      <c r="N17" s="2">
        <f t="shared" si="4"/>
        <v>80.64</v>
      </c>
      <c r="O17" s="2">
        <f t="shared" si="5"/>
        <v>8.06</v>
      </c>
      <c r="P17" s="2">
        <f t="shared" si="6"/>
        <v>1280</v>
      </c>
      <c r="Q17" s="2">
        <f t="shared" si="7"/>
        <v>128</v>
      </c>
      <c r="R17" s="2">
        <f t="shared" si="8"/>
        <v>16.13</v>
      </c>
      <c r="S17" s="2">
        <f t="shared" si="9"/>
        <v>1.61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5">
        <v>353021</v>
      </c>
      <c r="Z17" s="12" t="s">
        <v>429</v>
      </c>
      <c r="AA17" s="4">
        <v>1</v>
      </c>
      <c r="AB17" s="4">
        <v>0</v>
      </c>
      <c r="AC17" s="4"/>
      <c r="AD17" s="4">
        <f t="shared" si="10"/>
        <v>2808.8755199999996</v>
      </c>
      <c r="AF17" s="1" t="str">
        <f t="shared" si="11"/>
        <v>2</v>
      </c>
      <c r="AG17">
        <v>3</v>
      </c>
      <c r="AH17">
        <f t="shared" si="12"/>
        <v>80.64</v>
      </c>
      <c r="AI17">
        <f t="shared" si="13"/>
        <v>8.0640000000000001</v>
      </c>
      <c r="AJ17">
        <f t="shared" si="14"/>
        <v>1280</v>
      </c>
      <c r="AK17">
        <f t="shared" si="15"/>
        <v>128</v>
      </c>
      <c r="AL17">
        <f t="shared" si="16"/>
        <v>16.128</v>
      </c>
      <c r="AM17">
        <f t="shared" si="17"/>
        <v>1.6128</v>
      </c>
      <c r="AN17">
        <f t="shared" si="18"/>
        <v>1.4</v>
      </c>
      <c r="AO17">
        <f t="shared" si="19"/>
        <v>1.7</v>
      </c>
      <c r="AP17">
        <f t="shared" si="20"/>
        <v>3</v>
      </c>
      <c r="AQ17">
        <v>302</v>
      </c>
      <c r="AR17">
        <v>3</v>
      </c>
      <c r="AT17">
        <v>502</v>
      </c>
      <c r="AU17" s="4" t="s">
        <v>123</v>
      </c>
      <c r="AV17" s="13">
        <v>1.55</v>
      </c>
      <c r="AW17">
        <f t="shared" si="28"/>
        <v>0.64516129032258063</v>
      </c>
      <c r="AX17" s="17">
        <v>10</v>
      </c>
      <c r="AY17" s="4">
        <v>1.4</v>
      </c>
      <c r="AZ17" s="18">
        <f t="shared" si="23"/>
        <v>115.73333333333333</v>
      </c>
      <c r="BA17" s="18">
        <f t="shared" si="24"/>
        <v>619.35483870967744</v>
      </c>
      <c r="BB17" s="18">
        <f t="shared" si="25"/>
        <v>11.573333333333334</v>
      </c>
      <c r="BC17">
        <v>6</v>
      </c>
      <c r="BD17" s="6">
        <f t="shared" si="26"/>
        <v>82.666666666666671</v>
      </c>
      <c r="BE17">
        <f t="shared" si="27"/>
        <v>1</v>
      </c>
      <c r="BF17">
        <v>30</v>
      </c>
      <c r="BG17">
        <f t="shared" si="21"/>
        <v>2</v>
      </c>
      <c r="BH17">
        <v>60</v>
      </c>
      <c r="BI17" s="2">
        <v>1.2</v>
      </c>
      <c r="BO17">
        <v>0</v>
      </c>
      <c r="BP17" t="str">
        <f t="shared" si="22"/>
        <v>0</v>
      </c>
    </row>
    <row r="18" spans="1:68" x14ac:dyDescent="0.15">
      <c r="A18">
        <f t="shared" si="0"/>
        <v>3400032</v>
      </c>
      <c r="B18" s="5" t="s">
        <v>160</v>
      </c>
      <c r="C18">
        <v>3</v>
      </c>
      <c r="D18">
        <v>4</v>
      </c>
      <c r="E18">
        <v>2</v>
      </c>
      <c r="F18" s="22" t="s">
        <v>729</v>
      </c>
      <c r="G18" s="22" t="s">
        <v>729</v>
      </c>
      <c r="H18">
        <v>0</v>
      </c>
      <c r="I18" s="2" t="s">
        <v>161</v>
      </c>
      <c r="J18" s="2">
        <f t="shared" si="1"/>
        <v>6</v>
      </c>
      <c r="K18" s="2">
        <f t="shared" si="2"/>
        <v>1.4000000000000001</v>
      </c>
      <c r="L18" s="2">
        <f t="shared" si="3"/>
        <v>1.4000000000000001</v>
      </c>
      <c r="M18" s="2">
        <v>10</v>
      </c>
      <c r="N18" s="2">
        <f t="shared" si="4"/>
        <v>107.52</v>
      </c>
      <c r="O18" s="2">
        <f t="shared" si="5"/>
        <v>10.75</v>
      </c>
      <c r="P18" s="2">
        <f t="shared" si="6"/>
        <v>960</v>
      </c>
      <c r="Q18" s="2">
        <f t="shared" si="7"/>
        <v>96</v>
      </c>
      <c r="R18" s="2">
        <f t="shared" si="8"/>
        <v>15.36</v>
      </c>
      <c r="S18" s="2">
        <f t="shared" si="9"/>
        <v>1.54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5">
        <v>354001</v>
      </c>
      <c r="Z18" s="12" t="s">
        <v>430</v>
      </c>
      <c r="AA18" s="4">
        <v>1</v>
      </c>
      <c r="AB18" s="4">
        <v>0</v>
      </c>
      <c r="AC18" s="4"/>
      <c r="AD18" s="4">
        <f t="shared" si="10"/>
        <v>2809.6675199999995</v>
      </c>
      <c r="AF18" s="1" t="str">
        <f t="shared" si="11"/>
        <v>0</v>
      </c>
      <c r="AG18">
        <v>3</v>
      </c>
      <c r="AH18">
        <f t="shared" si="12"/>
        <v>107.52</v>
      </c>
      <c r="AI18">
        <f t="shared" si="13"/>
        <v>10.752000000000001</v>
      </c>
      <c r="AJ18">
        <f t="shared" si="14"/>
        <v>960</v>
      </c>
      <c r="AK18">
        <f t="shared" si="15"/>
        <v>96</v>
      </c>
      <c r="AL18">
        <f t="shared" si="16"/>
        <v>15.36</v>
      </c>
      <c r="AM18">
        <f t="shared" si="17"/>
        <v>1.536</v>
      </c>
      <c r="AN18">
        <f t="shared" si="18"/>
        <v>1.4</v>
      </c>
      <c r="AO18">
        <f t="shared" si="19"/>
        <v>1.4</v>
      </c>
      <c r="AP18">
        <f t="shared" si="20"/>
        <v>6</v>
      </c>
      <c r="AQ18">
        <v>400</v>
      </c>
      <c r="AR18">
        <v>3</v>
      </c>
      <c r="AT18">
        <v>600</v>
      </c>
      <c r="AU18" s="4" t="s">
        <v>124</v>
      </c>
      <c r="AV18" s="13">
        <v>1.1000000000000001</v>
      </c>
      <c r="AW18">
        <f t="shared" si="28"/>
        <v>0.90909090909090906</v>
      </c>
      <c r="AX18" s="17">
        <v>4</v>
      </c>
      <c r="AY18" s="4">
        <v>1.4</v>
      </c>
      <c r="AZ18" s="18">
        <f t="shared" si="23"/>
        <v>82.133333333333326</v>
      </c>
      <c r="BA18" s="18">
        <f t="shared" si="24"/>
        <v>872.72727272727275</v>
      </c>
      <c r="BB18" s="18">
        <f t="shared" si="25"/>
        <v>20.533333333333331</v>
      </c>
      <c r="BC18">
        <v>3</v>
      </c>
      <c r="BD18" s="6">
        <f t="shared" si="26"/>
        <v>58.666666666666664</v>
      </c>
      <c r="BE18">
        <f t="shared" si="27"/>
        <v>1</v>
      </c>
      <c r="BF18">
        <v>30</v>
      </c>
      <c r="BG18">
        <f t="shared" si="21"/>
        <v>1.6666666666666667</v>
      </c>
      <c r="BH18">
        <v>50</v>
      </c>
      <c r="BI18" s="4">
        <v>1.5</v>
      </c>
      <c r="BO18">
        <v>0</v>
      </c>
      <c r="BP18" t="str">
        <f t="shared" si="22"/>
        <v>0</v>
      </c>
    </row>
    <row r="19" spans="1:68" x14ac:dyDescent="0.15">
      <c r="A19">
        <f t="shared" si="0"/>
        <v>3202041</v>
      </c>
      <c r="B19" s="5" t="s">
        <v>94</v>
      </c>
      <c r="C19">
        <v>4</v>
      </c>
      <c r="D19">
        <v>2</v>
      </c>
      <c r="E19">
        <v>1</v>
      </c>
      <c r="F19" t="s">
        <v>95</v>
      </c>
      <c r="G19" t="s">
        <v>95</v>
      </c>
      <c r="H19">
        <v>0</v>
      </c>
      <c r="I19" s="2" t="s">
        <v>96</v>
      </c>
      <c r="J19" s="2">
        <f t="shared" si="1"/>
        <v>3</v>
      </c>
      <c r="K19" s="2">
        <f t="shared" si="2"/>
        <v>1.8</v>
      </c>
      <c r="L19" s="2">
        <f t="shared" si="3"/>
        <v>2</v>
      </c>
      <c r="M19" s="2">
        <v>10</v>
      </c>
      <c r="N19" s="2">
        <f t="shared" si="4"/>
        <v>120.96</v>
      </c>
      <c r="O19" s="2">
        <f t="shared" si="5"/>
        <v>12.1</v>
      </c>
      <c r="P19" s="2">
        <f t="shared" si="6"/>
        <v>1493.33</v>
      </c>
      <c r="Q19" s="2">
        <f t="shared" si="7"/>
        <v>149.33000000000001</v>
      </c>
      <c r="R19" s="2">
        <f t="shared" si="8"/>
        <v>24.19</v>
      </c>
      <c r="S19" s="2">
        <f t="shared" si="9"/>
        <v>2.42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4">
        <v>312021</v>
      </c>
      <c r="Z19" s="12" t="s">
        <v>431</v>
      </c>
      <c r="AA19" s="4">
        <v>1</v>
      </c>
      <c r="AB19" s="4">
        <v>0</v>
      </c>
      <c r="AC19" s="4"/>
      <c r="AD19" s="4">
        <f t="shared" si="10"/>
        <v>3825.9879309399998</v>
      </c>
      <c r="AF19" s="1" t="str">
        <f t="shared" si="11"/>
        <v>2</v>
      </c>
      <c r="AG19">
        <v>4</v>
      </c>
      <c r="AH19">
        <f t="shared" si="12"/>
        <v>120.96</v>
      </c>
      <c r="AI19">
        <f t="shared" si="13"/>
        <v>12.096</v>
      </c>
      <c r="AJ19">
        <f t="shared" si="14"/>
        <v>1493.3333333333333</v>
      </c>
      <c r="AK19">
        <f t="shared" si="15"/>
        <v>149.33333333333334</v>
      </c>
      <c r="AL19">
        <f t="shared" si="16"/>
        <v>24.192</v>
      </c>
      <c r="AM19">
        <f t="shared" si="17"/>
        <v>2.4192</v>
      </c>
      <c r="AN19">
        <f t="shared" si="18"/>
        <v>1.8</v>
      </c>
      <c r="AO19">
        <f t="shared" si="19"/>
        <v>2</v>
      </c>
      <c r="AP19">
        <f t="shared" si="20"/>
        <v>3</v>
      </c>
      <c r="AQ19">
        <v>202</v>
      </c>
      <c r="AR19">
        <v>3</v>
      </c>
      <c r="AT19">
        <v>601</v>
      </c>
      <c r="AU19" s="4" t="s">
        <v>126</v>
      </c>
      <c r="AV19" s="13">
        <v>0.9</v>
      </c>
      <c r="AW19">
        <f t="shared" si="28"/>
        <v>1.1111111111111112</v>
      </c>
      <c r="AX19" s="17">
        <v>3</v>
      </c>
      <c r="AY19" s="4">
        <v>1.5</v>
      </c>
      <c r="AZ19" s="18">
        <f t="shared" si="23"/>
        <v>72</v>
      </c>
      <c r="BA19" s="18">
        <f t="shared" si="24"/>
        <v>1066.6666666666667</v>
      </c>
      <c r="BB19" s="18">
        <f t="shared" si="25"/>
        <v>24</v>
      </c>
      <c r="BC19">
        <v>6</v>
      </c>
      <c r="BD19" s="6">
        <f t="shared" si="26"/>
        <v>48</v>
      </c>
      <c r="BE19">
        <f t="shared" si="27"/>
        <v>1.2333333333333334</v>
      </c>
      <c r="BF19">
        <v>37</v>
      </c>
      <c r="BG19">
        <f t="shared" si="21"/>
        <v>2.1666666666666665</v>
      </c>
      <c r="BH19">
        <v>65</v>
      </c>
      <c r="BI19" s="4">
        <v>1.5</v>
      </c>
      <c r="BO19">
        <v>0</v>
      </c>
      <c r="BP19" t="str">
        <f t="shared" si="22"/>
        <v>0</v>
      </c>
    </row>
    <row r="20" spans="1:68" x14ac:dyDescent="0.15">
      <c r="A20">
        <f t="shared" si="0"/>
        <v>3301041</v>
      </c>
      <c r="B20" s="5" t="s">
        <v>98</v>
      </c>
      <c r="C20">
        <v>4</v>
      </c>
      <c r="D20">
        <v>3</v>
      </c>
      <c r="E20">
        <v>1</v>
      </c>
      <c r="F20" t="s">
        <v>99</v>
      </c>
      <c r="G20" t="s">
        <v>99</v>
      </c>
      <c r="H20" s="2">
        <v>0</v>
      </c>
      <c r="I20" s="2" t="s">
        <v>100</v>
      </c>
      <c r="J20" s="2">
        <f t="shared" si="1"/>
        <v>3</v>
      </c>
      <c r="K20" s="2">
        <f t="shared" si="2"/>
        <v>1.2</v>
      </c>
      <c r="L20" s="2">
        <f t="shared" si="3"/>
        <v>2</v>
      </c>
      <c r="M20" s="2">
        <v>10</v>
      </c>
      <c r="N20" s="2">
        <f t="shared" si="4"/>
        <v>80.64</v>
      </c>
      <c r="O20" s="2">
        <f t="shared" si="5"/>
        <v>8.06</v>
      </c>
      <c r="P20" s="2">
        <f t="shared" si="6"/>
        <v>1493.33</v>
      </c>
      <c r="Q20" s="2">
        <f t="shared" si="7"/>
        <v>149.33000000000001</v>
      </c>
      <c r="R20" s="2">
        <f t="shared" si="8"/>
        <v>16.13</v>
      </c>
      <c r="S20" s="2">
        <f t="shared" si="9"/>
        <v>1.61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4">
        <v>313011</v>
      </c>
      <c r="Z20" s="12" t="s">
        <v>432</v>
      </c>
      <c r="AA20" s="4">
        <v>1</v>
      </c>
      <c r="AB20" s="4">
        <v>0</v>
      </c>
      <c r="AC20" s="4"/>
      <c r="AD20" s="4">
        <f t="shared" si="10"/>
        <v>3823.1133231900008</v>
      </c>
      <c r="AF20" s="1" t="str">
        <f t="shared" si="11"/>
        <v>1</v>
      </c>
      <c r="AG20">
        <v>4</v>
      </c>
      <c r="AH20">
        <f t="shared" si="12"/>
        <v>80.64</v>
      </c>
      <c r="AI20">
        <f t="shared" si="13"/>
        <v>8.0640000000000001</v>
      </c>
      <c r="AJ20">
        <f t="shared" si="14"/>
        <v>1493.3333333333333</v>
      </c>
      <c r="AK20">
        <f t="shared" si="15"/>
        <v>149.33333333333334</v>
      </c>
      <c r="AL20">
        <f t="shared" si="16"/>
        <v>16.128</v>
      </c>
      <c r="AM20">
        <f t="shared" si="17"/>
        <v>1.6128</v>
      </c>
      <c r="AN20">
        <f t="shared" si="18"/>
        <v>1.2</v>
      </c>
      <c r="AO20">
        <f t="shared" si="19"/>
        <v>2</v>
      </c>
      <c r="AP20">
        <f t="shared" si="20"/>
        <v>3</v>
      </c>
      <c r="AQ20">
        <v>301</v>
      </c>
      <c r="AR20">
        <v>3</v>
      </c>
      <c r="AT20">
        <v>602</v>
      </c>
      <c r="AU20" s="4" t="s">
        <v>127</v>
      </c>
      <c r="AV20" s="13">
        <v>1</v>
      </c>
      <c r="AW20">
        <f t="shared" si="28"/>
        <v>1</v>
      </c>
      <c r="AX20" s="17">
        <v>5</v>
      </c>
      <c r="AY20" s="4">
        <v>1.8</v>
      </c>
      <c r="AZ20" s="18">
        <f t="shared" si="23"/>
        <v>96</v>
      </c>
      <c r="BA20" s="18">
        <f t="shared" si="24"/>
        <v>960</v>
      </c>
      <c r="BB20" s="18">
        <f t="shared" si="25"/>
        <v>19.2</v>
      </c>
      <c r="BC20">
        <v>6</v>
      </c>
      <c r="BD20" s="6">
        <f t="shared" si="26"/>
        <v>53.333333333333336</v>
      </c>
      <c r="BE20">
        <f t="shared" si="27"/>
        <v>1.6666666666666667</v>
      </c>
      <c r="BF20">
        <v>50</v>
      </c>
      <c r="BG20">
        <f t="shared" si="21"/>
        <v>2.5</v>
      </c>
      <c r="BH20">
        <v>75</v>
      </c>
      <c r="BI20">
        <v>1.5</v>
      </c>
      <c r="BO20">
        <v>0</v>
      </c>
      <c r="BP20" t="str">
        <f t="shared" si="22"/>
        <v>0</v>
      </c>
    </row>
    <row r="21" spans="1:68" x14ac:dyDescent="0.15">
      <c r="A21">
        <f t="shared" si="0"/>
        <v>3502041</v>
      </c>
      <c r="B21" s="5" t="s">
        <v>111</v>
      </c>
      <c r="C21">
        <v>4</v>
      </c>
      <c r="D21">
        <v>5</v>
      </c>
      <c r="E21">
        <v>1</v>
      </c>
      <c r="F21" t="s">
        <v>112</v>
      </c>
      <c r="G21" t="s">
        <v>112</v>
      </c>
      <c r="H21" s="2">
        <v>0</v>
      </c>
      <c r="I21" s="2" t="s">
        <v>113</v>
      </c>
      <c r="J21" s="2">
        <f t="shared" si="1"/>
        <v>6</v>
      </c>
      <c r="K21" s="2">
        <f t="shared" si="2"/>
        <v>1.4000000000000001</v>
      </c>
      <c r="L21" s="2">
        <f t="shared" si="3"/>
        <v>2</v>
      </c>
      <c r="M21" s="2">
        <v>10</v>
      </c>
      <c r="N21" s="2">
        <f t="shared" si="4"/>
        <v>146.35</v>
      </c>
      <c r="O21" s="2">
        <f t="shared" si="5"/>
        <v>14.63</v>
      </c>
      <c r="P21" s="2">
        <f t="shared" si="6"/>
        <v>960</v>
      </c>
      <c r="Q21" s="2">
        <f t="shared" si="7"/>
        <v>96</v>
      </c>
      <c r="R21" s="2">
        <f t="shared" si="8"/>
        <v>18.29</v>
      </c>
      <c r="S21" s="2">
        <f t="shared" si="9"/>
        <v>1.83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4">
        <v>315021</v>
      </c>
      <c r="Z21" s="12" t="s">
        <v>433</v>
      </c>
      <c r="AA21" s="4">
        <v>1</v>
      </c>
      <c r="AB21" s="4">
        <v>0</v>
      </c>
      <c r="AC21" s="4"/>
      <c r="AD21" s="4">
        <f t="shared" si="10"/>
        <v>3823.8155999999994</v>
      </c>
      <c r="AF21" s="1" t="str">
        <f t="shared" si="11"/>
        <v>2</v>
      </c>
      <c r="AG21">
        <v>4</v>
      </c>
      <c r="AH21">
        <f t="shared" si="12"/>
        <v>146.34666666666664</v>
      </c>
      <c r="AI21">
        <f t="shared" si="13"/>
        <v>14.634666666666664</v>
      </c>
      <c r="AJ21">
        <f t="shared" si="14"/>
        <v>960</v>
      </c>
      <c r="AK21">
        <f t="shared" si="15"/>
        <v>96</v>
      </c>
      <c r="AL21">
        <f t="shared" si="16"/>
        <v>18.293333333333329</v>
      </c>
      <c r="AM21">
        <f t="shared" si="17"/>
        <v>1.829333333333333</v>
      </c>
      <c r="AN21">
        <f t="shared" si="18"/>
        <v>1.4</v>
      </c>
      <c r="AO21">
        <f t="shared" si="19"/>
        <v>2</v>
      </c>
      <c r="AP21">
        <f t="shared" si="20"/>
        <v>6</v>
      </c>
      <c r="AQ21">
        <v>502</v>
      </c>
      <c r="AR21">
        <v>3</v>
      </c>
      <c r="AT21">
        <v>203</v>
      </c>
      <c r="AU21" s="4" t="s">
        <v>129</v>
      </c>
      <c r="AV21" s="13">
        <v>0.95</v>
      </c>
      <c r="AW21">
        <f t="shared" si="28"/>
        <v>1.0526315789473684</v>
      </c>
      <c r="AX21" s="17">
        <v>5</v>
      </c>
      <c r="AY21" s="4">
        <v>1.3</v>
      </c>
      <c r="AZ21" s="18">
        <f t="shared" ref="AZ21:AZ29" si="29">AV21*$AZ$4*AY21/1.5</f>
        <v>65.86666666666666</v>
      </c>
      <c r="BA21" s="18">
        <f t="shared" ref="BA21:BA29" si="30">AW21*$BA$4</f>
        <v>1010.5263157894736</v>
      </c>
      <c r="BB21" s="18">
        <f t="shared" si="25"/>
        <v>13.173333333333332</v>
      </c>
      <c r="BC21">
        <v>3</v>
      </c>
      <c r="BD21" s="6">
        <f t="shared" si="26"/>
        <v>50.666666666666657</v>
      </c>
      <c r="BE21">
        <f t="shared" si="27"/>
        <v>0.93333333333333335</v>
      </c>
      <c r="BF21">
        <v>28</v>
      </c>
      <c r="BG21">
        <f t="shared" si="21"/>
        <v>1.6666666666666667</v>
      </c>
      <c r="BH21">
        <v>50</v>
      </c>
      <c r="BO21">
        <v>0</v>
      </c>
      <c r="BP21" t="str">
        <f t="shared" si="22"/>
        <v>0</v>
      </c>
    </row>
    <row r="22" spans="1:68" x14ac:dyDescent="0.15">
      <c r="A22">
        <f t="shared" si="0"/>
        <v>3201042</v>
      </c>
      <c r="B22" s="5" t="s">
        <v>91</v>
      </c>
      <c r="C22">
        <v>4</v>
      </c>
      <c r="D22">
        <v>2</v>
      </c>
      <c r="E22">
        <v>2</v>
      </c>
      <c r="F22" t="s">
        <v>119</v>
      </c>
      <c r="G22" t="s">
        <v>119</v>
      </c>
      <c r="H22">
        <v>0</v>
      </c>
      <c r="I22" s="4" t="s">
        <v>92</v>
      </c>
      <c r="J22" s="2">
        <f t="shared" si="1"/>
        <v>3</v>
      </c>
      <c r="K22" s="2">
        <f t="shared" si="2"/>
        <v>1.8</v>
      </c>
      <c r="L22" s="2">
        <f t="shared" si="3"/>
        <v>1.8</v>
      </c>
      <c r="M22" s="2">
        <v>10</v>
      </c>
      <c r="N22" s="2">
        <f t="shared" si="4"/>
        <v>107.52</v>
      </c>
      <c r="O22" s="2">
        <f t="shared" si="5"/>
        <v>10.75</v>
      </c>
      <c r="P22" s="2">
        <f t="shared" si="6"/>
        <v>1680</v>
      </c>
      <c r="Q22" s="2">
        <f t="shared" si="7"/>
        <v>168</v>
      </c>
      <c r="R22" s="2">
        <f t="shared" si="8"/>
        <v>35.840000000000003</v>
      </c>
      <c r="S22" s="2">
        <f t="shared" si="9"/>
        <v>3.58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5">
        <v>322011</v>
      </c>
      <c r="Z22" s="12" t="s">
        <v>434</v>
      </c>
      <c r="AA22" s="4">
        <v>1</v>
      </c>
      <c r="AB22" s="4">
        <v>0</v>
      </c>
      <c r="AC22" s="4"/>
      <c r="AD22" s="4">
        <f t="shared" si="10"/>
        <v>3824.2696800000003</v>
      </c>
      <c r="AF22" s="1" t="str">
        <f t="shared" si="11"/>
        <v>1</v>
      </c>
      <c r="AG22">
        <v>4</v>
      </c>
      <c r="AH22">
        <f t="shared" si="12"/>
        <v>107.52000000000001</v>
      </c>
      <c r="AI22">
        <f t="shared" si="13"/>
        <v>10.752000000000002</v>
      </c>
      <c r="AJ22">
        <f t="shared" si="14"/>
        <v>1680</v>
      </c>
      <c r="AK22">
        <f t="shared" si="15"/>
        <v>168</v>
      </c>
      <c r="AL22">
        <f t="shared" si="16"/>
        <v>35.840000000000003</v>
      </c>
      <c r="AM22">
        <f t="shared" si="17"/>
        <v>3.5840000000000005</v>
      </c>
      <c r="AN22">
        <f t="shared" si="18"/>
        <v>1.8</v>
      </c>
      <c r="AO22">
        <f t="shared" si="19"/>
        <v>1.8</v>
      </c>
      <c r="AP22">
        <f t="shared" si="20"/>
        <v>3</v>
      </c>
      <c r="AQ22">
        <v>201</v>
      </c>
      <c r="AR22">
        <v>3</v>
      </c>
      <c r="AT22">
        <v>204</v>
      </c>
      <c r="AU22" s="4" t="s">
        <v>131</v>
      </c>
      <c r="AV22" s="13">
        <v>0.9</v>
      </c>
      <c r="AW22">
        <f t="shared" si="28"/>
        <v>1.1111111111111112</v>
      </c>
      <c r="AX22" s="17">
        <v>5</v>
      </c>
      <c r="AY22" s="4">
        <v>1.4</v>
      </c>
      <c r="AZ22" s="18">
        <f t="shared" si="29"/>
        <v>67.2</v>
      </c>
      <c r="BA22" s="18">
        <f t="shared" si="30"/>
        <v>1066.6666666666667</v>
      </c>
      <c r="BB22" s="18">
        <f t="shared" si="25"/>
        <v>13.440000000000001</v>
      </c>
      <c r="BC22">
        <v>3</v>
      </c>
      <c r="BD22" s="6">
        <f t="shared" si="26"/>
        <v>48</v>
      </c>
      <c r="BE22">
        <f t="shared" si="27"/>
        <v>1</v>
      </c>
      <c r="BF22">
        <v>30</v>
      </c>
      <c r="BG22">
        <f t="shared" si="21"/>
        <v>1</v>
      </c>
      <c r="BH22">
        <v>30</v>
      </c>
      <c r="BO22">
        <v>0</v>
      </c>
      <c r="BP22" t="str">
        <f t="shared" si="22"/>
        <v>0</v>
      </c>
    </row>
    <row r="23" spans="1:68" x14ac:dyDescent="0.15">
      <c r="A23">
        <f t="shared" si="0"/>
        <v>3500042</v>
      </c>
      <c r="B23" s="5" t="s">
        <v>108</v>
      </c>
      <c r="C23">
        <v>4</v>
      </c>
      <c r="D23">
        <v>5</v>
      </c>
      <c r="E23">
        <v>2</v>
      </c>
      <c r="F23" t="s">
        <v>125</v>
      </c>
      <c r="G23" t="s">
        <v>125</v>
      </c>
      <c r="H23" s="2">
        <v>0</v>
      </c>
      <c r="I23" s="2" t="s">
        <v>109</v>
      </c>
      <c r="J23" s="2">
        <f t="shared" si="1"/>
        <v>6</v>
      </c>
      <c r="K23" s="2">
        <f t="shared" si="2"/>
        <v>1.5</v>
      </c>
      <c r="L23" s="2">
        <f t="shared" si="3"/>
        <v>1.5</v>
      </c>
      <c r="M23" s="2">
        <v>10</v>
      </c>
      <c r="N23" s="2">
        <f t="shared" si="4"/>
        <v>156.80000000000001</v>
      </c>
      <c r="O23" s="2">
        <f t="shared" si="5"/>
        <v>15.68</v>
      </c>
      <c r="P23" s="2">
        <f t="shared" si="6"/>
        <v>960</v>
      </c>
      <c r="Q23" s="2">
        <f t="shared" si="7"/>
        <v>96</v>
      </c>
      <c r="R23" s="2">
        <f t="shared" si="8"/>
        <v>19.600000000000001</v>
      </c>
      <c r="S23" s="2">
        <f t="shared" si="9"/>
        <v>1.96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5">
        <v>325001</v>
      </c>
      <c r="Z23" s="12" t="s">
        <v>435</v>
      </c>
      <c r="AA23" s="4">
        <v>1</v>
      </c>
      <c r="AB23" s="4">
        <v>0</v>
      </c>
      <c r="AC23" s="4"/>
      <c r="AD23" s="4">
        <f t="shared" ref="AD23:AD51" si="31">(N23+O23*$AD$2)*(P23+Q23*$AD$2)/K23*0.945/3000</f>
        <v>3824.9164799999999</v>
      </c>
      <c r="AF23" s="1" t="str">
        <f t="shared" si="11"/>
        <v>0</v>
      </c>
      <c r="AG23">
        <v>4</v>
      </c>
      <c r="AH23">
        <f t="shared" si="12"/>
        <v>156.79999999999995</v>
      </c>
      <c r="AI23">
        <f t="shared" si="13"/>
        <v>15.679999999999996</v>
      </c>
      <c r="AJ23">
        <f t="shared" si="14"/>
        <v>960</v>
      </c>
      <c r="AK23">
        <f t="shared" si="15"/>
        <v>96</v>
      </c>
      <c r="AL23">
        <f t="shared" si="16"/>
        <v>19.599999999999994</v>
      </c>
      <c r="AM23">
        <f t="shared" si="17"/>
        <v>1.9599999999999995</v>
      </c>
      <c r="AN23">
        <f t="shared" si="18"/>
        <v>1.5</v>
      </c>
      <c r="AO23">
        <f t="shared" si="19"/>
        <v>1.5</v>
      </c>
      <c r="AP23">
        <f t="shared" si="20"/>
        <v>6</v>
      </c>
      <c r="AQ23">
        <v>500</v>
      </c>
      <c r="AR23">
        <v>3</v>
      </c>
      <c r="AT23">
        <v>205</v>
      </c>
      <c r="AU23" s="4" t="s">
        <v>132</v>
      </c>
      <c r="AV23" s="13">
        <v>1.05</v>
      </c>
      <c r="AW23">
        <f t="shared" si="28"/>
        <v>0.95238095238095233</v>
      </c>
      <c r="AX23" s="17">
        <v>5</v>
      </c>
      <c r="AY23" s="4">
        <v>1.8</v>
      </c>
      <c r="AZ23" s="18">
        <f t="shared" si="29"/>
        <v>100.80000000000001</v>
      </c>
      <c r="BA23" s="18">
        <f t="shared" si="30"/>
        <v>914.28571428571422</v>
      </c>
      <c r="BB23" s="18">
        <f t="shared" si="25"/>
        <v>20.160000000000004</v>
      </c>
      <c r="BC23">
        <v>3</v>
      </c>
      <c r="BD23" s="6">
        <f t="shared" si="26"/>
        <v>56.000000000000007</v>
      </c>
      <c r="BE23">
        <f t="shared" si="27"/>
        <v>1.6666666666666667</v>
      </c>
      <c r="BF23">
        <v>50</v>
      </c>
      <c r="BG23">
        <f t="shared" si="21"/>
        <v>2</v>
      </c>
      <c r="BH23">
        <v>60</v>
      </c>
      <c r="BO23">
        <v>0</v>
      </c>
      <c r="BP23" t="str">
        <f t="shared" si="22"/>
        <v>0</v>
      </c>
    </row>
    <row r="24" spans="1:68" x14ac:dyDescent="0.15">
      <c r="A24">
        <f t="shared" si="0"/>
        <v>3601042</v>
      </c>
      <c r="B24" s="5" t="s">
        <v>115</v>
      </c>
      <c r="C24">
        <v>4</v>
      </c>
      <c r="D24">
        <v>6</v>
      </c>
      <c r="E24">
        <v>2</v>
      </c>
      <c r="F24" t="s">
        <v>128</v>
      </c>
      <c r="G24" t="s">
        <v>128</v>
      </c>
      <c r="H24" s="2">
        <v>0</v>
      </c>
      <c r="I24" s="2" t="s">
        <v>116</v>
      </c>
      <c r="J24" s="2">
        <f t="shared" si="1"/>
        <v>6</v>
      </c>
      <c r="K24" s="2">
        <f t="shared" si="2"/>
        <v>1.5</v>
      </c>
      <c r="L24" s="2">
        <f t="shared" si="3"/>
        <v>2</v>
      </c>
      <c r="M24" s="2">
        <v>10</v>
      </c>
      <c r="N24" s="2">
        <f t="shared" si="4"/>
        <v>173.6</v>
      </c>
      <c r="O24" s="2">
        <f t="shared" si="5"/>
        <v>17.36</v>
      </c>
      <c r="P24" s="2">
        <f t="shared" si="6"/>
        <v>867.1</v>
      </c>
      <c r="Q24" s="2">
        <f t="shared" si="7"/>
        <v>86.71</v>
      </c>
      <c r="R24" s="2">
        <f t="shared" si="8"/>
        <v>17.36</v>
      </c>
      <c r="S24" s="2">
        <f t="shared" si="9"/>
        <v>1.74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5">
        <v>326011</v>
      </c>
      <c r="Z24" s="12" t="s">
        <v>436</v>
      </c>
      <c r="AA24" s="4">
        <v>1</v>
      </c>
      <c r="AB24" s="4">
        <v>0</v>
      </c>
      <c r="AC24" s="4"/>
      <c r="AD24" s="4">
        <f t="shared" si="31"/>
        <v>3824.9307095999998</v>
      </c>
      <c r="AF24" s="1" t="str">
        <f t="shared" si="11"/>
        <v>1</v>
      </c>
      <c r="AG24">
        <v>4</v>
      </c>
      <c r="AH24">
        <f t="shared" si="12"/>
        <v>173.6</v>
      </c>
      <c r="AI24">
        <f t="shared" si="13"/>
        <v>17.36</v>
      </c>
      <c r="AJ24">
        <f t="shared" si="14"/>
        <v>867.09677419354841</v>
      </c>
      <c r="AK24">
        <f t="shared" si="15"/>
        <v>86.709677419354847</v>
      </c>
      <c r="AL24">
        <f t="shared" si="16"/>
        <v>17.36</v>
      </c>
      <c r="AM24">
        <f t="shared" si="17"/>
        <v>1.736</v>
      </c>
      <c r="AN24">
        <f t="shared" si="18"/>
        <v>1.5</v>
      </c>
      <c r="AO24">
        <f t="shared" si="19"/>
        <v>2</v>
      </c>
      <c r="AP24">
        <f t="shared" si="20"/>
        <v>6</v>
      </c>
      <c r="AQ24">
        <v>601</v>
      </c>
      <c r="AR24">
        <v>3</v>
      </c>
      <c r="AT24">
        <v>206</v>
      </c>
      <c r="AU24" s="4" t="s">
        <v>133</v>
      </c>
      <c r="AV24" s="13">
        <v>1</v>
      </c>
      <c r="AW24">
        <f t="shared" si="28"/>
        <v>1</v>
      </c>
      <c r="AX24" s="17">
        <v>5</v>
      </c>
      <c r="AY24" s="4">
        <v>1.6</v>
      </c>
      <c r="AZ24" s="18">
        <f t="shared" si="29"/>
        <v>85.333333333333329</v>
      </c>
      <c r="BA24" s="18">
        <f t="shared" si="30"/>
        <v>960</v>
      </c>
      <c r="BB24" s="18">
        <f t="shared" si="25"/>
        <v>17.066666666666666</v>
      </c>
      <c r="BC24">
        <v>3</v>
      </c>
      <c r="BD24" s="6">
        <f t="shared" si="26"/>
        <v>53.333333333333329</v>
      </c>
      <c r="BE24">
        <f t="shared" si="27"/>
        <v>1.3666666666666667</v>
      </c>
      <c r="BF24">
        <v>41</v>
      </c>
      <c r="BG24">
        <f t="shared" si="21"/>
        <v>2.3333333333333335</v>
      </c>
      <c r="BH24">
        <v>70</v>
      </c>
      <c r="BO24">
        <v>0</v>
      </c>
      <c r="BP24" t="str">
        <f t="shared" si="22"/>
        <v>0</v>
      </c>
    </row>
    <row r="25" spans="1:68" x14ac:dyDescent="0.15">
      <c r="A25">
        <f t="shared" si="0"/>
        <v>3200043</v>
      </c>
      <c r="B25" s="5" t="s">
        <v>77</v>
      </c>
      <c r="C25">
        <v>4</v>
      </c>
      <c r="D25">
        <v>2</v>
      </c>
      <c r="E25">
        <v>3</v>
      </c>
      <c r="F25" t="s">
        <v>130</v>
      </c>
      <c r="G25" t="s">
        <v>130</v>
      </c>
      <c r="H25">
        <v>0</v>
      </c>
      <c r="I25" s="2" t="s">
        <v>78</v>
      </c>
      <c r="J25" s="2">
        <f t="shared" si="1"/>
        <v>3</v>
      </c>
      <c r="K25" s="2">
        <f t="shared" si="2"/>
        <v>1.5</v>
      </c>
      <c r="L25" s="2">
        <f t="shared" si="3"/>
        <v>1.2</v>
      </c>
      <c r="M25" s="2">
        <v>10</v>
      </c>
      <c r="N25" s="2">
        <f t="shared" si="4"/>
        <v>112</v>
      </c>
      <c r="O25" s="2">
        <f t="shared" si="5"/>
        <v>11.2</v>
      </c>
      <c r="P25" s="2">
        <f t="shared" si="6"/>
        <v>1344</v>
      </c>
      <c r="Q25" s="2">
        <f t="shared" si="7"/>
        <v>134.4</v>
      </c>
      <c r="R25" s="2">
        <f t="shared" si="8"/>
        <v>28</v>
      </c>
      <c r="S25" s="2">
        <f t="shared" si="9"/>
        <v>2.8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5">
        <v>332001</v>
      </c>
      <c r="Z25" s="12" t="s">
        <v>437</v>
      </c>
      <c r="AA25" s="4">
        <v>1</v>
      </c>
      <c r="AB25" s="4">
        <v>0</v>
      </c>
      <c r="AC25" s="4"/>
      <c r="AD25" s="4">
        <f t="shared" si="31"/>
        <v>3824.9164799999999</v>
      </c>
      <c r="AF25" s="1" t="str">
        <f t="shared" si="11"/>
        <v>0</v>
      </c>
      <c r="AG25">
        <v>4</v>
      </c>
      <c r="AH25">
        <f t="shared" si="12"/>
        <v>112</v>
      </c>
      <c r="AI25">
        <f t="shared" si="13"/>
        <v>11.200000000000001</v>
      </c>
      <c r="AJ25">
        <f t="shared" si="14"/>
        <v>1344</v>
      </c>
      <c r="AK25">
        <f t="shared" si="15"/>
        <v>134.4</v>
      </c>
      <c r="AL25">
        <f t="shared" si="16"/>
        <v>28</v>
      </c>
      <c r="AM25">
        <f t="shared" si="17"/>
        <v>2.8000000000000003</v>
      </c>
      <c r="AN25">
        <f t="shared" si="18"/>
        <v>1.5</v>
      </c>
      <c r="AO25">
        <f t="shared" si="19"/>
        <v>1.2</v>
      </c>
      <c r="AP25">
        <f t="shared" si="20"/>
        <v>3</v>
      </c>
      <c r="AQ25">
        <v>200</v>
      </c>
      <c r="AR25">
        <v>3</v>
      </c>
      <c r="AT25">
        <v>207</v>
      </c>
      <c r="AU25" s="4" t="s">
        <v>134</v>
      </c>
      <c r="AV25" s="13">
        <v>1</v>
      </c>
      <c r="AW25">
        <f t="shared" si="28"/>
        <v>1</v>
      </c>
      <c r="AX25" s="17">
        <v>4</v>
      </c>
      <c r="AY25" s="4">
        <v>1.5</v>
      </c>
      <c r="AZ25" s="18">
        <f t="shared" si="29"/>
        <v>80</v>
      </c>
      <c r="BA25" s="18">
        <f t="shared" si="30"/>
        <v>960</v>
      </c>
      <c r="BB25" s="18">
        <f t="shared" si="25"/>
        <v>20</v>
      </c>
      <c r="BC25">
        <v>3</v>
      </c>
      <c r="BD25" s="6">
        <f t="shared" ref="BD25:BD29" si="32">AZ25*(1/AY25)</f>
        <v>53.333333333333329</v>
      </c>
      <c r="BE25">
        <f t="shared" ref="BE25:BE29" si="33">BF25/30</f>
        <v>1</v>
      </c>
      <c r="BF25">
        <v>30</v>
      </c>
      <c r="BG25">
        <f t="shared" si="21"/>
        <v>1</v>
      </c>
      <c r="BH25">
        <v>30</v>
      </c>
      <c r="BO25">
        <v>0</v>
      </c>
      <c r="BP25" t="str">
        <f t="shared" si="22"/>
        <v>0</v>
      </c>
    </row>
    <row r="26" spans="1:68" x14ac:dyDescent="0.15">
      <c r="A26">
        <f t="shared" si="0"/>
        <v>3401041</v>
      </c>
      <c r="B26" s="5" t="s">
        <v>102</v>
      </c>
      <c r="C26">
        <v>4</v>
      </c>
      <c r="D26">
        <v>4</v>
      </c>
      <c r="E26">
        <v>1</v>
      </c>
      <c r="F26" s="22" t="s">
        <v>723</v>
      </c>
      <c r="G26" s="22" t="s">
        <v>723</v>
      </c>
      <c r="H26">
        <v>0</v>
      </c>
      <c r="I26" s="2" t="s">
        <v>103</v>
      </c>
      <c r="J26" s="2">
        <f t="shared" si="1"/>
        <v>6</v>
      </c>
      <c r="K26" s="2">
        <f t="shared" si="2"/>
        <v>1.6</v>
      </c>
      <c r="L26" s="2">
        <f t="shared" si="3"/>
        <v>2</v>
      </c>
      <c r="M26" s="2">
        <v>10</v>
      </c>
      <c r="N26" s="2">
        <f t="shared" si="4"/>
        <v>143.36000000000001</v>
      </c>
      <c r="O26" s="2">
        <f t="shared" si="5"/>
        <v>14.34</v>
      </c>
      <c r="P26" s="2">
        <f t="shared" si="6"/>
        <v>1120</v>
      </c>
      <c r="Q26" s="2">
        <f t="shared" si="7"/>
        <v>112</v>
      </c>
      <c r="R26" s="2">
        <f t="shared" si="8"/>
        <v>20.48</v>
      </c>
      <c r="S26" s="2">
        <f t="shared" si="9"/>
        <v>2.0499999999999998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5">
        <v>334011</v>
      </c>
      <c r="Z26" s="12" t="s">
        <v>438</v>
      </c>
      <c r="AA26" s="4">
        <v>1</v>
      </c>
      <c r="AB26" s="4">
        <v>0</v>
      </c>
      <c r="AC26" s="4"/>
      <c r="AD26" s="4">
        <f t="shared" si="31"/>
        <v>3825.8866800000005</v>
      </c>
      <c r="AF26" s="1" t="str">
        <f t="shared" si="11"/>
        <v>1</v>
      </c>
      <c r="AG26">
        <v>4</v>
      </c>
      <c r="AH26">
        <f t="shared" si="12"/>
        <v>143.35999999999999</v>
      </c>
      <c r="AI26">
        <f t="shared" si="13"/>
        <v>14.335999999999999</v>
      </c>
      <c r="AJ26">
        <f t="shared" si="14"/>
        <v>1120</v>
      </c>
      <c r="AK26">
        <f t="shared" si="15"/>
        <v>112</v>
      </c>
      <c r="AL26">
        <f t="shared" si="16"/>
        <v>20.479999999999997</v>
      </c>
      <c r="AM26">
        <f t="shared" si="17"/>
        <v>2.0479999999999996</v>
      </c>
      <c r="AN26">
        <f t="shared" si="18"/>
        <v>1.6</v>
      </c>
      <c r="AO26">
        <f t="shared" si="19"/>
        <v>2</v>
      </c>
      <c r="AP26">
        <f t="shared" si="20"/>
        <v>6</v>
      </c>
      <c r="AQ26">
        <v>401</v>
      </c>
      <c r="AR26">
        <v>3</v>
      </c>
      <c r="AT26">
        <v>208</v>
      </c>
      <c r="AU26" s="4" t="s">
        <v>135</v>
      </c>
      <c r="AV26" s="13">
        <v>0.8</v>
      </c>
      <c r="AW26">
        <f t="shared" si="28"/>
        <v>1.25</v>
      </c>
      <c r="AX26" s="17">
        <v>3</v>
      </c>
      <c r="AY26" s="4">
        <v>1.8</v>
      </c>
      <c r="AZ26" s="18">
        <f t="shared" si="29"/>
        <v>76.8</v>
      </c>
      <c r="BA26" s="18">
        <f t="shared" si="30"/>
        <v>1200</v>
      </c>
      <c r="BB26" s="18">
        <f t="shared" si="25"/>
        <v>25.599999999999998</v>
      </c>
      <c r="BC26">
        <v>3</v>
      </c>
      <c r="BD26" s="6">
        <f t="shared" si="32"/>
        <v>42.666666666666664</v>
      </c>
      <c r="BE26">
        <f t="shared" si="33"/>
        <v>1.6666666666666667</v>
      </c>
      <c r="BF26">
        <v>50</v>
      </c>
      <c r="BG26">
        <f t="shared" si="21"/>
        <v>1.6</v>
      </c>
      <c r="BH26">
        <v>48</v>
      </c>
      <c r="BO26" t="s">
        <v>136</v>
      </c>
      <c r="BP26" t="str">
        <f t="shared" si="22"/>
        <v>1</v>
      </c>
    </row>
    <row r="27" spans="1:68" x14ac:dyDescent="0.15">
      <c r="A27">
        <f t="shared" si="0"/>
        <v>3402043</v>
      </c>
      <c r="B27" s="5" t="s">
        <v>105</v>
      </c>
      <c r="C27">
        <v>4</v>
      </c>
      <c r="D27">
        <v>4</v>
      </c>
      <c r="E27">
        <v>3</v>
      </c>
      <c r="F27" t="s">
        <v>137</v>
      </c>
      <c r="G27" t="s">
        <v>137</v>
      </c>
      <c r="H27" s="2">
        <v>0</v>
      </c>
      <c r="I27" s="2" t="s">
        <v>106</v>
      </c>
      <c r="J27" s="2">
        <f t="shared" si="1"/>
        <v>6</v>
      </c>
      <c r="K27" s="2">
        <f t="shared" si="2"/>
        <v>1.5</v>
      </c>
      <c r="L27" s="2">
        <f t="shared" si="3"/>
        <v>1.5</v>
      </c>
      <c r="M27" s="2">
        <v>10</v>
      </c>
      <c r="N27" s="2">
        <f t="shared" si="4"/>
        <v>134.4</v>
      </c>
      <c r="O27" s="2">
        <f t="shared" si="5"/>
        <v>13.44</v>
      </c>
      <c r="P27" s="2">
        <f t="shared" si="6"/>
        <v>1120</v>
      </c>
      <c r="Q27" s="2">
        <f t="shared" si="7"/>
        <v>112</v>
      </c>
      <c r="R27" s="2">
        <f t="shared" si="8"/>
        <v>19.2</v>
      </c>
      <c r="S27" s="2">
        <f t="shared" si="9"/>
        <v>1.92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5">
        <v>334021</v>
      </c>
      <c r="Z27" s="12" t="s">
        <v>439</v>
      </c>
      <c r="AA27" s="4">
        <v>1</v>
      </c>
      <c r="AB27" s="4">
        <v>0</v>
      </c>
      <c r="AC27" s="4"/>
      <c r="AD27" s="4">
        <f t="shared" si="31"/>
        <v>3824.9164799999999</v>
      </c>
      <c r="AF27" s="1" t="str">
        <f t="shared" si="11"/>
        <v>2</v>
      </c>
      <c r="AG27">
        <v>4</v>
      </c>
      <c r="AH27">
        <f t="shared" si="12"/>
        <v>134.39999999999998</v>
      </c>
      <c r="AI27">
        <f t="shared" si="13"/>
        <v>13.439999999999998</v>
      </c>
      <c r="AJ27">
        <f t="shared" si="14"/>
        <v>1120</v>
      </c>
      <c r="AK27">
        <f t="shared" si="15"/>
        <v>112</v>
      </c>
      <c r="AL27">
        <f t="shared" si="16"/>
        <v>19.199999999999996</v>
      </c>
      <c r="AM27">
        <f t="shared" si="17"/>
        <v>1.9199999999999997</v>
      </c>
      <c r="AN27">
        <f t="shared" si="18"/>
        <v>1.5</v>
      </c>
      <c r="AO27">
        <f t="shared" si="19"/>
        <v>1.5</v>
      </c>
      <c r="AP27">
        <f t="shared" si="20"/>
        <v>6</v>
      </c>
      <c r="AQ27">
        <v>402</v>
      </c>
      <c r="AR27">
        <v>3</v>
      </c>
      <c r="AT27">
        <v>209</v>
      </c>
      <c r="AU27" s="4" t="s">
        <v>138</v>
      </c>
      <c r="AV27" s="13">
        <v>0.9</v>
      </c>
      <c r="AW27">
        <f t="shared" si="28"/>
        <v>1.1111111111111112</v>
      </c>
      <c r="AX27" s="17">
        <v>5</v>
      </c>
      <c r="AY27" s="4">
        <v>1.8</v>
      </c>
      <c r="AZ27" s="18">
        <f t="shared" si="29"/>
        <v>86.399999999999991</v>
      </c>
      <c r="BA27" s="18">
        <f t="shared" si="30"/>
        <v>1066.6666666666667</v>
      </c>
      <c r="BB27" s="18">
        <f t="shared" si="25"/>
        <v>17.279999999999998</v>
      </c>
      <c r="BC27">
        <v>3</v>
      </c>
      <c r="BD27" s="6">
        <f t="shared" si="32"/>
        <v>48</v>
      </c>
      <c r="BE27">
        <f t="shared" si="33"/>
        <v>1.6666666666666667</v>
      </c>
      <c r="BF27">
        <v>50</v>
      </c>
      <c r="BG27">
        <f t="shared" si="21"/>
        <v>2</v>
      </c>
      <c r="BH27">
        <v>60</v>
      </c>
      <c r="BO27">
        <v>0</v>
      </c>
      <c r="BP27" t="str">
        <f t="shared" si="22"/>
        <v>0</v>
      </c>
    </row>
    <row r="28" spans="1:68" x14ac:dyDescent="0.15">
      <c r="A28">
        <f t="shared" si="0"/>
        <v>3501043</v>
      </c>
      <c r="B28" s="5" t="s">
        <v>143</v>
      </c>
      <c r="C28">
        <v>4</v>
      </c>
      <c r="D28">
        <v>5</v>
      </c>
      <c r="E28">
        <v>3</v>
      </c>
      <c r="F28" s="22" t="s">
        <v>724</v>
      </c>
      <c r="G28" s="22" t="s">
        <v>724</v>
      </c>
      <c r="H28">
        <v>0</v>
      </c>
      <c r="I28" s="2" t="s">
        <v>144</v>
      </c>
      <c r="J28" s="2">
        <f t="shared" si="1"/>
        <v>6</v>
      </c>
      <c r="K28" s="2">
        <f t="shared" si="2"/>
        <v>1.6</v>
      </c>
      <c r="L28" s="2">
        <f t="shared" si="3"/>
        <v>2</v>
      </c>
      <c r="M28" s="2">
        <v>10</v>
      </c>
      <c r="N28" s="2">
        <f t="shared" si="4"/>
        <v>167.25</v>
      </c>
      <c r="O28" s="2">
        <f t="shared" si="5"/>
        <v>16.73</v>
      </c>
      <c r="P28" s="2">
        <f t="shared" si="6"/>
        <v>960</v>
      </c>
      <c r="Q28" s="2">
        <f t="shared" si="7"/>
        <v>96</v>
      </c>
      <c r="R28" s="2">
        <f t="shared" si="8"/>
        <v>20.91</v>
      </c>
      <c r="S28" s="2">
        <f t="shared" si="9"/>
        <v>2.09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5">
        <v>345011</v>
      </c>
      <c r="Z28" s="12" t="s">
        <v>440</v>
      </c>
      <c r="AA28" s="4">
        <v>1</v>
      </c>
      <c r="AB28" s="4">
        <v>0</v>
      </c>
      <c r="AC28" s="4"/>
      <c r="AD28" s="4">
        <f t="shared" si="31"/>
        <v>3825.8797500000001</v>
      </c>
      <c r="AF28" s="1" t="str">
        <f t="shared" si="11"/>
        <v>1</v>
      </c>
      <c r="AG28">
        <v>4</v>
      </c>
      <c r="AH28">
        <f t="shared" si="12"/>
        <v>167.2533333333333</v>
      </c>
      <c r="AI28">
        <f t="shared" si="13"/>
        <v>16.725333333333332</v>
      </c>
      <c r="AJ28">
        <f t="shared" si="14"/>
        <v>960</v>
      </c>
      <c r="AK28">
        <f t="shared" si="15"/>
        <v>96</v>
      </c>
      <c r="AL28">
        <f t="shared" si="16"/>
        <v>20.906666666666663</v>
      </c>
      <c r="AM28">
        <f t="shared" si="17"/>
        <v>2.0906666666666665</v>
      </c>
      <c r="AN28">
        <f t="shared" si="18"/>
        <v>1.6</v>
      </c>
      <c r="AO28">
        <f t="shared" si="19"/>
        <v>2</v>
      </c>
      <c r="AP28">
        <f t="shared" si="20"/>
        <v>6</v>
      </c>
      <c r="AQ28">
        <v>501</v>
      </c>
      <c r="AR28">
        <v>3</v>
      </c>
      <c r="AT28">
        <v>303</v>
      </c>
      <c r="AU28" s="4" t="s">
        <v>139</v>
      </c>
      <c r="AV28" s="13">
        <v>1.1000000000000001</v>
      </c>
      <c r="AW28">
        <f t="shared" si="28"/>
        <v>0.90909090909090906</v>
      </c>
      <c r="AX28" s="17">
        <v>8</v>
      </c>
      <c r="AY28" s="4">
        <v>1.3</v>
      </c>
      <c r="AZ28" s="18">
        <f t="shared" si="29"/>
        <v>76.266666666666666</v>
      </c>
      <c r="BA28" s="18">
        <f t="shared" si="30"/>
        <v>872.72727272727275</v>
      </c>
      <c r="BB28" s="18">
        <f t="shared" si="25"/>
        <v>9.5333333333333332</v>
      </c>
      <c r="BC28">
        <v>3</v>
      </c>
      <c r="BD28" s="6">
        <f t="shared" si="32"/>
        <v>58.666666666666657</v>
      </c>
      <c r="BE28">
        <f t="shared" si="33"/>
        <v>1.1666666666666667</v>
      </c>
      <c r="BF28">
        <v>35</v>
      </c>
      <c r="BG28">
        <f t="shared" si="21"/>
        <v>1.1666666666666667</v>
      </c>
      <c r="BH28">
        <v>35</v>
      </c>
      <c r="BO28">
        <v>0</v>
      </c>
      <c r="BP28" t="str">
        <f t="shared" si="22"/>
        <v>0</v>
      </c>
    </row>
    <row r="29" spans="1:68" x14ac:dyDescent="0.15">
      <c r="A29">
        <f t="shared" si="0"/>
        <v>3600043</v>
      </c>
      <c r="B29" s="5" t="s">
        <v>146</v>
      </c>
      <c r="C29">
        <v>4</v>
      </c>
      <c r="D29">
        <v>6</v>
      </c>
      <c r="E29">
        <v>3</v>
      </c>
      <c r="F29" s="22" t="s">
        <v>725</v>
      </c>
      <c r="G29" s="22" t="s">
        <v>725</v>
      </c>
      <c r="H29" s="2">
        <v>0</v>
      </c>
      <c r="I29" s="2" t="s">
        <v>147</v>
      </c>
      <c r="J29" s="2">
        <f t="shared" si="1"/>
        <v>3</v>
      </c>
      <c r="K29" s="2">
        <f t="shared" si="2"/>
        <v>1.4000000000000001</v>
      </c>
      <c r="L29" s="2">
        <f t="shared" si="3"/>
        <v>1.9000000000000001</v>
      </c>
      <c r="M29" s="2">
        <v>10</v>
      </c>
      <c r="N29" s="2">
        <f t="shared" si="4"/>
        <v>162.03</v>
      </c>
      <c r="O29" s="2">
        <f t="shared" si="5"/>
        <v>16.2</v>
      </c>
      <c r="P29" s="2">
        <f t="shared" si="6"/>
        <v>867.1</v>
      </c>
      <c r="Q29" s="2">
        <f t="shared" si="7"/>
        <v>86.71</v>
      </c>
      <c r="R29" s="2">
        <f t="shared" si="8"/>
        <v>16.2</v>
      </c>
      <c r="S29" s="2">
        <f t="shared" si="9"/>
        <v>1.62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5">
        <v>346001</v>
      </c>
      <c r="Z29" s="12" t="s">
        <v>441</v>
      </c>
      <c r="AA29" s="4">
        <v>1</v>
      </c>
      <c r="AB29" s="4">
        <v>0</v>
      </c>
      <c r="AC29" s="4"/>
      <c r="AD29" s="4">
        <f t="shared" si="31"/>
        <v>3824.365577175</v>
      </c>
      <c r="AF29" s="1" t="str">
        <f t="shared" si="11"/>
        <v>0</v>
      </c>
      <c r="AG29">
        <v>4</v>
      </c>
      <c r="AH29">
        <f t="shared" si="12"/>
        <v>162.02666666666664</v>
      </c>
      <c r="AI29">
        <f t="shared" si="13"/>
        <v>16.202666666666666</v>
      </c>
      <c r="AJ29">
        <f t="shared" si="14"/>
        <v>867.09677419354841</v>
      </c>
      <c r="AK29">
        <f t="shared" si="15"/>
        <v>86.709677419354847</v>
      </c>
      <c r="AL29">
        <f t="shared" si="16"/>
        <v>16.202666666666666</v>
      </c>
      <c r="AM29">
        <f t="shared" si="17"/>
        <v>1.6202666666666667</v>
      </c>
      <c r="AN29">
        <f t="shared" si="18"/>
        <v>1.4</v>
      </c>
      <c r="AO29">
        <f t="shared" si="19"/>
        <v>1.9</v>
      </c>
      <c r="AP29">
        <f t="shared" si="20"/>
        <v>3</v>
      </c>
      <c r="AQ29">
        <v>600</v>
      </c>
      <c r="AR29">
        <v>3</v>
      </c>
      <c r="AT29">
        <v>304</v>
      </c>
      <c r="AU29" s="4" t="s">
        <v>140</v>
      </c>
      <c r="AV29" s="13">
        <v>1.1499999999999999</v>
      </c>
      <c r="AW29">
        <f t="shared" si="28"/>
        <v>0.86956521739130443</v>
      </c>
      <c r="AX29" s="17">
        <v>8</v>
      </c>
      <c r="AY29" s="4">
        <v>1.4</v>
      </c>
      <c r="AZ29" s="18">
        <f t="shared" si="29"/>
        <v>85.86666666666666</v>
      </c>
      <c r="BA29" s="18">
        <f t="shared" si="30"/>
        <v>834.78260869565224</v>
      </c>
      <c r="BB29" s="18">
        <f t="shared" si="25"/>
        <v>10.733333333333333</v>
      </c>
      <c r="BC29">
        <v>3</v>
      </c>
      <c r="BD29" s="6">
        <f t="shared" si="32"/>
        <v>61.333333333333329</v>
      </c>
      <c r="BE29">
        <f t="shared" si="33"/>
        <v>1.3333333333333333</v>
      </c>
      <c r="BF29">
        <v>40</v>
      </c>
      <c r="BG29">
        <f t="shared" si="21"/>
        <v>2</v>
      </c>
      <c r="BH29">
        <v>60</v>
      </c>
      <c r="BO29" t="s">
        <v>141</v>
      </c>
      <c r="BP29" t="str">
        <f t="shared" si="22"/>
        <v>1</v>
      </c>
    </row>
    <row r="30" spans="1:68" x14ac:dyDescent="0.15">
      <c r="A30">
        <f t="shared" si="0"/>
        <v>3602041</v>
      </c>
      <c r="B30" s="5" t="s">
        <v>149</v>
      </c>
      <c r="C30">
        <v>4</v>
      </c>
      <c r="D30">
        <v>6</v>
      </c>
      <c r="E30">
        <v>1</v>
      </c>
      <c r="F30" s="22" t="s">
        <v>726</v>
      </c>
      <c r="G30" s="22" t="s">
        <v>726</v>
      </c>
      <c r="H30" t="s">
        <v>150</v>
      </c>
      <c r="I30" s="2" t="s">
        <v>151</v>
      </c>
      <c r="J30" s="2">
        <f t="shared" si="1"/>
        <v>6</v>
      </c>
      <c r="K30" s="2">
        <f t="shared" si="2"/>
        <v>1.8</v>
      </c>
      <c r="L30" s="2">
        <f t="shared" si="3"/>
        <v>2</v>
      </c>
      <c r="M30" s="2">
        <v>10</v>
      </c>
      <c r="N30" s="2">
        <f t="shared" si="4"/>
        <v>208.32</v>
      </c>
      <c r="O30" s="2">
        <f t="shared" si="5"/>
        <v>20.83</v>
      </c>
      <c r="P30" s="2">
        <f t="shared" si="6"/>
        <v>867.1</v>
      </c>
      <c r="Q30" s="2">
        <f t="shared" si="7"/>
        <v>86.71</v>
      </c>
      <c r="R30" s="2">
        <f t="shared" si="8"/>
        <v>20.83</v>
      </c>
      <c r="S30" s="2">
        <f t="shared" si="9"/>
        <v>2.08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5">
        <v>346021</v>
      </c>
      <c r="Z30" s="12" t="s">
        <v>442</v>
      </c>
      <c r="AA30" s="4">
        <v>1</v>
      </c>
      <c r="AB30" s="4">
        <v>0</v>
      </c>
      <c r="AC30" s="4"/>
      <c r="AD30" s="4">
        <f t="shared" si="31"/>
        <v>3824.5968760999999</v>
      </c>
      <c r="AF30" s="1" t="str">
        <f t="shared" si="11"/>
        <v>2</v>
      </c>
      <c r="AG30">
        <v>4</v>
      </c>
      <c r="AH30">
        <f t="shared" si="12"/>
        <v>208.32</v>
      </c>
      <c r="AI30">
        <f t="shared" si="13"/>
        <v>20.832000000000001</v>
      </c>
      <c r="AJ30">
        <f t="shared" si="14"/>
        <v>867.09677419354841</v>
      </c>
      <c r="AK30">
        <f t="shared" si="15"/>
        <v>86.709677419354847</v>
      </c>
      <c r="AL30">
        <f t="shared" si="16"/>
        <v>20.832000000000001</v>
      </c>
      <c r="AM30">
        <f t="shared" si="17"/>
        <v>2.0832000000000002</v>
      </c>
      <c r="AN30">
        <f t="shared" si="18"/>
        <v>1.8</v>
      </c>
      <c r="AO30">
        <f t="shared" si="19"/>
        <v>2</v>
      </c>
      <c r="AP30">
        <f t="shared" si="20"/>
        <v>6</v>
      </c>
      <c r="AQ30">
        <v>602</v>
      </c>
      <c r="AR30">
        <v>3</v>
      </c>
      <c r="AT30">
        <v>305</v>
      </c>
      <c r="AU30" s="4" t="s">
        <v>142</v>
      </c>
      <c r="AV30" s="13">
        <v>1.1499999999999999</v>
      </c>
      <c r="AW30">
        <f t="shared" si="28"/>
        <v>0.86956521739130443</v>
      </c>
      <c r="AX30" s="17">
        <v>8</v>
      </c>
      <c r="AY30" s="4">
        <v>1.3</v>
      </c>
      <c r="AZ30" s="18">
        <f t="shared" ref="AZ30:AZ36" si="34">AV30*$AZ$4*AY30/1.5</f>
        <v>79.733333333333334</v>
      </c>
      <c r="BA30" s="18">
        <f t="shared" ref="BA30:BA36" si="35">AW30*$BA$4</f>
        <v>834.78260869565224</v>
      </c>
      <c r="BB30" s="18">
        <f t="shared" si="25"/>
        <v>9.9666666666666668</v>
      </c>
      <c r="BC30">
        <v>6</v>
      </c>
      <c r="BD30" s="6">
        <f t="shared" ref="BD30:BD36" si="36">AZ30*(1/AY30)</f>
        <v>61.333333333333329</v>
      </c>
      <c r="BE30">
        <f t="shared" ref="BE30:BE36" si="37">BF30/30</f>
        <v>1</v>
      </c>
      <c r="BF30">
        <v>30</v>
      </c>
      <c r="BG30">
        <f t="shared" si="21"/>
        <v>1.6666666666666667</v>
      </c>
      <c r="BH30">
        <v>50</v>
      </c>
      <c r="BO30">
        <v>0</v>
      </c>
      <c r="BP30" t="str">
        <f t="shared" si="22"/>
        <v>0</v>
      </c>
    </row>
    <row r="31" spans="1:68" x14ac:dyDescent="0.15">
      <c r="A31">
        <f t="shared" si="0"/>
        <v>3300042</v>
      </c>
      <c r="B31" s="5" t="s">
        <v>153</v>
      </c>
      <c r="C31">
        <v>4</v>
      </c>
      <c r="D31">
        <v>3</v>
      </c>
      <c r="E31">
        <v>2</v>
      </c>
      <c r="F31" s="22" t="s">
        <v>727</v>
      </c>
      <c r="G31" s="22" t="s">
        <v>727</v>
      </c>
      <c r="H31" s="2">
        <v>0</v>
      </c>
      <c r="I31" s="2" t="s">
        <v>154</v>
      </c>
      <c r="J31" s="2">
        <v>6</v>
      </c>
      <c r="K31" s="2">
        <f t="shared" si="2"/>
        <v>1.3</v>
      </c>
      <c r="L31" s="2">
        <f t="shared" si="3"/>
        <v>1.9000000000000001</v>
      </c>
      <c r="M31" s="2">
        <v>10</v>
      </c>
      <c r="N31" s="2">
        <f t="shared" si="4"/>
        <v>87.36</v>
      </c>
      <c r="O31" s="2">
        <f t="shared" si="5"/>
        <v>8.74</v>
      </c>
      <c r="P31" s="2">
        <f t="shared" si="6"/>
        <v>1493.33</v>
      </c>
      <c r="Q31" s="2">
        <f t="shared" si="7"/>
        <v>149.33000000000001</v>
      </c>
      <c r="R31" s="2">
        <f t="shared" si="8"/>
        <v>17.47</v>
      </c>
      <c r="S31" s="2">
        <f t="shared" si="9"/>
        <v>1.75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5">
        <v>353001</v>
      </c>
      <c r="Z31" s="12" t="s">
        <v>443</v>
      </c>
      <c r="AA31" s="4">
        <v>1</v>
      </c>
      <c r="AB31" s="4">
        <v>0</v>
      </c>
      <c r="AC31" s="4"/>
      <c r="AD31" s="4">
        <f t="shared" si="31"/>
        <v>3826.4301782861539</v>
      </c>
      <c r="AF31" s="1" t="str">
        <f t="shared" si="11"/>
        <v>0</v>
      </c>
      <c r="AG31">
        <v>4</v>
      </c>
      <c r="AH31">
        <f t="shared" si="12"/>
        <v>87.360000000000014</v>
      </c>
      <c r="AI31">
        <f t="shared" si="13"/>
        <v>8.7360000000000024</v>
      </c>
      <c r="AJ31">
        <f t="shared" si="14"/>
        <v>1493.3333333333333</v>
      </c>
      <c r="AK31">
        <f t="shared" si="15"/>
        <v>149.33333333333334</v>
      </c>
      <c r="AL31">
        <f t="shared" si="16"/>
        <v>17.472000000000001</v>
      </c>
      <c r="AM31">
        <f t="shared" si="17"/>
        <v>1.7472000000000003</v>
      </c>
      <c r="AN31">
        <f t="shared" si="18"/>
        <v>1.3</v>
      </c>
      <c r="AO31">
        <f t="shared" si="19"/>
        <v>1.9</v>
      </c>
      <c r="AP31">
        <f t="shared" si="20"/>
        <v>3</v>
      </c>
      <c r="AQ31">
        <v>300</v>
      </c>
      <c r="AR31">
        <v>3</v>
      </c>
      <c r="AT31">
        <v>306</v>
      </c>
      <c r="AU31" s="4" t="s">
        <v>145</v>
      </c>
      <c r="AV31" s="13">
        <v>1.1000000000000001</v>
      </c>
      <c r="AW31">
        <f t="shared" si="28"/>
        <v>0.90909090909090906</v>
      </c>
      <c r="AX31" s="17">
        <v>6</v>
      </c>
      <c r="AY31" s="4">
        <v>1.2</v>
      </c>
      <c r="AZ31" s="18">
        <f t="shared" si="34"/>
        <v>70.399999999999991</v>
      </c>
      <c r="BA31" s="18">
        <f t="shared" si="35"/>
        <v>872.72727272727275</v>
      </c>
      <c r="BB31" s="18">
        <f t="shared" si="25"/>
        <v>11.733333333333333</v>
      </c>
      <c r="BC31">
        <v>3</v>
      </c>
      <c r="BD31" s="6">
        <f t="shared" si="36"/>
        <v>58.666666666666664</v>
      </c>
      <c r="BE31">
        <f t="shared" si="37"/>
        <v>1.2</v>
      </c>
      <c r="BF31">
        <v>36</v>
      </c>
      <c r="BG31">
        <f t="shared" si="21"/>
        <v>2.5</v>
      </c>
      <c r="BH31">
        <v>75</v>
      </c>
      <c r="BO31">
        <v>0</v>
      </c>
      <c r="BP31" t="str">
        <f t="shared" si="22"/>
        <v>0</v>
      </c>
    </row>
    <row r="32" spans="1:68" x14ac:dyDescent="0.15">
      <c r="A32">
        <f t="shared" si="0"/>
        <v>3302043</v>
      </c>
      <c r="B32" s="5" t="s">
        <v>156</v>
      </c>
      <c r="C32">
        <v>4</v>
      </c>
      <c r="D32">
        <v>3</v>
      </c>
      <c r="E32">
        <v>3</v>
      </c>
      <c r="F32" s="22" t="s">
        <v>728</v>
      </c>
      <c r="G32" s="22" t="s">
        <v>728</v>
      </c>
      <c r="H32" s="2">
        <v>0</v>
      </c>
      <c r="I32" s="2" t="s">
        <v>157</v>
      </c>
      <c r="J32" s="2">
        <f t="shared" si="1"/>
        <v>3</v>
      </c>
      <c r="K32" s="2">
        <f t="shared" si="2"/>
        <v>1.4000000000000001</v>
      </c>
      <c r="L32" s="2">
        <f t="shared" si="3"/>
        <v>1.7</v>
      </c>
      <c r="M32" s="2">
        <v>10</v>
      </c>
      <c r="N32" s="2">
        <f t="shared" si="4"/>
        <v>94.08</v>
      </c>
      <c r="O32" s="2">
        <f t="shared" si="5"/>
        <v>9.41</v>
      </c>
      <c r="P32" s="2">
        <f t="shared" si="6"/>
        <v>1493.33</v>
      </c>
      <c r="Q32" s="2">
        <f t="shared" si="7"/>
        <v>149.33000000000001</v>
      </c>
      <c r="R32" s="2">
        <f t="shared" si="8"/>
        <v>18.82</v>
      </c>
      <c r="S32" s="2">
        <f t="shared" si="9"/>
        <v>1.88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5">
        <v>353021</v>
      </c>
      <c r="Z32" s="12" t="s">
        <v>444</v>
      </c>
      <c r="AA32" s="4">
        <v>1</v>
      </c>
      <c r="AB32" s="4">
        <v>0</v>
      </c>
      <c r="AC32" s="4"/>
      <c r="AD32" s="4">
        <f t="shared" si="31"/>
        <v>3825.5772726899995</v>
      </c>
      <c r="AF32" s="1" t="str">
        <f t="shared" ref="AF32:AF59" si="38">RIGHT(AQ32,1)</f>
        <v>2</v>
      </c>
      <c r="AG32">
        <v>4</v>
      </c>
      <c r="AH32">
        <f t="shared" si="12"/>
        <v>94.08</v>
      </c>
      <c r="AI32">
        <f t="shared" si="13"/>
        <v>9.4079999999999995</v>
      </c>
      <c r="AJ32">
        <f t="shared" si="14"/>
        <v>1493.3333333333333</v>
      </c>
      <c r="AK32">
        <f t="shared" si="15"/>
        <v>149.33333333333334</v>
      </c>
      <c r="AL32">
        <f t="shared" si="16"/>
        <v>18.815999999999999</v>
      </c>
      <c r="AM32">
        <f t="shared" si="17"/>
        <v>1.8815999999999999</v>
      </c>
      <c r="AN32">
        <f t="shared" si="18"/>
        <v>1.4</v>
      </c>
      <c r="AO32">
        <f t="shared" si="19"/>
        <v>1.7</v>
      </c>
      <c r="AP32">
        <f t="shared" si="20"/>
        <v>3</v>
      </c>
      <c r="AQ32">
        <v>302</v>
      </c>
      <c r="AR32">
        <v>3</v>
      </c>
      <c r="AT32">
        <v>307</v>
      </c>
      <c r="AU32" s="4" t="s">
        <v>148</v>
      </c>
      <c r="AV32" s="13">
        <v>1.2</v>
      </c>
      <c r="AW32">
        <f t="shared" si="28"/>
        <v>0.83333333333333337</v>
      </c>
      <c r="AX32" s="17">
        <v>7</v>
      </c>
      <c r="AY32" s="4">
        <v>1.4</v>
      </c>
      <c r="AZ32" s="18">
        <f t="shared" si="34"/>
        <v>89.59999999999998</v>
      </c>
      <c r="BA32" s="18">
        <f t="shared" si="35"/>
        <v>800</v>
      </c>
      <c r="BB32" s="18">
        <f t="shared" si="25"/>
        <v>12.799999999999997</v>
      </c>
      <c r="BC32">
        <v>3</v>
      </c>
      <c r="BD32" s="6">
        <f t="shared" si="36"/>
        <v>63.999999999999986</v>
      </c>
      <c r="BE32">
        <f t="shared" si="37"/>
        <v>0.93333333333333335</v>
      </c>
      <c r="BF32">
        <v>28</v>
      </c>
      <c r="BG32">
        <f t="shared" si="21"/>
        <v>1.5</v>
      </c>
      <c r="BH32">
        <v>45</v>
      </c>
      <c r="BO32">
        <v>0</v>
      </c>
      <c r="BP32" t="str">
        <f t="shared" si="22"/>
        <v>0</v>
      </c>
    </row>
    <row r="33" spans="1:68" x14ac:dyDescent="0.15">
      <c r="A33">
        <f t="shared" ref="A33:A60" si="39">AR33*1000000+AQ33*1000+C33*10+E33</f>
        <v>3400042</v>
      </c>
      <c r="B33" s="5" t="s">
        <v>160</v>
      </c>
      <c r="C33">
        <v>4</v>
      </c>
      <c r="D33">
        <v>4</v>
      </c>
      <c r="E33">
        <v>2</v>
      </c>
      <c r="F33" s="22" t="s">
        <v>729</v>
      </c>
      <c r="G33" s="22" t="s">
        <v>729</v>
      </c>
      <c r="H33">
        <v>0</v>
      </c>
      <c r="I33" s="2" t="s">
        <v>161</v>
      </c>
      <c r="J33" s="2">
        <f t="shared" ref="J33:J60" si="40">AP33</f>
        <v>6</v>
      </c>
      <c r="K33" s="2">
        <f t="shared" ref="K33:K60" si="41">FLOOR(AN33/1,0.01)</f>
        <v>1.4000000000000001</v>
      </c>
      <c r="L33" s="2">
        <f t="shared" ref="L33:L60" si="42">FLOOR(AO33/1,0.01)</f>
        <v>1.4000000000000001</v>
      </c>
      <c r="M33" s="2">
        <v>10</v>
      </c>
      <c r="N33" s="2">
        <f t="shared" ref="N33:N60" si="43">ROUND(AH33,2)</f>
        <v>125.44</v>
      </c>
      <c r="O33" s="2">
        <f t="shared" ref="O33:O60" si="44">ROUND(AI33,2)</f>
        <v>12.54</v>
      </c>
      <c r="P33" s="2">
        <f t="shared" ref="P33:P60" si="45">ROUND(AJ33,2)</f>
        <v>1120</v>
      </c>
      <c r="Q33" s="2">
        <f t="shared" ref="Q33:Q60" si="46">ROUND(AK33,2)</f>
        <v>112</v>
      </c>
      <c r="R33" s="2">
        <f t="shared" ref="R33:R60" si="47">ROUND(AL33,2)</f>
        <v>17.920000000000002</v>
      </c>
      <c r="S33" s="2">
        <f t="shared" ref="S33:S60" si="48">ROUND(AM33,2)</f>
        <v>1.79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5">
        <v>354001</v>
      </c>
      <c r="Z33" s="12" t="s">
        <v>445</v>
      </c>
      <c r="AA33" s="4">
        <v>1</v>
      </c>
      <c r="AB33" s="4">
        <v>0</v>
      </c>
      <c r="AC33" s="4"/>
      <c r="AD33" s="4">
        <f t="shared" si="31"/>
        <v>3823.8076799999999</v>
      </c>
      <c r="AF33" s="1" t="str">
        <f t="shared" si="38"/>
        <v>0</v>
      </c>
      <c r="AG33">
        <v>4</v>
      </c>
      <c r="AH33">
        <f t="shared" ref="AH33:AH60" si="49">INDEX($AV$5:$AV$50,MATCH($AQ33,$AT$5:$AT$50))*$AN33/1.5*$AZ$4*INDEX($AV$87:$BI$87,MATCH($AG33,$AV$86:$BI$86))</f>
        <v>125.43999999999998</v>
      </c>
      <c r="AI33">
        <f t="shared" ref="AI33:AI60" si="50">(INDEX($AV$5:$AV$50,MATCH($AQ33,$AT$5:$AT$50))*$AN33/1.5*$AZ$4*INDEX($AV$87:$BI$87,MATCH($AG33,$AV$86:$BI$86)))*0.1</f>
        <v>12.543999999999999</v>
      </c>
      <c r="AJ33">
        <f t="shared" ref="AJ33:AJ60" si="51">INDEX($AW$5:$AW$50,MATCH($AQ33,$AT$5:$AT$50))*$BA$4*INDEX($AV$87:$BI$87,MATCH($AG33,$AV$86:$BI$86))</f>
        <v>1120</v>
      </c>
      <c r="AK33">
        <f t="shared" ref="AK33:AK60" si="52">(INDEX($AW$5:$AW$50,MATCH($AQ33,$AT$5:$AT$50))*$BA$4*INDEX($AV$87:$BI$87,MATCH($AG33,$AV$86:$BI$86)))*0.1</f>
        <v>112</v>
      </c>
      <c r="AL33">
        <f t="shared" ref="AL33:AL60" si="53">$AH33/INDEX($AX$5:$AX$50,MATCH($AQ33,$AT$5:$AT$50))</f>
        <v>17.919999999999998</v>
      </c>
      <c r="AM33">
        <f t="shared" ref="AM33:AM60" si="54">AL33*0.1</f>
        <v>1.7919999999999998</v>
      </c>
      <c r="AN33">
        <f t="shared" ref="AN33:AN60" si="55">INDEX($AY$5:$AY$50,MATCH($AQ33,$AT$5:$AT$50,0))</f>
        <v>1.4</v>
      </c>
      <c r="AO33">
        <f t="shared" ref="AO33:AO60" si="56">ROUND(IF(INDEX($BG$5:$BG$50,MATCH($AQ33,$AT$5:$AT$50,0))&lt;2,INDEX($BG$5:$BG$49,MATCH($AQ33,$AT$5:$AT$49,0))+0.2,2),1)</f>
        <v>1.4</v>
      </c>
      <c r="AP33">
        <f t="shared" ref="AP33:AP60" si="57">INDEX($BC$5:$BC$50,MATCH($AQ33,$AT$5:$AT$50,0))</f>
        <v>6</v>
      </c>
      <c r="AQ33">
        <v>400</v>
      </c>
      <c r="AR33">
        <v>3</v>
      </c>
      <c r="AT33">
        <v>403</v>
      </c>
      <c r="AU33" s="4" t="s">
        <v>152</v>
      </c>
      <c r="AV33" s="13">
        <v>1.2</v>
      </c>
      <c r="AW33">
        <f t="shared" si="28"/>
        <v>0.83333333333333337</v>
      </c>
      <c r="AX33" s="17">
        <v>10</v>
      </c>
      <c r="AY33" s="4">
        <v>1.3</v>
      </c>
      <c r="AZ33" s="18">
        <f t="shared" si="34"/>
        <v>83.2</v>
      </c>
      <c r="BA33" s="18">
        <f t="shared" si="35"/>
        <v>800</v>
      </c>
      <c r="BB33" s="18">
        <f t="shared" si="25"/>
        <v>8.32</v>
      </c>
      <c r="BC33">
        <v>6</v>
      </c>
      <c r="BD33" s="6">
        <f t="shared" si="36"/>
        <v>64</v>
      </c>
      <c r="BE33">
        <f t="shared" si="37"/>
        <v>0.83333333333333337</v>
      </c>
      <c r="BF33">
        <v>25</v>
      </c>
      <c r="BG33">
        <f t="shared" si="21"/>
        <v>1.6666666666666667</v>
      </c>
      <c r="BH33">
        <v>50</v>
      </c>
      <c r="BO33">
        <v>0</v>
      </c>
      <c r="BP33" t="str">
        <f t="shared" si="22"/>
        <v>0</v>
      </c>
    </row>
    <row r="34" spans="1:68" x14ac:dyDescent="0.15">
      <c r="A34">
        <f t="shared" si="39"/>
        <v>3202051</v>
      </c>
      <c r="B34" s="5" t="s">
        <v>94</v>
      </c>
      <c r="C34">
        <v>5</v>
      </c>
      <c r="D34">
        <v>2</v>
      </c>
      <c r="E34">
        <v>1</v>
      </c>
      <c r="F34" t="s">
        <v>95</v>
      </c>
      <c r="G34" t="s">
        <v>95</v>
      </c>
      <c r="H34">
        <v>0</v>
      </c>
      <c r="I34" s="2" t="s">
        <v>96</v>
      </c>
      <c r="J34" s="2">
        <f t="shared" si="40"/>
        <v>3</v>
      </c>
      <c r="K34" s="2">
        <f t="shared" si="41"/>
        <v>1.8</v>
      </c>
      <c r="L34" s="2">
        <f t="shared" si="42"/>
        <v>2</v>
      </c>
      <c r="M34" s="2">
        <v>10</v>
      </c>
      <c r="N34" s="2">
        <f t="shared" si="43"/>
        <v>138.24</v>
      </c>
      <c r="O34" s="2">
        <f t="shared" si="44"/>
        <v>13.82</v>
      </c>
      <c r="P34" s="2">
        <f t="shared" si="45"/>
        <v>1706.67</v>
      </c>
      <c r="Q34" s="2">
        <f t="shared" si="46"/>
        <v>170.67</v>
      </c>
      <c r="R34" s="2">
        <f t="shared" si="47"/>
        <v>27.65</v>
      </c>
      <c r="S34" s="2">
        <f t="shared" si="48"/>
        <v>2.76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4">
        <v>312021</v>
      </c>
      <c r="Z34" s="12" t="s">
        <v>431</v>
      </c>
      <c r="AA34" s="4">
        <v>1</v>
      </c>
      <c r="AB34" s="4">
        <v>0</v>
      </c>
      <c r="AC34" s="4"/>
      <c r="AD34" s="4">
        <f t="shared" si="31"/>
        <v>4994.5847141399991</v>
      </c>
      <c r="AF34" s="1" t="str">
        <f t="shared" si="38"/>
        <v>2</v>
      </c>
      <c r="AG34">
        <v>5</v>
      </c>
      <c r="AH34">
        <f t="shared" si="49"/>
        <v>138.24</v>
      </c>
      <c r="AI34">
        <f t="shared" si="50"/>
        <v>13.824000000000002</v>
      </c>
      <c r="AJ34">
        <f t="shared" si="51"/>
        <v>1706.666666666667</v>
      </c>
      <c r="AK34">
        <f t="shared" si="52"/>
        <v>170.66666666666671</v>
      </c>
      <c r="AL34">
        <f t="shared" si="53"/>
        <v>27.648000000000003</v>
      </c>
      <c r="AM34">
        <f t="shared" si="54"/>
        <v>2.7648000000000006</v>
      </c>
      <c r="AN34">
        <f t="shared" si="55"/>
        <v>1.8</v>
      </c>
      <c r="AO34">
        <f t="shared" si="56"/>
        <v>2</v>
      </c>
      <c r="AP34">
        <f t="shared" si="57"/>
        <v>3</v>
      </c>
      <c r="AQ34">
        <v>202</v>
      </c>
      <c r="AR34">
        <v>3</v>
      </c>
      <c r="AT34">
        <v>404</v>
      </c>
      <c r="AU34" s="4" t="s">
        <v>155</v>
      </c>
      <c r="AV34" s="13">
        <v>1.3</v>
      </c>
      <c r="AW34">
        <f t="shared" si="28"/>
        <v>0.76923076923076916</v>
      </c>
      <c r="AX34" s="17">
        <v>10</v>
      </c>
      <c r="AY34" s="4">
        <v>1.6</v>
      </c>
      <c r="AZ34" s="18">
        <f t="shared" si="34"/>
        <v>110.93333333333334</v>
      </c>
      <c r="BA34" s="18">
        <f t="shared" si="35"/>
        <v>738.46153846153834</v>
      </c>
      <c r="BB34" s="18">
        <f t="shared" si="25"/>
        <v>11.093333333333334</v>
      </c>
      <c r="BC34">
        <v>6</v>
      </c>
      <c r="BD34" s="6">
        <f t="shared" si="36"/>
        <v>69.333333333333343</v>
      </c>
      <c r="BE34">
        <f t="shared" si="37"/>
        <v>1.3333333333333333</v>
      </c>
      <c r="BF34">
        <v>40</v>
      </c>
      <c r="BG34">
        <f t="shared" si="21"/>
        <v>1.6666666666666667</v>
      </c>
      <c r="BH34">
        <v>50</v>
      </c>
      <c r="BO34">
        <v>0</v>
      </c>
      <c r="BP34" t="str">
        <f t="shared" si="22"/>
        <v>0</v>
      </c>
    </row>
    <row r="35" spans="1:68" x14ac:dyDescent="0.15">
      <c r="A35">
        <f t="shared" si="39"/>
        <v>3301051</v>
      </c>
      <c r="B35" s="5" t="s">
        <v>98</v>
      </c>
      <c r="C35">
        <v>5</v>
      </c>
      <c r="D35">
        <v>3</v>
      </c>
      <c r="E35">
        <v>1</v>
      </c>
      <c r="F35" t="s">
        <v>99</v>
      </c>
      <c r="G35" t="s">
        <v>99</v>
      </c>
      <c r="H35" s="2">
        <v>0</v>
      </c>
      <c r="I35" s="2" t="s">
        <v>100</v>
      </c>
      <c r="J35" s="2">
        <f t="shared" si="40"/>
        <v>3</v>
      </c>
      <c r="K35" s="2">
        <f t="shared" si="41"/>
        <v>1.2</v>
      </c>
      <c r="L35" s="2">
        <f t="shared" si="42"/>
        <v>2</v>
      </c>
      <c r="M35" s="2">
        <v>10</v>
      </c>
      <c r="N35" s="2">
        <f t="shared" si="43"/>
        <v>92.16</v>
      </c>
      <c r="O35" s="2">
        <f t="shared" si="44"/>
        <v>9.2200000000000006</v>
      </c>
      <c r="P35" s="2">
        <f t="shared" si="45"/>
        <v>1706.67</v>
      </c>
      <c r="Q35" s="2">
        <f t="shared" si="46"/>
        <v>170.67</v>
      </c>
      <c r="R35" s="2">
        <f t="shared" si="47"/>
        <v>18.43</v>
      </c>
      <c r="S35" s="2">
        <f t="shared" si="48"/>
        <v>1.84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4">
        <v>313011</v>
      </c>
      <c r="Z35" s="12" t="s">
        <v>432</v>
      </c>
      <c r="AA35" s="4">
        <v>1</v>
      </c>
      <c r="AB35" s="4">
        <v>0</v>
      </c>
      <c r="AC35" s="4"/>
      <c r="AD35" s="4">
        <f t="shared" si="31"/>
        <v>4997.8701063899998</v>
      </c>
      <c r="AF35" s="1" t="str">
        <f t="shared" si="38"/>
        <v>1</v>
      </c>
      <c r="AG35">
        <v>5</v>
      </c>
      <c r="AH35">
        <f t="shared" si="49"/>
        <v>92.160000000000025</v>
      </c>
      <c r="AI35">
        <f t="shared" si="50"/>
        <v>9.2160000000000029</v>
      </c>
      <c r="AJ35">
        <f t="shared" si="51"/>
        <v>1706.666666666667</v>
      </c>
      <c r="AK35">
        <f t="shared" si="52"/>
        <v>170.66666666666671</v>
      </c>
      <c r="AL35">
        <f t="shared" si="53"/>
        <v>18.432000000000006</v>
      </c>
      <c r="AM35">
        <f t="shared" si="54"/>
        <v>1.8432000000000006</v>
      </c>
      <c r="AN35">
        <f t="shared" si="55"/>
        <v>1.2</v>
      </c>
      <c r="AO35">
        <f t="shared" si="56"/>
        <v>2</v>
      </c>
      <c r="AP35">
        <f t="shared" si="57"/>
        <v>3</v>
      </c>
      <c r="AQ35">
        <v>301</v>
      </c>
      <c r="AR35">
        <v>3</v>
      </c>
      <c r="AT35">
        <v>405</v>
      </c>
      <c r="AU35" s="4" t="s">
        <v>158</v>
      </c>
      <c r="AV35" s="13">
        <v>1.25</v>
      </c>
      <c r="AW35">
        <f t="shared" si="28"/>
        <v>0.8</v>
      </c>
      <c r="AX35" s="17">
        <v>10</v>
      </c>
      <c r="AY35" s="4">
        <v>1.5</v>
      </c>
      <c r="AZ35" s="18">
        <f t="shared" si="34"/>
        <v>100</v>
      </c>
      <c r="BA35" s="18">
        <f t="shared" si="35"/>
        <v>768</v>
      </c>
      <c r="BB35" s="18">
        <f t="shared" si="25"/>
        <v>10</v>
      </c>
      <c r="BC35">
        <v>6</v>
      </c>
      <c r="BD35" s="6">
        <f t="shared" si="36"/>
        <v>66.666666666666657</v>
      </c>
      <c r="BE35">
        <f t="shared" si="37"/>
        <v>1.1000000000000001</v>
      </c>
      <c r="BF35">
        <v>33</v>
      </c>
      <c r="BG35">
        <f t="shared" si="21"/>
        <v>1.3333333333333333</v>
      </c>
      <c r="BH35">
        <v>40</v>
      </c>
      <c r="BO35" t="s">
        <v>159</v>
      </c>
      <c r="BP35" t="str">
        <f t="shared" si="22"/>
        <v>1</v>
      </c>
    </row>
    <row r="36" spans="1:68" x14ac:dyDescent="0.15">
      <c r="A36">
        <f t="shared" si="39"/>
        <v>3502051</v>
      </c>
      <c r="B36" s="5" t="s">
        <v>111</v>
      </c>
      <c r="C36">
        <v>5</v>
      </c>
      <c r="D36">
        <v>5</v>
      </c>
      <c r="E36">
        <v>1</v>
      </c>
      <c r="F36" t="s">
        <v>112</v>
      </c>
      <c r="G36" t="s">
        <v>112</v>
      </c>
      <c r="H36" s="2">
        <v>0</v>
      </c>
      <c r="I36" s="2" t="s">
        <v>113</v>
      </c>
      <c r="J36" s="2">
        <f t="shared" si="40"/>
        <v>6</v>
      </c>
      <c r="K36" s="2">
        <f t="shared" si="41"/>
        <v>1.4000000000000001</v>
      </c>
      <c r="L36" s="2">
        <f t="shared" si="42"/>
        <v>2</v>
      </c>
      <c r="M36" s="2">
        <v>10</v>
      </c>
      <c r="N36" s="2">
        <f t="shared" si="43"/>
        <v>167.25</v>
      </c>
      <c r="O36" s="2">
        <f t="shared" si="44"/>
        <v>16.73</v>
      </c>
      <c r="P36" s="2">
        <f t="shared" si="45"/>
        <v>1097.1400000000001</v>
      </c>
      <c r="Q36" s="2">
        <f t="shared" si="46"/>
        <v>109.71</v>
      </c>
      <c r="R36" s="2">
        <f t="shared" si="47"/>
        <v>20.91</v>
      </c>
      <c r="S36" s="2">
        <f t="shared" si="48"/>
        <v>2.09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4">
        <v>315021</v>
      </c>
      <c r="Z36" s="12" t="s">
        <v>433</v>
      </c>
      <c r="AA36" s="4">
        <v>1</v>
      </c>
      <c r="AB36" s="4">
        <v>0</v>
      </c>
      <c r="AC36" s="4"/>
      <c r="AD36" s="4">
        <f t="shared" si="31"/>
        <v>4996.8887928749991</v>
      </c>
      <c r="AF36" s="1" t="str">
        <f t="shared" si="38"/>
        <v>2</v>
      </c>
      <c r="AG36">
        <v>5</v>
      </c>
      <c r="AH36">
        <f t="shared" si="49"/>
        <v>167.25333333333333</v>
      </c>
      <c r="AI36">
        <f t="shared" si="50"/>
        <v>16.725333333333335</v>
      </c>
      <c r="AJ36">
        <f t="shared" si="51"/>
        <v>1097.1428571428573</v>
      </c>
      <c r="AK36">
        <f t="shared" si="52"/>
        <v>109.71428571428574</v>
      </c>
      <c r="AL36">
        <f t="shared" si="53"/>
        <v>20.906666666666666</v>
      </c>
      <c r="AM36">
        <f t="shared" si="54"/>
        <v>2.0906666666666669</v>
      </c>
      <c r="AN36">
        <f t="shared" si="55"/>
        <v>1.4</v>
      </c>
      <c r="AO36">
        <f t="shared" si="56"/>
        <v>2</v>
      </c>
      <c r="AP36">
        <f t="shared" si="57"/>
        <v>6</v>
      </c>
      <c r="AQ36">
        <v>502</v>
      </c>
      <c r="AR36">
        <v>3</v>
      </c>
      <c r="AT36">
        <v>406</v>
      </c>
      <c r="AU36" s="4" t="s">
        <v>162</v>
      </c>
      <c r="AV36" s="13">
        <v>1.3</v>
      </c>
      <c r="AW36">
        <f t="shared" si="28"/>
        <v>0.76923076923076916</v>
      </c>
      <c r="AX36" s="17">
        <v>10</v>
      </c>
      <c r="AY36" s="4">
        <v>1.4</v>
      </c>
      <c r="AZ36" s="18">
        <f t="shared" si="34"/>
        <v>97.066666666666663</v>
      </c>
      <c r="BA36" s="18">
        <f t="shared" si="35"/>
        <v>738.46153846153834</v>
      </c>
      <c r="BB36" s="18">
        <f t="shared" si="25"/>
        <v>9.706666666666667</v>
      </c>
      <c r="BC36">
        <v>6</v>
      </c>
      <c r="BD36" s="6">
        <f t="shared" si="36"/>
        <v>69.333333333333329</v>
      </c>
      <c r="BE36">
        <f t="shared" si="37"/>
        <v>1</v>
      </c>
      <c r="BF36">
        <v>30</v>
      </c>
      <c r="BG36">
        <f t="shared" si="21"/>
        <v>1</v>
      </c>
      <c r="BH36">
        <v>30</v>
      </c>
      <c r="BO36">
        <v>0</v>
      </c>
      <c r="BP36" t="str">
        <f t="shared" si="22"/>
        <v>0</v>
      </c>
    </row>
    <row r="37" spans="1:68" x14ac:dyDescent="0.15">
      <c r="A37">
        <f t="shared" si="39"/>
        <v>3201052</v>
      </c>
      <c r="B37" s="5" t="s">
        <v>91</v>
      </c>
      <c r="C37">
        <v>5</v>
      </c>
      <c r="D37">
        <v>2</v>
      </c>
      <c r="E37">
        <v>2</v>
      </c>
      <c r="F37" t="s">
        <v>119</v>
      </c>
      <c r="G37" t="s">
        <v>119</v>
      </c>
      <c r="H37">
        <v>0</v>
      </c>
      <c r="I37" s="4" t="s">
        <v>92</v>
      </c>
      <c r="J37" s="2">
        <f t="shared" si="40"/>
        <v>3</v>
      </c>
      <c r="K37" s="2">
        <f t="shared" si="41"/>
        <v>1.8</v>
      </c>
      <c r="L37" s="2">
        <f t="shared" si="42"/>
        <v>1.8</v>
      </c>
      <c r="M37" s="2">
        <v>10</v>
      </c>
      <c r="N37" s="2">
        <f t="shared" si="43"/>
        <v>122.88</v>
      </c>
      <c r="O37" s="2">
        <f t="shared" si="44"/>
        <v>12.29</v>
      </c>
      <c r="P37" s="2">
        <f t="shared" si="45"/>
        <v>1920</v>
      </c>
      <c r="Q37" s="2">
        <f t="shared" si="46"/>
        <v>192</v>
      </c>
      <c r="R37" s="2">
        <f t="shared" si="47"/>
        <v>40.96</v>
      </c>
      <c r="S37" s="2">
        <f t="shared" si="48"/>
        <v>4.0999999999999996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5">
        <v>322011</v>
      </c>
      <c r="Z37" s="12" t="s">
        <v>434</v>
      </c>
      <c r="AA37" s="4">
        <v>1</v>
      </c>
      <c r="AB37" s="4">
        <v>0</v>
      </c>
      <c r="AC37" s="4"/>
      <c r="AD37" s="4">
        <f t="shared" si="31"/>
        <v>4996.5484799999995</v>
      </c>
      <c r="AF37" s="1" t="str">
        <f t="shared" si="38"/>
        <v>1</v>
      </c>
      <c r="AG37">
        <v>5</v>
      </c>
      <c r="AH37">
        <f t="shared" si="49"/>
        <v>122.88000000000002</v>
      </c>
      <c r="AI37">
        <f t="shared" si="50"/>
        <v>12.288000000000004</v>
      </c>
      <c r="AJ37">
        <f t="shared" si="51"/>
        <v>1920</v>
      </c>
      <c r="AK37">
        <f t="shared" si="52"/>
        <v>192</v>
      </c>
      <c r="AL37">
        <f t="shared" si="53"/>
        <v>40.960000000000008</v>
      </c>
      <c r="AM37">
        <f t="shared" si="54"/>
        <v>4.096000000000001</v>
      </c>
      <c r="AN37">
        <f t="shared" si="55"/>
        <v>1.8</v>
      </c>
      <c r="AO37">
        <f t="shared" si="56"/>
        <v>1.8</v>
      </c>
      <c r="AP37">
        <f t="shared" si="57"/>
        <v>3</v>
      </c>
      <c r="AQ37">
        <v>201</v>
      </c>
      <c r="AR37">
        <v>3</v>
      </c>
      <c r="AT37">
        <v>407</v>
      </c>
      <c r="AU37" s="4" t="s">
        <v>163</v>
      </c>
      <c r="AV37" s="13">
        <v>1.25</v>
      </c>
      <c r="AW37">
        <f t="shared" si="28"/>
        <v>0.8</v>
      </c>
      <c r="AX37" s="17">
        <v>6</v>
      </c>
      <c r="AY37" s="4">
        <v>1.4</v>
      </c>
      <c r="AZ37" s="18">
        <f t="shared" ref="AZ37:AZ41" si="58">AV37*$AZ$4*AY37/1.5</f>
        <v>93.333333333333329</v>
      </c>
      <c r="BA37" s="18">
        <f t="shared" ref="BA37:BA41" si="59">AW37*$BA$4</f>
        <v>768</v>
      </c>
      <c r="BB37" s="18">
        <f t="shared" si="25"/>
        <v>15.555555555555555</v>
      </c>
      <c r="BC37">
        <v>6</v>
      </c>
      <c r="BD37" s="6">
        <f t="shared" ref="BD37:BD41" si="60">AZ37*(1/AY37)</f>
        <v>66.666666666666671</v>
      </c>
      <c r="BE37">
        <f t="shared" ref="BE37:BE41" si="61">BF37/30</f>
        <v>0.83333333333333337</v>
      </c>
      <c r="BF37">
        <v>25</v>
      </c>
      <c r="BG37">
        <f t="shared" si="21"/>
        <v>1.2333333333333334</v>
      </c>
      <c r="BH37">
        <v>37</v>
      </c>
      <c r="BO37" t="s">
        <v>136</v>
      </c>
      <c r="BP37" t="str">
        <f t="shared" si="22"/>
        <v>1</v>
      </c>
    </row>
    <row r="38" spans="1:68" x14ac:dyDescent="0.15">
      <c r="A38">
        <f t="shared" si="39"/>
        <v>3500052</v>
      </c>
      <c r="B38" s="5" t="s">
        <v>108</v>
      </c>
      <c r="C38">
        <v>5</v>
      </c>
      <c r="D38">
        <v>5</v>
      </c>
      <c r="E38">
        <v>2</v>
      </c>
      <c r="F38" t="s">
        <v>125</v>
      </c>
      <c r="G38" t="s">
        <v>125</v>
      </c>
      <c r="H38" s="2">
        <v>0</v>
      </c>
      <c r="I38" s="2" t="s">
        <v>109</v>
      </c>
      <c r="J38" s="2">
        <f t="shared" si="40"/>
        <v>6</v>
      </c>
      <c r="K38" s="2">
        <f t="shared" si="41"/>
        <v>1.5</v>
      </c>
      <c r="L38" s="2">
        <f t="shared" si="42"/>
        <v>1.5</v>
      </c>
      <c r="M38" s="2">
        <v>10</v>
      </c>
      <c r="N38" s="2">
        <f t="shared" si="43"/>
        <v>179.2</v>
      </c>
      <c r="O38" s="2">
        <f t="shared" si="44"/>
        <v>17.920000000000002</v>
      </c>
      <c r="P38" s="2">
        <f t="shared" si="45"/>
        <v>1097.1400000000001</v>
      </c>
      <c r="Q38" s="2">
        <f t="shared" si="46"/>
        <v>109.71</v>
      </c>
      <c r="R38" s="2">
        <f t="shared" si="47"/>
        <v>22.4</v>
      </c>
      <c r="S38" s="2">
        <f t="shared" si="48"/>
        <v>2.2400000000000002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5">
        <v>325001</v>
      </c>
      <c r="Z38" s="12" t="s">
        <v>435</v>
      </c>
      <c r="AA38" s="4">
        <v>1</v>
      </c>
      <c r="AB38" s="4">
        <v>0</v>
      </c>
      <c r="AC38" s="4"/>
      <c r="AD38" s="4">
        <f t="shared" si="31"/>
        <v>4995.6306892800003</v>
      </c>
      <c r="AF38" s="1" t="str">
        <f t="shared" si="38"/>
        <v>0</v>
      </c>
      <c r="AG38">
        <v>5</v>
      </c>
      <c r="AH38">
        <f t="shared" si="49"/>
        <v>179.19999999999996</v>
      </c>
      <c r="AI38">
        <f t="shared" si="50"/>
        <v>17.919999999999998</v>
      </c>
      <c r="AJ38">
        <f t="shared" si="51"/>
        <v>1097.1428571428573</v>
      </c>
      <c r="AK38">
        <f t="shared" si="52"/>
        <v>109.71428571428574</v>
      </c>
      <c r="AL38">
        <f t="shared" si="53"/>
        <v>22.399999999999995</v>
      </c>
      <c r="AM38">
        <f t="shared" si="54"/>
        <v>2.2399999999999998</v>
      </c>
      <c r="AN38">
        <f t="shared" si="55"/>
        <v>1.5</v>
      </c>
      <c r="AO38">
        <f t="shared" si="56"/>
        <v>1.5</v>
      </c>
      <c r="AP38">
        <f t="shared" si="57"/>
        <v>6</v>
      </c>
      <c r="AQ38">
        <v>500</v>
      </c>
      <c r="AR38">
        <v>3</v>
      </c>
      <c r="AT38">
        <v>408</v>
      </c>
      <c r="AU38" s="4" t="s">
        <v>164</v>
      </c>
      <c r="AV38" s="13">
        <v>1.2</v>
      </c>
      <c r="AW38">
        <f t="shared" si="28"/>
        <v>0.83333333333333337</v>
      </c>
      <c r="AX38" s="17">
        <v>6</v>
      </c>
      <c r="AY38" s="4">
        <v>1.6</v>
      </c>
      <c r="AZ38" s="18">
        <f t="shared" si="58"/>
        <v>102.40000000000002</v>
      </c>
      <c r="BA38" s="18">
        <f t="shared" si="59"/>
        <v>800</v>
      </c>
      <c r="BB38" s="18">
        <f t="shared" si="25"/>
        <v>17.06666666666667</v>
      </c>
      <c r="BC38">
        <v>6</v>
      </c>
      <c r="BD38" s="6">
        <f t="shared" si="60"/>
        <v>64.000000000000014</v>
      </c>
      <c r="BE38">
        <f t="shared" si="61"/>
        <v>1</v>
      </c>
      <c r="BF38">
        <v>30</v>
      </c>
      <c r="BG38">
        <f t="shared" si="21"/>
        <v>2</v>
      </c>
      <c r="BH38">
        <v>60</v>
      </c>
      <c r="BO38" t="s">
        <v>165</v>
      </c>
      <c r="BP38" t="str">
        <f t="shared" si="22"/>
        <v>2</v>
      </c>
    </row>
    <row r="39" spans="1:68" x14ac:dyDescent="0.15">
      <c r="A39">
        <f t="shared" si="39"/>
        <v>3601052</v>
      </c>
      <c r="B39" s="5" t="s">
        <v>115</v>
      </c>
      <c r="C39">
        <v>5</v>
      </c>
      <c r="D39">
        <v>6</v>
      </c>
      <c r="E39">
        <v>2</v>
      </c>
      <c r="F39" t="s">
        <v>128</v>
      </c>
      <c r="G39" t="s">
        <v>128</v>
      </c>
      <c r="H39" s="2">
        <v>0</v>
      </c>
      <c r="I39" s="2" t="s">
        <v>116</v>
      </c>
      <c r="J39" s="2">
        <f t="shared" si="40"/>
        <v>6</v>
      </c>
      <c r="K39" s="2">
        <f t="shared" si="41"/>
        <v>1.5</v>
      </c>
      <c r="L39" s="2">
        <f t="shared" si="42"/>
        <v>2</v>
      </c>
      <c r="M39" s="2">
        <v>10</v>
      </c>
      <c r="N39" s="2">
        <f t="shared" si="43"/>
        <v>198.4</v>
      </c>
      <c r="O39" s="2">
        <f t="shared" si="44"/>
        <v>19.84</v>
      </c>
      <c r="P39" s="2">
        <f t="shared" si="45"/>
        <v>990.97</v>
      </c>
      <c r="Q39" s="2">
        <f t="shared" si="46"/>
        <v>99.1</v>
      </c>
      <c r="R39" s="2">
        <f t="shared" si="47"/>
        <v>19.84</v>
      </c>
      <c r="S39" s="2">
        <f t="shared" si="48"/>
        <v>1.98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5">
        <v>326011</v>
      </c>
      <c r="Z39" s="12" t="s">
        <v>436</v>
      </c>
      <c r="AA39" s="4">
        <v>1</v>
      </c>
      <c r="AB39" s="4">
        <v>0</v>
      </c>
      <c r="AC39" s="4"/>
      <c r="AD39" s="4">
        <f t="shared" si="31"/>
        <v>4995.9581548799997</v>
      </c>
      <c r="AF39" s="1" t="str">
        <f t="shared" si="38"/>
        <v>1</v>
      </c>
      <c r="AG39">
        <v>5</v>
      </c>
      <c r="AH39">
        <f t="shared" si="49"/>
        <v>198.4</v>
      </c>
      <c r="AI39">
        <f t="shared" si="50"/>
        <v>19.840000000000003</v>
      </c>
      <c r="AJ39">
        <f t="shared" si="51"/>
        <v>990.9677419354839</v>
      </c>
      <c r="AK39">
        <f t="shared" si="52"/>
        <v>99.096774193548399</v>
      </c>
      <c r="AL39">
        <f t="shared" si="53"/>
        <v>19.84</v>
      </c>
      <c r="AM39">
        <f t="shared" si="54"/>
        <v>1.984</v>
      </c>
      <c r="AN39">
        <f t="shared" si="55"/>
        <v>1.5</v>
      </c>
      <c r="AO39">
        <f t="shared" si="56"/>
        <v>2</v>
      </c>
      <c r="AP39">
        <f t="shared" si="57"/>
        <v>6</v>
      </c>
      <c r="AQ39">
        <v>601</v>
      </c>
      <c r="AR39">
        <v>3</v>
      </c>
      <c r="AT39">
        <v>409</v>
      </c>
      <c r="AU39" s="4" t="s">
        <v>166</v>
      </c>
      <c r="AV39" s="13">
        <v>1.4</v>
      </c>
      <c r="AW39">
        <f t="shared" si="28"/>
        <v>0.7142857142857143</v>
      </c>
      <c r="AX39" s="17">
        <v>8</v>
      </c>
      <c r="AY39" s="4">
        <v>1.5</v>
      </c>
      <c r="AZ39" s="18">
        <f t="shared" si="58"/>
        <v>112</v>
      </c>
      <c r="BA39" s="18">
        <f t="shared" si="59"/>
        <v>685.71428571428578</v>
      </c>
      <c r="BB39" s="18">
        <f t="shared" si="25"/>
        <v>14</v>
      </c>
      <c r="BC39">
        <v>6</v>
      </c>
      <c r="BD39" s="6">
        <f t="shared" si="60"/>
        <v>74.666666666666657</v>
      </c>
      <c r="BE39">
        <f t="shared" si="61"/>
        <v>1.2666666666666666</v>
      </c>
      <c r="BF39">
        <v>38</v>
      </c>
      <c r="BG39">
        <f t="shared" si="21"/>
        <v>1.3333333333333333</v>
      </c>
      <c r="BH39">
        <v>40</v>
      </c>
      <c r="BO39" t="s">
        <v>167</v>
      </c>
      <c r="BP39" t="str">
        <f t="shared" si="22"/>
        <v>1</v>
      </c>
    </row>
    <row r="40" spans="1:68" x14ac:dyDescent="0.15">
      <c r="A40">
        <f t="shared" si="39"/>
        <v>3200053</v>
      </c>
      <c r="B40" s="5" t="s">
        <v>77</v>
      </c>
      <c r="C40">
        <v>5</v>
      </c>
      <c r="D40">
        <v>2</v>
      </c>
      <c r="E40">
        <v>3</v>
      </c>
      <c r="F40" t="s">
        <v>130</v>
      </c>
      <c r="G40" t="s">
        <v>130</v>
      </c>
      <c r="H40">
        <v>0</v>
      </c>
      <c r="I40" s="2" t="s">
        <v>78</v>
      </c>
      <c r="J40" s="2">
        <f t="shared" si="40"/>
        <v>3</v>
      </c>
      <c r="K40" s="2">
        <f t="shared" si="41"/>
        <v>1.5</v>
      </c>
      <c r="L40" s="2">
        <f t="shared" si="42"/>
        <v>1.2</v>
      </c>
      <c r="M40" s="2">
        <v>10</v>
      </c>
      <c r="N40" s="2">
        <f t="shared" si="43"/>
        <v>128</v>
      </c>
      <c r="O40" s="2">
        <f t="shared" si="44"/>
        <v>12.8</v>
      </c>
      <c r="P40" s="2">
        <f t="shared" si="45"/>
        <v>1536</v>
      </c>
      <c r="Q40" s="2">
        <f t="shared" si="46"/>
        <v>153.6</v>
      </c>
      <c r="R40" s="2">
        <f t="shared" si="47"/>
        <v>32</v>
      </c>
      <c r="S40" s="2">
        <f t="shared" si="48"/>
        <v>3.2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5">
        <v>332001</v>
      </c>
      <c r="Z40" s="12" t="s">
        <v>437</v>
      </c>
      <c r="AA40" s="4">
        <v>1</v>
      </c>
      <c r="AB40" s="4">
        <v>0</v>
      </c>
      <c r="AC40" s="4"/>
      <c r="AD40" s="4">
        <f t="shared" si="31"/>
        <v>4995.8092800000004</v>
      </c>
      <c r="AF40" s="1" t="str">
        <f t="shared" si="38"/>
        <v>0</v>
      </c>
      <c r="AG40">
        <v>5</v>
      </c>
      <c r="AH40">
        <f t="shared" si="49"/>
        <v>128</v>
      </c>
      <c r="AI40">
        <f t="shared" si="50"/>
        <v>12.8</v>
      </c>
      <c r="AJ40">
        <f t="shared" si="51"/>
        <v>1536</v>
      </c>
      <c r="AK40">
        <f t="shared" si="52"/>
        <v>153.60000000000002</v>
      </c>
      <c r="AL40">
        <f t="shared" si="53"/>
        <v>32</v>
      </c>
      <c r="AM40">
        <f t="shared" si="54"/>
        <v>3.2</v>
      </c>
      <c r="AN40">
        <f t="shared" si="55"/>
        <v>1.5</v>
      </c>
      <c r="AO40">
        <f t="shared" si="56"/>
        <v>1.2</v>
      </c>
      <c r="AP40">
        <f t="shared" si="57"/>
        <v>3</v>
      </c>
      <c r="AQ40">
        <v>200</v>
      </c>
      <c r="AR40">
        <v>3</v>
      </c>
      <c r="AT40">
        <v>503</v>
      </c>
      <c r="AU40" s="4" t="s">
        <v>168</v>
      </c>
      <c r="AV40" s="13">
        <v>1.2</v>
      </c>
      <c r="AW40">
        <f t="shared" si="28"/>
        <v>0.83333333333333337</v>
      </c>
      <c r="AX40" s="17">
        <v>6</v>
      </c>
      <c r="AY40" s="4">
        <v>1.6</v>
      </c>
      <c r="AZ40" s="18">
        <f t="shared" si="58"/>
        <v>102.40000000000002</v>
      </c>
      <c r="BA40" s="18">
        <f t="shared" si="59"/>
        <v>800</v>
      </c>
      <c r="BB40" s="18">
        <f t="shared" si="25"/>
        <v>17.06666666666667</v>
      </c>
      <c r="BC40">
        <v>3</v>
      </c>
      <c r="BD40" s="6">
        <f t="shared" si="60"/>
        <v>64.000000000000014</v>
      </c>
      <c r="BE40">
        <f t="shared" si="61"/>
        <v>1.3333333333333333</v>
      </c>
      <c r="BF40">
        <v>40</v>
      </c>
      <c r="BG40">
        <f t="shared" si="21"/>
        <v>1.3333333333333333</v>
      </c>
      <c r="BH40">
        <v>40</v>
      </c>
      <c r="BO40" t="s">
        <v>169</v>
      </c>
      <c r="BP40" t="str">
        <f t="shared" si="22"/>
        <v>0</v>
      </c>
    </row>
    <row r="41" spans="1:68" x14ac:dyDescent="0.15">
      <c r="A41">
        <f t="shared" si="39"/>
        <v>3401051</v>
      </c>
      <c r="B41" s="5" t="s">
        <v>102</v>
      </c>
      <c r="C41">
        <v>5</v>
      </c>
      <c r="D41">
        <v>4</v>
      </c>
      <c r="E41">
        <v>1</v>
      </c>
      <c r="F41" s="22" t="s">
        <v>723</v>
      </c>
      <c r="G41" s="22" t="s">
        <v>723</v>
      </c>
      <c r="H41">
        <v>0</v>
      </c>
      <c r="I41" s="2" t="s">
        <v>103</v>
      </c>
      <c r="J41" s="2">
        <f t="shared" si="40"/>
        <v>6</v>
      </c>
      <c r="K41" s="2">
        <f t="shared" si="41"/>
        <v>1.6</v>
      </c>
      <c r="L41" s="2">
        <f t="shared" si="42"/>
        <v>2</v>
      </c>
      <c r="M41" s="2">
        <v>10</v>
      </c>
      <c r="N41" s="2">
        <f t="shared" si="43"/>
        <v>163.84</v>
      </c>
      <c r="O41" s="2">
        <f t="shared" si="44"/>
        <v>16.38</v>
      </c>
      <c r="P41" s="2">
        <f t="shared" si="45"/>
        <v>1280</v>
      </c>
      <c r="Q41" s="2">
        <f t="shared" si="46"/>
        <v>128</v>
      </c>
      <c r="R41" s="2">
        <f t="shared" si="47"/>
        <v>23.41</v>
      </c>
      <c r="S41" s="2">
        <f t="shared" si="48"/>
        <v>2.34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5">
        <v>334011</v>
      </c>
      <c r="Z41" s="12" t="s">
        <v>438</v>
      </c>
      <c r="AA41" s="4">
        <v>1</v>
      </c>
      <c r="AB41" s="4">
        <v>0</v>
      </c>
      <c r="AC41" s="4"/>
      <c r="AD41" s="4">
        <f t="shared" si="31"/>
        <v>4994.7004799999995</v>
      </c>
      <c r="AF41" s="1" t="str">
        <f t="shared" si="38"/>
        <v>1</v>
      </c>
      <c r="AG41">
        <v>5</v>
      </c>
      <c r="AH41">
        <f t="shared" si="49"/>
        <v>163.84000000000003</v>
      </c>
      <c r="AI41">
        <f t="shared" si="50"/>
        <v>16.384000000000004</v>
      </c>
      <c r="AJ41">
        <f t="shared" si="51"/>
        <v>1280</v>
      </c>
      <c r="AK41">
        <f t="shared" si="52"/>
        <v>128</v>
      </c>
      <c r="AL41">
        <f t="shared" si="53"/>
        <v>23.405714285714289</v>
      </c>
      <c r="AM41">
        <f t="shared" si="54"/>
        <v>2.3405714285714292</v>
      </c>
      <c r="AN41">
        <f t="shared" si="55"/>
        <v>1.6</v>
      </c>
      <c r="AO41">
        <f t="shared" si="56"/>
        <v>2</v>
      </c>
      <c r="AP41">
        <f t="shared" si="57"/>
        <v>6</v>
      </c>
      <c r="AQ41">
        <v>401</v>
      </c>
      <c r="AR41">
        <v>3</v>
      </c>
      <c r="AT41">
        <v>504</v>
      </c>
      <c r="AU41" s="4" t="s">
        <v>170</v>
      </c>
      <c r="AV41" s="13">
        <v>1.1000000000000001</v>
      </c>
      <c r="AW41">
        <f t="shared" si="28"/>
        <v>0.90909090909090906</v>
      </c>
      <c r="AX41" s="17">
        <v>6</v>
      </c>
      <c r="AY41" s="4">
        <v>1.8</v>
      </c>
      <c r="AZ41" s="18">
        <f t="shared" si="58"/>
        <v>105.60000000000001</v>
      </c>
      <c r="BA41" s="18">
        <f t="shared" si="59"/>
        <v>872.72727272727275</v>
      </c>
      <c r="BB41" s="18">
        <f t="shared" si="25"/>
        <v>17.600000000000001</v>
      </c>
      <c r="BC41">
        <v>3</v>
      </c>
      <c r="BD41" s="6">
        <f t="shared" si="60"/>
        <v>58.666666666666671</v>
      </c>
      <c r="BE41">
        <f t="shared" si="61"/>
        <v>1.5</v>
      </c>
      <c r="BF41">
        <v>45</v>
      </c>
      <c r="BG41">
        <f t="shared" si="21"/>
        <v>1.3</v>
      </c>
      <c r="BH41">
        <v>39</v>
      </c>
      <c r="BO41" t="s">
        <v>171</v>
      </c>
      <c r="BP41" t="str">
        <f t="shared" si="22"/>
        <v>1</v>
      </c>
    </row>
    <row r="42" spans="1:68" x14ac:dyDescent="0.15">
      <c r="A42">
        <f t="shared" si="39"/>
        <v>3402053</v>
      </c>
      <c r="B42" s="5" t="s">
        <v>105</v>
      </c>
      <c r="C42">
        <v>5</v>
      </c>
      <c r="D42">
        <v>4</v>
      </c>
      <c r="E42">
        <v>3</v>
      </c>
      <c r="F42" t="s">
        <v>137</v>
      </c>
      <c r="G42" t="s">
        <v>137</v>
      </c>
      <c r="H42" s="2">
        <v>0</v>
      </c>
      <c r="I42" s="2" t="s">
        <v>106</v>
      </c>
      <c r="J42" s="2">
        <f t="shared" si="40"/>
        <v>6</v>
      </c>
      <c r="K42" s="2">
        <f t="shared" si="41"/>
        <v>1.5</v>
      </c>
      <c r="L42" s="2">
        <f t="shared" si="42"/>
        <v>1.5</v>
      </c>
      <c r="M42" s="2">
        <v>10</v>
      </c>
      <c r="N42" s="2">
        <f t="shared" si="43"/>
        <v>153.6</v>
      </c>
      <c r="O42" s="2">
        <f t="shared" si="44"/>
        <v>15.36</v>
      </c>
      <c r="P42" s="2">
        <f t="shared" si="45"/>
        <v>1280</v>
      </c>
      <c r="Q42" s="2">
        <f t="shared" si="46"/>
        <v>128</v>
      </c>
      <c r="R42" s="2">
        <f t="shared" si="47"/>
        <v>21.94</v>
      </c>
      <c r="S42" s="2">
        <f t="shared" si="48"/>
        <v>2.19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5">
        <v>334021</v>
      </c>
      <c r="Z42" s="12" t="s">
        <v>439</v>
      </c>
      <c r="AA42" s="4">
        <v>1</v>
      </c>
      <c r="AB42" s="4">
        <v>0</v>
      </c>
      <c r="AC42" s="4"/>
      <c r="AD42" s="4">
        <f t="shared" si="31"/>
        <v>4995.8092800000004</v>
      </c>
      <c r="AF42" s="1" t="str">
        <f t="shared" si="38"/>
        <v>2</v>
      </c>
      <c r="AG42">
        <v>5</v>
      </c>
      <c r="AH42">
        <f t="shared" si="49"/>
        <v>153.60000000000002</v>
      </c>
      <c r="AI42">
        <f t="shared" si="50"/>
        <v>15.360000000000003</v>
      </c>
      <c r="AJ42">
        <f t="shared" si="51"/>
        <v>1280</v>
      </c>
      <c r="AK42">
        <f t="shared" si="52"/>
        <v>128</v>
      </c>
      <c r="AL42">
        <f t="shared" si="53"/>
        <v>21.942857142857147</v>
      </c>
      <c r="AM42">
        <f t="shared" si="54"/>
        <v>2.1942857142857148</v>
      </c>
      <c r="AN42">
        <f t="shared" si="55"/>
        <v>1.5</v>
      </c>
      <c r="AO42">
        <f t="shared" si="56"/>
        <v>1.5</v>
      </c>
      <c r="AP42">
        <f t="shared" si="57"/>
        <v>6</v>
      </c>
      <c r="AQ42">
        <v>402</v>
      </c>
      <c r="AR42">
        <v>3</v>
      </c>
      <c r="AT42">
        <v>505</v>
      </c>
      <c r="AU42" s="4" t="s">
        <v>172</v>
      </c>
      <c r="AV42" s="13">
        <v>1.5</v>
      </c>
      <c r="AW42">
        <f t="shared" si="28"/>
        <v>0.66666666666666663</v>
      </c>
      <c r="AX42" s="17">
        <v>8</v>
      </c>
      <c r="AY42" s="4">
        <v>1.5</v>
      </c>
      <c r="AZ42" s="18">
        <f t="shared" ref="AZ42" si="62">AV42*$AZ$4*AY42/1.5</f>
        <v>120</v>
      </c>
      <c r="BA42" s="18">
        <f t="shared" ref="BA42" si="63">AW42*$BA$4</f>
        <v>640</v>
      </c>
      <c r="BB42" s="18">
        <f t="shared" si="25"/>
        <v>15</v>
      </c>
      <c r="BC42">
        <v>6</v>
      </c>
      <c r="BD42" s="6">
        <f t="shared" ref="BD42:BD50" si="64">AZ42*(1/AY42)</f>
        <v>80</v>
      </c>
      <c r="BE42">
        <f t="shared" ref="BE42:BE50" si="65">BF42/30</f>
        <v>1</v>
      </c>
      <c r="BF42">
        <v>30</v>
      </c>
      <c r="BG42">
        <f t="shared" si="21"/>
        <v>1.3333333333333333</v>
      </c>
      <c r="BH42">
        <v>40</v>
      </c>
      <c r="BO42" t="s">
        <v>173</v>
      </c>
      <c r="BP42" t="str">
        <f t="shared" si="22"/>
        <v>0</v>
      </c>
    </row>
    <row r="43" spans="1:68" x14ac:dyDescent="0.15">
      <c r="A43">
        <f t="shared" si="39"/>
        <v>3501053</v>
      </c>
      <c r="B43" s="5" t="s">
        <v>143</v>
      </c>
      <c r="C43">
        <v>5</v>
      </c>
      <c r="D43">
        <v>5</v>
      </c>
      <c r="E43">
        <v>3</v>
      </c>
      <c r="F43" s="22" t="s">
        <v>724</v>
      </c>
      <c r="G43" s="22" t="s">
        <v>724</v>
      </c>
      <c r="H43">
        <v>0</v>
      </c>
      <c r="I43" s="2" t="s">
        <v>144</v>
      </c>
      <c r="J43" s="2">
        <f t="shared" si="40"/>
        <v>6</v>
      </c>
      <c r="K43" s="2">
        <f t="shared" si="41"/>
        <v>1.6</v>
      </c>
      <c r="L43" s="2">
        <f t="shared" si="42"/>
        <v>2</v>
      </c>
      <c r="M43" s="2">
        <v>10</v>
      </c>
      <c r="N43" s="2">
        <f t="shared" si="43"/>
        <v>191.15</v>
      </c>
      <c r="O43" s="2">
        <f t="shared" si="44"/>
        <v>19.11</v>
      </c>
      <c r="P43" s="2">
        <f t="shared" si="45"/>
        <v>1097.1400000000001</v>
      </c>
      <c r="Q43" s="2">
        <f t="shared" si="46"/>
        <v>109.71</v>
      </c>
      <c r="R43" s="2">
        <f t="shared" si="47"/>
        <v>23.89</v>
      </c>
      <c r="S43" s="2">
        <f t="shared" si="48"/>
        <v>2.39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5">
        <v>345011</v>
      </c>
      <c r="Z43" s="12" t="s">
        <v>440</v>
      </c>
      <c r="AA43" s="4">
        <v>1</v>
      </c>
      <c r="AB43" s="4">
        <v>0</v>
      </c>
      <c r="AC43" s="4"/>
      <c r="AD43" s="4">
        <f t="shared" si="31"/>
        <v>4994.5298486343736</v>
      </c>
      <c r="AF43" s="1" t="str">
        <f t="shared" si="38"/>
        <v>1</v>
      </c>
      <c r="AG43">
        <v>5</v>
      </c>
      <c r="AH43">
        <f t="shared" si="49"/>
        <v>191.14666666666665</v>
      </c>
      <c r="AI43">
        <f t="shared" si="50"/>
        <v>19.114666666666665</v>
      </c>
      <c r="AJ43">
        <f t="shared" si="51"/>
        <v>1097.1428571428573</v>
      </c>
      <c r="AK43">
        <f t="shared" si="52"/>
        <v>109.71428571428574</v>
      </c>
      <c r="AL43">
        <f t="shared" si="53"/>
        <v>23.893333333333331</v>
      </c>
      <c r="AM43">
        <f t="shared" si="54"/>
        <v>2.3893333333333331</v>
      </c>
      <c r="AN43">
        <f t="shared" si="55"/>
        <v>1.6</v>
      </c>
      <c r="AO43">
        <f t="shared" si="56"/>
        <v>2</v>
      </c>
      <c r="AP43">
        <f t="shared" si="57"/>
        <v>6</v>
      </c>
      <c r="AQ43">
        <v>501</v>
      </c>
      <c r="AR43">
        <v>3</v>
      </c>
      <c r="AT43">
        <v>506</v>
      </c>
      <c r="AU43" s="4" t="s">
        <v>174</v>
      </c>
      <c r="AV43" s="13">
        <v>1.45</v>
      </c>
      <c r="AW43">
        <f t="shared" si="28"/>
        <v>0.68965517241379315</v>
      </c>
      <c r="AX43" s="17">
        <v>9</v>
      </c>
      <c r="AY43" s="4">
        <v>1.6</v>
      </c>
      <c r="AZ43" s="18">
        <f t="shared" ref="AZ43:AZ50" si="66">AV43*$AZ$4*AY43/1.5</f>
        <v>123.73333333333335</v>
      </c>
      <c r="BA43" s="18">
        <f t="shared" ref="BA43:BA50" si="67">AW43*$BA$4</f>
        <v>662.06896551724139</v>
      </c>
      <c r="BB43" s="18">
        <f t="shared" si="25"/>
        <v>13.74814814814815</v>
      </c>
      <c r="BC43">
        <v>6</v>
      </c>
      <c r="BD43" s="6">
        <f t="shared" si="64"/>
        <v>77.333333333333343</v>
      </c>
      <c r="BE43">
        <f t="shared" si="65"/>
        <v>1.3333333333333333</v>
      </c>
      <c r="BF43">
        <v>40</v>
      </c>
      <c r="BG43">
        <f t="shared" si="21"/>
        <v>2.5</v>
      </c>
      <c r="BH43">
        <v>75</v>
      </c>
      <c r="BO43" t="s">
        <v>141</v>
      </c>
      <c r="BP43" t="str">
        <f t="shared" si="22"/>
        <v>1</v>
      </c>
    </row>
    <row r="44" spans="1:68" x14ac:dyDescent="0.15">
      <c r="A44">
        <f t="shared" si="39"/>
        <v>3600053</v>
      </c>
      <c r="B44" s="5" t="s">
        <v>146</v>
      </c>
      <c r="C44">
        <v>5</v>
      </c>
      <c r="D44">
        <v>6</v>
      </c>
      <c r="E44">
        <v>3</v>
      </c>
      <c r="F44" s="22" t="s">
        <v>725</v>
      </c>
      <c r="G44" s="22" t="s">
        <v>725</v>
      </c>
      <c r="H44" s="2">
        <v>0</v>
      </c>
      <c r="I44" s="2" t="s">
        <v>147</v>
      </c>
      <c r="J44" s="2">
        <f t="shared" si="40"/>
        <v>3</v>
      </c>
      <c r="K44" s="2">
        <f t="shared" si="41"/>
        <v>1.4000000000000001</v>
      </c>
      <c r="L44" s="2">
        <f t="shared" si="42"/>
        <v>1.9000000000000001</v>
      </c>
      <c r="M44" s="2">
        <v>10</v>
      </c>
      <c r="N44" s="2">
        <f t="shared" si="43"/>
        <v>185.17</v>
      </c>
      <c r="O44" s="2">
        <f t="shared" si="44"/>
        <v>18.52</v>
      </c>
      <c r="P44" s="2">
        <f t="shared" si="45"/>
        <v>990.97</v>
      </c>
      <c r="Q44" s="2">
        <f t="shared" si="46"/>
        <v>99.1</v>
      </c>
      <c r="R44" s="2">
        <f t="shared" si="47"/>
        <v>18.52</v>
      </c>
      <c r="S44" s="2">
        <f t="shared" si="48"/>
        <v>1.85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5">
        <v>346001</v>
      </c>
      <c r="Z44" s="12" t="s">
        <v>441</v>
      </c>
      <c r="AA44" s="4">
        <v>1</v>
      </c>
      <c r="AB44" s="4">
        <v>0</v>
      </c>
      <c r="AC44" s="4"/>
      <c r="AD44" s="4">
        <f t="shared" si="31"/>
        <v>4996.6040373524993</v>
      </c>
      <c r="AF44" s="1" t="str">
        <f t="shared" si="38"/>
        <v>0</v>
      </c>
      <c r="AG44">
        <v>5</v>
      </c>
      <c r="AH44">
        <f t="shared" si="49"/>
        <v>185.17333333333332</v>
      </c>
      <c r="AI44">
        <f t="shared" si="50"/>
        <v>18.517333333333333</v>
      </c>
      <c r="AJ44">
        <f t="shared" si="51"/>
        <v>990.9677419354839</v>
      </c>
      <c r="AK44">
        <f t="shared" si="52"/>
        <v>99.096774193548399</v>
      </c>
      <c r="AL44">
        <f t="shared" si="53"/>
        <v>18.517333333333333</v>
      </c>
      <c r="AM44">
        <f t="shared" si="54"/>
        <v>1.8517333333333335</v>
      </c>
      <c r="AN44">
        <f t="shared" si="55"/>
        <v>1.4</v>
      </c>
      <c r="AO44">
        <f t="shared" si="56"/>
        <v>1.9</v>
      </c>
      <c r="AP44">
        <f t="shared" si="57"/>
        <v>3</v>
      </c>
      <c r="AQ44">
        <v>600</v>
      </c>
      <c r="AR44">
        <v>3</v>
      </c>
      <c r="AT44">
        <v>507</v>
      </c>
      <c r="AU44" s="4" t="s">
        <v>175</v>
      </c>
      <c r="AV44" s="13">
        <v>1.55</v>
      </c>
      <c r="AW44">
        <f t="shared" si="28"/>
        <v>0.64516129032258063</v>
      </c>
      <c r="AX44" s="17">
        <v>10</v>
      </c>
      <c r="AY44" s="4">
        <v>1.4</v>
      </c>
      <c r="AZ44" s="18">
        <f t="shared" si="66"/>
        <v>115.73333333333333</v>
      </c>
      <c r="BA44" s="18">
        <f t="shared" si="67"/>
        <v>619.35483870967744</v>
      </c>
      <c r="BB44" s="18">
        <f t="shared" si="25"/>
        <v>11.573333333333334</v>
      </c>
      <c r="BC44">
        <v>6</v>
      </c>
      <c r="BD44" s="6">
        <f t="shared" si="64"/>
        <v>82.666666666666671</v>
      </c>
      <c r="BE44">
        <f t="shared" si="65"/>
        <v>1</v>
      </c>
      <c r="BF44">
        <v>30</v>
      </c>
      <c r="BG44">
        <f t="shared" si="21"/>
        <v>2</v>
      </c>
      <c r="BH44">
        <v>60</v>
      </c>
      <c r="BO44" t="s">
        <v>176</v>
      </c>
      <c r="BP44" t="str">
        <f t="shared" ref="BP44" si="68">RIGHT(BO44,1)</f>
        <v>2</v>
      </c>
    </row>
    <row r="45" spans="1:68" x14ac:dyDescent="0.15">
      <c r="A45">
        <f t="shared" si="39"/>
        <v>3602051</v>
      </c>
      <c r="B45" s="5" t="s">
        <v>149</v>
      </c>
      <c r="C45">
        <v>5</v>
      </c>
      <c r="D45">
        <v>6</v>
      </c>
      <c r="E45">
        <v>1</v>
      </c>
      <c r="F45" s="22" t="s">
        <v>726</v>
      </c>
      <c r="G45" s="22" t="s">
        <v>726</v>
      </c>
      <c r="H45" t="s">
        <v>150</v>
      </c>
      <c r="I45" s="2" t="s">
        <v>151</v>
      </c>
      <c r="J45" s="2">
        <f t="shared" si="40"/>
        <v>6</v>
      </c>
      <c r="K45" s="2">
        <f t="shared" si="41"/>
        <v>1.8</v>
      </c>
      <c r="L45" s="2">
        <f t="shared" si="42"/>
        <v>2</v>
      </c>
      <c r="M45" s="2">
        <v>10</v>
      </c>
      <c r="N45" s="2">
        <f t="shared" si="43"/>
        <v>238.08</v>
      </c>
      <c r="O45" s="2">
        <f t="shared" si="44"/>
        <v>23.81</v>
      </c>
      <c r="P45" s="2">
        <f t="shared" si="45"/>
        <v>990.97</v>
      </c>
      <c r="Q45" s="2">
        <f t="shared" si="46"/>
        <v>99.1</v>
      </c>
      <c r="R45" s="2">
        <f t="shared" si="47"/>
        <v>23.81</v>
      </c>
      <c r="S45" s="2">
        <f t="shared" si="48"/>
        <v>2.38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5">
        <v>346021</v>
      </c>
      <c r="Z45" s="12" t="s">
        <v>442</v>
      </c>
      <c r="AA45" s="4">
        <v>1</v>
      </c>
      <c r="AB45" s="4">
        <v>0</v>
      </c>
      <c r="AC45" s="4"/>
      <c r="AD45" s="4">
        <f t="shared" si="31"/>
        <v>4996.3396888299994</v>
      </c>
      <c r="AF45" s="1" t="str">
        <f t="shared" si="38"/>
        <v>2</v>
      </c>
      <c r="AG45">
        <v>5</v>
      </c>
      <c r="AH45">
        <f t="shared" si="49"/>
        <v>238.08000000000004</v>
      </c>
      <c r="AI45">
        <f t="shared" si="50"/>
        <v>23.808000000000007</v>
      </c>
      <c r="AJ45">
        <f t="shared" si="51"/>
        <v>990.9677419354839</v>
      </c>
      <c r="AK45">
        <f t="shared" si="52"/>
        <v>99.096774193548399</v>
      </c>
      <c r="AL45">
        <f t="shared" si="53"/>
        <v>23.808000000000003</v>
      </c>
      <c r="AM45">
        <f t="shared" si="54"/>
        <v>2.3808000000000002</v>
      </c>
      <c r="AN45">
        <f t="shared" si="55"/>
        <v>1.8</v>
      </c>
      <c r="AO45">
        <f t="shared" si="56"/>
        <v>2</v>
      </c>
      <c r="AP45">
        <f t="shared" si="57"/>
        <v>6</v>
      </c>
      <c r="AQ45">
        <v>602</v>
      </c>
      <c r="AR45">
        <v>3</v>
      </c>
      <c r="AT45">
        <v>603</v>
      </c>
      <c r="AU45" s="4" t="s">
        <v>177</v>
      </c>
      <c r="AV45" s="13">
        <v>1.1000000000000001</v>
      </c>
      <c r="AW45">
        <f t="shared" si="28"/>
        <v>0.90909090909090906</v>
      </c>
      <c r="AX45" s="17">
        <v>4</v>
      </c>
      <c r="AY45" s="4">
        <v>1.4</v>
      </c>
      <c r="AZ45" s="18">
        <f t="shared" si="66"/>
        <v>82.133333333333326</v>
      </c>
      <c r="BA45" s="18">
        <f t="shared" si="67"/>
        <v>872.72727272727275</v>
      </c>
      <c r="BB45" s="18">
        <f t="shared" si="25"/>
        <v>20.533333333333331</v>
      </c>
      <c r="BC45">
        <v>3</v>
      </c>
      <c r="BD45" s="6">
        <f t="shared" si="64"/>
        <v>58.666666666666664</v>
      </c>
      <c r="BE45">
        <f t="shared" si="65"/>
        <v>1</v>
      </c>
      <c r="BF45">
        <v>30</v>
      </c>
      <c r="BG45">
        <f t="shared" si="21"/>
        <v>1.6666666666666667</v>
      </c>
      <c r="BH45">
        <v>50</v>
      </c>
      <c r="BO45" t="s">
        <v>178</v>
      </c>
      <c r="BP45" t="str">
        <f t="shared" si="22"/>
        <v>2</v>
      </c>
    </row>
    <row r="46" spans="1:68" x14ac:dyDescent="0.15">
      <c r="A46">
        <f t="shared" si="39"/>
        <v>3300052</v>
      </c>
      <c r="B46" s="5" t="s">
        <v>153</v>
      </c>
      <c r="C46">
        <v>5</v>
      </c>
      <c r="D46">
        <v>3</v>
      </c>
      <c r="E46">
        <v>2</v>
      </c>
      <c r="F46" s="22" t="s">
        <v>727</v>
      </c>
      <c r="G46" s="22" t="s">
        <v>727</v>
      </c>
      <c r="H46" s="2">
        <v>0</v>
      </c>
      <c r="I46" s="2" t="s">
        <v>154</v>
      </c>
      <c r="J46" s="2">
        <v>6</v>
      </c>
      <c r="K46" s="2">
        <f t="shared" si="41"/>
        <v>1.3</v>
      </c>
      <c r="L46" s="2">
        <f t="shared" si="42"/>
        <v>1.9000000000000001</v>
      </c>
      <c r="M46" s="2">
        <v>10</v>
      </c>
      <c r="N46" s="2">
        <f t="shared" si="43"/>
        <v>99.84</v>
      </c>
      <c r="O46" s="2">
        <f t="shared" si="44"/>
        <v>9.98</v>
      </c>
      <c r="P46" s="2">
        <f t="shared" si="45"/>
        <v>1706.67</v>
      </c>
      <c r="Q46" s="2">
        <f t="shared" si="46"/>
        <v>170.67</v>
      </c>
      <c r="R46" s="2">
        <f t="shared" si="47"/>
        <v>19.97</v>
      </c>
      <c r="S46" s="2">
        <f t="shared" si="48"/>
        <v>2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5">
        <v>353001</v>
      </c>
      <c r="Z46" s="12" t="s">
        <v>443</v>
      </c>
      <c r="AA46" s="4">
        <v>1</v>
      </c>
      <c r="AB46" s="4">
        <v>0</v>
      </c>
      <c r="AC46" s="4"/>
      <c r="AD46" s="4">
        <f t="shared" si="31"/>
        <v>4994.07926917846</v>
      </c>
      <c r="AF46" s="1" t="str">
        <f t="shared" si="38"/>
        <v>0</v>
      </c>
      <c r="AG46">
        <v>5</v>
      </c>
      <c r="AH46">
        <f t="shared" si="49"/>
        <v>99.840000000000032</v>
      </c>
      <c r="AI46">
        <f t="shared" si="50"/>
        <v>9.9840000000000035</v>
      </c>
      <c r="AJ46">
        <f t="shared" si="51"/>
        <v>1706.666666666667</v>
      </c>
      <c r="AK46">
        <f t="shared" si="52"/>
        <v>170.66666666666671</v>
      </c>
      <c r="AL46">
        <f t="shared" si="53"/>
        <v>19.968000000000007</v>
      </c>
      <c r="AM46">
        <f t="shared" si="54"/>
        <v>1.9968000000000008</v>
      </c>
      <c r="AN46">
        <f t="shared" si="55"/>
        <v>1.3</v>
      </c>
      <c r="AO46">
        <f t="shared" si="56"/>
        <v>1.9</v>
      </c>
      <c r="AP46">
        <f t="shared" si="57"/>
        <v>3</v>
      </c>
      <c r="AQ46">
        <v>300</v>
      </c>
      <c r="AR46">
        <v>3</v>
      </c>
      <c r="AT46">
        <v>604</v>
      </c>
      <c r="AU46" s="4" t="s">
        <v>179</v>
      </c>
      <c r="AV46" s="13">
        <v>0.9</v>
      </c>
      <c r="AW46">
        <f t="shared" si="28"/>
        <v>1.1111111111111112</v>
      </c>
      <c r="AX46" s="17">
        <v>3</v>
      </c>
      <c r="AY46" s="4">
        <v>1.5</v>
      </c>
      <c r="AZ46" s="18">
        <f t="shared" si="66"/>
        <v>72</v>
      </c>
      <c r="BA46" s="18">
        <f t="shared" si="67"/>
        <v>1066.6666666666667</v>
      </c>
      <c r="BB46" s="18">
        <f t="shared" si="25"/>
        <v>24</v>
      </c>
      <c r="BC46">
        <v>6</v>
      </c>
      <c r="BD46" s="6">
        <f t="shared" si="64"/>
        <v>48</v>
      </c>
      <c r="BE46">
        <f t="shared" si="65"/>
        <v>1.2333333333333334</v>
      </c>
      <c r="BF46">
        <v>37</v>
      </c>
      <c r="BG46">
        <f t="shared" si="21"/>
        <v>2.1666666666666665</v>
      </c>
      <c r="BH46">
        <v>65</v>
      </c>
      <c r="BO46" t="s">
        <v>180</v>
      </c>
      <c r="BP46" t="str">
        <f t="shared" si="22"/>
        <v>2</v>
      </c>
    </row>
    <row r="47" spans="1:68" x14ac:dyDescent="0.15">
      <c r="A47">
        <f t="shared" si="39"/>
        <v>3302053</v>
      </c>
      <c r="B47" s="5" t="s">
        <v>156</v>
      </c>
      <c r="C47">
        <v>5</v>
      </c>
      <c r="D47">
        <v>3</v>
      </c>
      <c r="E47">
        <v>3</v>
      </c>
      <c r="F47" s="22" t="s">
        <v>728</v>
      </c>
      <c r="G47" s="22" t="s">
        <v>728</v>
      </c>
      <c r="H47" s="2">
        <v>0</v>
      </c>
      <c r="I47" s="2" t="s">
        <v>157</v>
      </c>
      <c r="J47" s="2">
        <f t="shared" si="40"/>
        <v>3</v>
      </c>
      <c r="K47" s="2">
        <f t="shared" si="41"/>
        <v>1.4000000000000001</v>
      </c>
      <c r="L47" s="2">
        <f t="shared" si="42"/>
        <v>1.7</v>
      </c>
      <c r="M47" s="2">
        <v>10</v>
      </c>
      <c r="N47" s="2">
        <f t="shared" si="43"/>
        <v>107.52</v>
      </c>
      <c r="O47" s="2">
        <f t="shared" si="44"/>
        <v>10.75</v>
      </c>
      <c r="P47" s="2">
        <f t="shared" si="45"/>
        <v>1706.67</v>
      </c>
      <c r="Q47" s="2">
        <f t="shared" si="46"/>
        <v>170.67</v>
      </c>
      <c r="R47" s="2">
        <f t="shared" si="47"/>
        <v>21.5</v>
      </c>
      <c r="S47" s="2">
        <f t="shared" si="48"/>
        <v>2.15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5">
        <v>353021</v>
      </c>
      <c r="Z47" s="12" t="s">
        <v>444</v>
      </c>
      <c r="AA47" s="4">
        <v>1</v>
      </c>
      <c r="AB47" s="4">
        <v>0</v>
      </c>
      <c r="AC47" s="4"/>
      <c r="AD47" s="4">
        <f t="shared" si="31"/>
        <v>4995.0540558899993</v>
      </c>
      <c r="AF47" s="1" t="str">
        <f t="shared" si="38"/>
        <v>2</v>
      </c>
      <c r="AG47">
        <v>5</v>
      </c>
      <c r="AH47">
        <f t="shared" si="49"/>
        <v>107.52000000000001</v>
      </c>
      <c r="AI47">
        <f t="shared" si="50"/>
        <v>10.752000000000002</v>
      </c>
      <c r="AJ47">
        <f t="shared" si="51"/>
        <v>1706.666666666667</v>
      </c>
      <c r="AK47">
        <f t="shared" si="52"/>
        <v>170.66666666666671</v>
      </c>
      <c r="AL47">
        <f t="shared" si="53"/>
        <v>21.504000000000001</v>
      </c>
      <c r="AM47">
        <f t="shared" si="54"/>
        <v>2.1504000000000003</v>
      </c>
      <c r="AN47">
        <f t="shared" si="55"/>
        <v>1.4</v>
      </c>
      <c r="AO47">
        <f t="shared" si="56"/>
        <v>1.7</v>
      </c>
      <c r="AP47">
        <f t="shared" si="57"/>
        <v>3</v>
      </c>
      <c r="AQ47">
        <v>302</v>
      </c>
      <c r="AR47">
        <v>3</v>
      </c>
      <c r="AT47">
        <v>605</v>
      </c>
      <c r="AU47" s="4" t="s">
        <v>181</v>
      </c>
      <c r="AV47" s="13">
        <v>1</v>
      </c>
      <c r="AW47">
        <f t="shared" si="28"/>
        <v>1</v>
      </c>
      <c r="AX47" s="17">
        <v>5</v>
      </c>
      <c r="AY47" s="4">
        <v>1.8</v>
      </c>
      <c r="AZ47" s="18">
        <f t="shared" si="66"/>
        <v>96</v>
      </c>
      <c r="BA47" s="18">
        <f t="shared" si="67"/>
        <v>960</v>
      </c>
      <c r="BB47" s="18">
        <f t="shared" si="25"/>
        <v>19.2</v>
      </c>
      <c r="BC47">
        <v>6</v>
      </c>
      <c r="BD47" s="6">
        <f t="shared" si="64"/>
        <v>53.333333333333336</v>
      </c>
      <c r="BE47">
        <f t="shared" si="65"/>
        <v>1.6666666666666667</v>
      </c>
      <c r="BF47">
        <v>50</v>
      </c>
      <c r="BG47">
        <f t="shared" si="21"/>
        <v>2.5</v>
      </c>
      <c r="BH47">
        <v>75</v>
      </c>
      <c r="BO47" t="s">
        <v>182</v>
      </c>
      <c r="BP47" t="str">
        <f t="shared" si="22"/>
        <v>2</v>
      </c>
    </row>
    <row r="48" spans="1:68" x14ac:dyDescent="0.15">
      <c r="A48">
        <f t="shared" si="39"/>
        <v>3400052</v>
      </c>
      <c r="B48" s="5" t="s">
        <v>160</v>
      </c>
      <c r="C48">
        <v>5</v>
      </c>
      <c r="D48">
        <v>4</v>
      </c>
      <c r="E48">
        <v>2</v>
      </c>
      <c r="F48" s="22" t="s">
        <v>729</v>
      </c>
      <c r="G48" s="22" t="s">
        <v>729</v>
      </c>
      <c r="H48">
        <v>0</v>
      </c>
      <c r="I48" s="2" t="s">
        <v>161</v>
      </c>
      <c r="J48" s="2">
        <f t="shared" si="40"/>
        <v>6</v>
      </c>
      <c r="K48" s="2">
        <f t="shared" si="41"/>
        <v>1.4000000000000001</v>
      </c>
      <c r="L48" s="2">
        <f t="shared" si="42"/>
        <v>1.4000000000000001</v>
      </c>
      <c r="M48" s="2">
        <v>10</v>
      </c>
      <c r="N48" s="2">
        <f t="shared" si="43"/>
        <v>143.36000000000001</v>
      </c>
      <c r="O48" s="2">
        <f t="shared" si="44"/>
        <v>14.34</v>
      </c>
      <c r="P48" s="2">
        <f t="shared" si="45"/>
        <v>1280</v>
      </c>
      <c r="Q48" s="2">
        <f t="shared" si="46"/>
        <v>128</v>
      </c>
      <c r="R48" s="2">
        <f t="shared" si="47"/>
        <v>20.48</v>
      </c>
      <c r="S48" s="2">
        <f t="shared" si="48"/>
        <v>2.0499999999999998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5">
        <v>354001</v>
      </c>
      <c r="Z48" s="12" t="s">
        <v>445</v>
      </c>
      <c r="AA48" s="4">
        <v>1</v>
      </c>
      <c r="AB48" s="4">
        <v>0</v>
      </c>
      <c r="AC48" s="4"/>
      <c r="AD48" s="4">
        <f t="shared" si="31"/>
        <v>4997.0764799999988</v>
      </c>
      <c r="AF48" s="1" t="str">
        <f t="shared" si="38"/>
        <v>0</v>
      </c>
      <c r="AG48">
        <v>5</v>
      </c>
      <c r="AH48">
        <f t="shared" si="49"/>
        <v>143.35999999999999</v>
      </c>
      <c r="AI48">
        <f t="shared" si="50"/>
        <v>14.335999999999999</v>
      </c>
      <c r="AJ48">
        <f t="shared" si="51"/>
        <v>1280</v>
      </c>
      <c r="AK48">
        <f t="shared" si="52"/>
        <v>128</v>
      </c>
      <c r="AL48">
        <f t="shared" si="53"/>
        <v>20.479999999999997</v>
      </c>
      <c r="AM48">
        <f t="shared" si="54"/>
        <v>2.0479999999999996</v>
      </c>
      <c r="AN48">
        <f t="shared" si="55"/>
        <v>1.4</v>
      </c>
      <c r="AO48">
        <f t="shared" si="56"/>
        <v>1.4</v>
      </c>
      <c r="AP48">
        <f t="shared" si="57"/>
        <v>6</v>
      </c>
      <c r="AQ48">
        <v>400</v>
      </c>
      <c r="AR48">
        <v>3</v>
      </c>
      <c r="AT48">
        <v>101</v>
      </c>
      <c r="AU48" s="4" t="s">
        <v>183</v>
      </c>
      <c r="AV48" s="13">
        <v>1.1000000000000001</v>
      </c>
      <c r="AW48">
        <f t="shared" si="28"/>
        <v>0.90909090909090906</v>
      </c>
      <c r="AX48" s="17">
        <v>6</v>
      </c>
      <c r="AY48" s="4">
        <v>1.6</v>
      </c>
      <c r="AZ48" s="18">
        <f t="shared" si="66"/>
        <v>93.866666666666674</v>
      </c>
      <c r="BA48" s="18">
        <f t="shared" si="67"/>
        <v>872.72727272727275</v>
      </c>
      <c r="BB48" s="18">
        <f t="shared" si="25"/>
        <v>15.644444444444446</v>
      </c>
      <c r="BC48">
        <v>3</v>
      </c>
      <c r="BD48" s="6">
        <f t="shared" si="64"/>
        <v>58.666666666666671</v>
      </c>
      <c r="BE48">
        <f t="shared" si="65"/>
        <v>1.3333333333333333</v>
      </c>
      <c r="BF48">
        <v>40</v>
      </c>
      <c r="BG48">
        <f t="shared" si="21"/>
        <v>1.6666666666666667</v>
      </c>
      <c r="BH48">
        <v>50</v>
      </c>
      <c r="BO48" t="s">
        <v>184</v>
      </c>
      <c r="BP48" t="str">
        <f t="shared" si="22"/>
        <v>0</v>
      </c>
    </row>
    <row r="49" spans="1:68" x14ac:dyDescent="0.15">
      <c r="A49">
        <f t="shared" si="39"/>
        <v>3202061</v>
      </c>
      <c r="B49" s="5" t="s">
        <v>94</v>
      </c>
      <c r="C49">
        <v>6</v>
      </c>
      <c r="D49">
        <v>2</v>
      </c>
      <c r="E49">
        <v>1</v>
      </c>
      <c r="F49" t="s">
        <v>95</v>
      </c>
      <c r="G49" t="s">
        <v>95</v>
      </c>
      <c r="H49">
        <v>0</v>
      </c>
      <c r="I49" s="2" t="s">
        <v>96</v>
      </c>
      <c r="J49" s="2">
        <f t="shared" si="40"/>
        <v>3</v>
      </c>
      <c r="K49" s="2">
        <f t="shared" si="41"/>
        <v>1.8</v>
      </c>
      <c r="L49" s="2">
        <f t="shared" si="42"/>
        <v>2</v>
      </c>
      <c r="M49" s="2">
        <v>10</v>
      </c>
      <c r="N49" s="2">
        <f t="shared" si="43"/>
        <v>155.52000000000001</v>
      </c>
      <c r="O49" s="2">
        <f t="shared" si="44"/>
        <v>15.55</v>
      </c>
      <c r="P49" s="2">
        <f t="shared" si="45"/>
        <v>1920</v>
      </c>
      <c r="Q49" s="2">
        <f t="shared" si="46"/>
        <v>192</v>
      </c>
      <c r="R49" s="2">
        <f t="shared" si="47"/>
        <v>31.1</v>
      </c>
      <c r="S49" s="2">
        <f t="shared" si="48"/>
        <v>3.11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312022</v>
      </c>
      <c r="Z49" s="12" t="s">
        <v>431</v>
      </c>
      <c r="AA49" s="4">
        <v>1</v>
      </c>
      <c r="AB49" s="4">
        <v>0</v>
      </c>
      <c r="AC49" s="4"/>
      <c r="AD49" s="4">
        <f t="shared" si="31"/>
        <v>6322.0819199999996</v>
      </c>
      <c r="AF49" s="1" t="str">
        <f t="shared" si="38"/>
        <v>2</v>
      </c>
      <c r="AG49">
        <v>6</v>
      </c>
      <c r="AH49">
        <f t="shared" si="49"/>
        <v>155.52000000000001</v>
      </c>
      <c r="AI49">
        <f t="shared" si="50"/>
        <v>15.552000000000001</v>
      </c>
      <c r="AJ49">
        <f t="shared" si="51"/>
        <v>1920.0000000000002</v>
      </c>
      <c r="AK49">
        <f t="shared" si="52"/>
        <v>192.00000000000003</v>
      </c>
      <c r="AL49">
        <f t="shared" si="53"/>
        <v>31.104000000000003</v>
      </c>
      <c r="AM49">
        <f t="shared" si="54"/>
        <v>3.1104000000000003</v>
      </c>
      <c r="AN49">
        <f t="shared" si="55"/>
        <v>1.8</v>
      </c>
      <c r="AO49">
        <f t="shared" si="56"/>
        <v>2</v>
      </c>
      <c r="AP49">
        <f t="shared" si="57"/>
        <v>3</v>
      </c>
      <c r="AQ49">
        <v>202</v>
      </c>
      <c r="AR49">
        <v>3</v>
      </c>
      <c r="AT49">
        <v>102</v>
      </c>
      <c r="AU49" s="4" t="s">
        <v>185</v>
      </c>
      <c r="AV49" s="13">
        <v>1</v>
      </c>
      <c r="AW49">
        <f t="shared" si="28"/>
        <v>1</v>
      </c>
      <c r="AX49" s="17">
        <v>6</v>
      </c>
      <c r="AY49" s="4">
        <v>1.5</v>
      </c>
      <c r="AZ49" s="18">
        <f t="shared" si="66"/>
        <v>80</v>
      </c>
      <c r="BA49" s="18">
        <f t="shared" si="67"/>
        <v>960</v>
      </c>
      <c r="BB49" s="18">
        <f t="shared" si="25"/>
        <v>13.333333333333334</v>
      </c>
      <c r="BC49">
        <v>3</v>
      </c>
      <c r="BD49" s="6">
        <f t="shared" si="64"/>
        <v>53.333333333333329</v>
      </c>
      <c r="BE49">
        <f t="shared" si="65"/>
        <v>1</v>
      </c>
      <c r="BF49">
        <v>30</v>
      </c>
      <c r="BG49">
        <f t="shared" si="21"/>
        <v>1.3333333333333333</v>
      </c>
      <c r="BH49">
        <v>40</v>
      </c>
      <c r="BO49" t="s">
        <v>186</v>
      </c>
      <c r="BP49" t="str">
        <f t="shared" si="22"/>
        <v>0</v>
      </c>
    </row>
    <row r="50" spans="1:68" x14ac:dyDescent="0.15">
      <c r="A50">
        <f t="shared" si="39"/>
        <v>3301061</v>
      </c>
      <c r="B50" s="5" t="s">
        <v>98</v>
      </c>
      <c r="C50">
        <v>6</v>
      </c>
      <c r="D50">
        <v>3</v>
      </c>
      <c r="E50">
        <v>1</v>
      </c>
      <c r="F50" t="s">
        <v>99</v>
      </c>
      <c r="G50" t="s">
        <v>99</v>
      </c>
      <c r="H50" s="2">
        <v>0</v>
      </c>
      <c r="I50" s="2" t="s">
        <v>100</v>
      </c>
      <c r="J50" s="2">
        <f t="shared" si="40"/>
        <v>3</v>
      </c>
      <c r="K50" s="2">
        <f t="shared" si="41"/>
        <v>1.2</v>
      </c>
      <c r="L50" s="2">
        <f t="shared" si="42"/>
        <v>2</v>
      </c>
      <c r="M50" s="2">
        <v>10</v>
      </c>
      <c r="N50" s="2">
        <f t="shared" si="43"/>
        <v>103.68</v>
      </c>
      <c r="O50" s="2">
        <f t="shared" si="44"/>
        <v>10.37</v>
      </c>
      <c r="P50" s="2">
        <f t="shared" si="45"/>
        <v>1920</v>
      </c>
      <c r="Q50" s="2">
        <f t="shared" si="46"/>
        <v>192</v>
      </c>
      <c r="R50" s="2">
        <f t="shared" si="47"/>
        <v>20.74</v>
      </c>
      <c r="S50" s="2">
        <f t="shared" si="48"/>
        <v>2.0699999999999998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11">
        <v>313012</v>
      </c>
      <c r="Z50" s="12" t="s">
        <v>432</v>
      </c>
      <c r="AA50" s="4">
        <v>1</v>
      </c>
      <c r="AB50" s="4">
        <v>0</v>
      </c>
      <c r="AC50" s="4"/>
      <c r="AD50" s="4">
        <f t="shared" si="31"/>
        <v>6323.9299200000005</v>
      </c>
      <c r="AF50" s="1" t="str">
        <f t="shared" si="38"/>
        <v>1</v>
      </c>
      <c r="AG50">
        <v>6</v>
      </c>
      <c r="AH50">
        <f t="shared" si="49"/>
        <v>103.68000000000002</v>
      </c>
      <c r="AI50">
        <f t="shared" si="50"/>
        <v>10.368000000000002</v>
      </c>
      <c r="AJ50">
        <f t="shared" si="51"/>
        <v>1920.0000000000002</v>
      </c>
      <c r="AK50">
        <f t="shared" si="52"/>
        <v>192.00000000000003</v>
      </c>
      <c r="AL50">
        <f t="shared" si="53"/>
        <v>20.736000000000004</v>
      </c>
      <c r="AM50">
        <f t="shared" si="54"/>
        <v>2.0736000000000003</v>
      </c>
      <c r="AN50">
        <f t="shared" si="55"/>
        <v>1.2</v>
      </c>
      <c r="AO50">
        <f t="shared" si="56"/>
        <v>2</v>
      </c>
      <c r="AP50">
        <f t="shared" si="57"/>
        <v>3</v>
      </c>
      <c r="AQ50">
        <v>301</v>
      </c>
      <c r="AR50">
        <v>3</v>
      </c>
      <c r="AT50">
        <v>103</v>
      </c>
      <c r="AU50" s="4" t="s">
        <v>187</v>
      </c>
      <c r="AV50">
        <v>1</v>
      </c>
      <c r="AW50">
        <f t="shared" si="28"/>
        <v>1</v>
      </c>
      <c r="AX50" s="17">
        <v>5</v>
      </c>
      <c r="AY50" s="4">
        <v>1.6</v>
      </c>
      <c r="AZ50" s="18">
        <f t="shared" si="66"/>
        <v>85.333333333333329</v>
      </c>
      <c r="BA50" s="18">
        <f t="shared" si="67"/>
        <v>960</v>
      </c>
      <c r="BB50" s="18">
        <f t="shared" si="25"/>
        <v>17.066666666666666</v>
      </c>
      <c r="BC50">
        <v>6</v>
      </c>
      <c r="BD50" s="6">
        <f t="shared" si="64"/>
        <v>53.333333333333329</v>
      </c>
      <c r="BE50">
        <f t="shared" si="65"/>
        <v>1.3333333333333333</v>
      </c>
      <c r="BF50">
        <v>40</v>
      </c>
      <c r="BG50">
        <f t="shared" si="21"/>
        <v>1.8333333333333333</v>
      </c>
      <c r="BH50">
        <v>55</v>
      </c>
      <c r="BO50" t="s">
        <v>159</v>
      </c>
      <c r="BP50" t="str">
        <f t="shared" si="22"/>
        <v>1</v>
      </c>
    </row>
    <row r="51" spans="1:68" x14ac:dyDescent="0.15">
      <c r="A51">
        <f t="shared" si="39"/>
        <v>3502061</v>
      </c>
      <c r="B51" s="5" t="s">
        <v>111</v>
      </c>
      <c r="C51">
        <v>6</v>
      </c>
      <c r="D51">
        <v>5</v>
      </c>
      <c r="E51">
        <v>1</v>
      </c>
      <c r="F51" t="s">
        <v>112</v>
      </c>
      <c r="G51" t="s">
        <v>112</v>
      </c>
      <c r="H51" s="2">
        <v>0</v>
      </c>
      <c r="I51" s="2" t="s">
        <v>113</v>
      </c>
      <c r="J51" s="2">
        <f t="shared" si="40"/>
        <v>6</v>
      </c>
      <c r="K51" s="2">
        <f t="shared" si="41"/>
        <v>1.4000000000000001</v>
      </c>
      <c r="L51" s="2">
        <f t="shared" si="42"/>
        <v>2</v>
      </c>
      <c r="M51" s="2">
        <v>10</v>
      </c>
      <c r="N51" s="2">
        <f t="shared" si="43"/>
        <v>188.16</v>
      </c>
      <c r="O51" s="2">
        <f t="shared" si="44"/>
        <v>18.82</v>
      </c>
      <c r="P51" s="2">
        <f t="shared" si="45"/>
        <v>1234.29</v>
      </c>
      <c r="Q51" s="2">
        <f t="shared" si="46"/>
        <v>123.43</v>
      </c>
      <c r="R51" s="2">
        <f t="shared" si="47"/>
        <v>23.52</v>
      </c>
      <c r="S51" s="2">
        <f t="shared" si="48"/>
        <v>2.35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11">
        <v>315022</v>
      </c>
      <c r="Z51" s="12" t="s">
        <v>433</v>
      </c>
      <c r="AA51" s="4">
        <v>1</v>
      </c>
      <c r="AB51" s="4">
        <v>0</v>
      </c>
      <c r="AC51" s="4"/>
      <c r="AD51" s="4">
        <f t="shared" si="31"/>
        <v>6324.1115999399999</v>
      </c>
      <c r="AF51" s="1" t="str">
        <f t="shared" si="38"/>
        <v>2</v>
      </c>
      <c r="AG51">
        <v>6</v>
      </c>
      <c r="AH51">
        <f t="shared" si="49"/>
        <v>188.15999999999997</v>
      </c>
      <c r="AI51">
        <f t="shared" si="50"/>
        <v>18.815999999999999</v>
      </c>
      <c r="AJ51">
        <f t="shared" si="51"/>
        <v>1234.2857142857144</v>
      </c>
      <c r="AK51">
        <f t="shared" si="52"/>
        <v>123.42857142857144</v>
      </c>
      <c r="AL51">
        <f t="shared" si="53"/>
        <v>23.519999999999996</v>
      </c>
      <c r="AM51">
        <f t="shared" si="54"/>
        <v>2.3519999999999999</v>
      </c>
      <c r="AN51">
        <f t="shared" si="55"/>
        <v>1.4</v>
      </c>
      <c r="AO51">
        <f t="shared" si="56"/>
        <v>2</v>
      </c>
      <c r="AP51">
        <f t="shared" si="57"/>
        <v>6</v>
      </c>
      <c r="AQ51">
        <v>502</v>
      </c>
      <c r="AR51">
        <v>3</v>
      </c>
      <c r="AX51" s="17"/>
      <c r="AY51" s="4"/>
      <c r="AZ51" s="18"/>
      <c r="BA51" s="18"/>
      <c r="BB51" s="18"/>
      <c r="BD51" s="6"/>
      <c r="BO51" t="s">
        <v>188</v>
      </c>
      <c r="BP51" t="str">
        <f t="shared" si="22"/>
        <v>0</v>
      </c>
    </row>
    <row r="52" spans="1:68" x14ac:dyDescent="0.15">
      <c r="A52">
        <f t="shared" si="39"/>
        <v>3201062</v>
      </c>
      <c r="B52" s="5" t="s">
        <v>91</v>
      </c>
      <c r="C52">
        <v>6</v>
      </c>
      <c r="D52">
        <v>2</v>
      </c>
      <c r="E52">
        <v>2</v>
      </c>
      <c r="F52" t="s">
        <v>119</v>
      </c>
      <c r="G52" t="s">
        <v>119</v>
      </c>
      <c r="H52">
        <v>0</v>
      </c>
      <c r="I52" s="4" t="s">
        <v>92</v>
      </c>
      <c r="J52" s="2">
        <f t="shared" si="40"/>
        <v>3</v>
      </c>
      <c r="K52" s="2">
        <f t="shared" si="41"/>
        <v>1.8</v>
      </c>
      <c r="L52" s="2">
        <f t="shared" si="42"/>
        <v>1.8</v>
      </c>
      <c r="M52" s="2">
        <v>10</v>
      </c>
      <c r="N52" s="2">
        <f t="shared" si="43"/>
        <v>138.24</v>
      </c>
      <c r="O52" s="2">
        <f t="shared" si="44"/>
        <v>13.82</v>
      </c>
      <c r="P52" s="2">
        <f t="shared" si="45"/>
        <v>2160</v>
      </c>
      <c r="Q52" s="2">
        <f t="shared" si="46"/>
        <v>216</v>
      </c>
      <c r="R52" s="2">
        <f t="shared" si="47"/>
        <v>46.08</v>
      </c>
      <c r="S52" s="2">
        <f t="shared" si="48"/>
        <v>4.6100000000000003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11">
        <v>322012</v>
      </c>
      <c r="Z52" s="12" t="s">
        <v>434</v>
      </c>
      <c r="AA52" s="4">
        <v>1</v>
      </c>
      <c r="AB52" s="4">
        <v>0</v>
      </c>
      <c r="AC52" s="4"/>
      <c r="AD52" s="4">
        <f t="shared" ref="AD52:AD80" si="69">(N52+O52*$AD$2)*(P52+Q52*$AD$2)/K52*0.945/3000</f>
        <v>6321.1579199999996</v>
      </c>
      <c r="AF52" s="1" t="str">
        <f t="shared" si="38"/>
        <v>1</v>
      </c>
      <c r="AG52">
        <v>6</v>
      </c>
      <c r="AH52">
        <f t="shared" si="49"/>
        <v>138.24000000000004</v>
      </c>
      <c r="AI52">
        <f t="shared" si="50"/>
        <v>13.824000000000005</v>
      </c>
      <c r="AJ52">
        <f t="shared" si="51"/>
        <v>2160</v>
      </c>
      <c r="AK52">
        <f t="shared" si="52"/>
        <v>216</v>
      </c>
      <c r="AL52">
        <f t="shared" si="53"/>
        <v>46.080000000000013</v>
      </c>
      <c r="AM52">
        <f t="shared" si="54"/>
        <v>4.6080000000000014</v>
      </c>
      <c r="AN52">
        <f t="shared" si="55"/>
        <v>1.8</v>
      </c>
      <c r="AO52">
        <f t="shared" si="56"/>
        <v>1.8</v>
      </c>
      <c r="AP52">
        <f t="shared" si="57"/>
        <v>3</v>
      </c>
      <c r="AQ52">
        <v>201</v>
      </c>
      <c r="AR52">
        <v>3</v>
      </c>
      <c r="BO52" t="s">
        <v>136</v>
      </c>
      <c r="BP52" t="str">
        <f t="shared" si="22"/>
        <v>1</v>
      </c>
    </row>
    <row r="53" spans="1:68" x14ac:dyDescent="0.15">
      <c r="A53">
        <f t="shared" si="39"/>
        <v>3500062</v>
      </c>
      <c r="B53" s="5" t="s">
        <v>108</v>
      </c>
      <c r="C53">
        <v>6</v>
      </c>
      <c r="D53">
        <v>5</v>
      </c>
      <c r="E53">
        <v>2</v>
      </c>
      <c r="F53" t="s">
        <v>125</v>
      </c>
      <c r="G53" t="s">
        <v>125</v>
      </c>
      <c r="H53" s="2">
        <v>0</v>
      </c>
      <c r="I53" s="2" t="s">
        <v>109</v>
      </c>
      <c r="J53" s="2">
        <f t="shared" si="40"/>
        <v>6</v>
      </c>
      <c r="K53" s="2">
        <f t="shared" si="41"/>
        <v>1.5</v>
      </c>
      <c r="L53" s="2">
        <f t="shared" si="42"/>
        <v>1.5</v>
      </c>
      <c r="M53" s="2">
        <v>10</v>
      </c>
      <c r="N53" s="2">
        <f t="shared" si="43"/>
        <v>201.6</v>
      </c>
      <c r="O53" s="2">
        <f t="shared" si="44"/>
        <v>20.16</v>
      </c>
      <c r="P53" s="2">
        <f t="shared" si="45"/>
        <v>1234.29</v>
      </c>
      <c r="Q53" s="2">
        <f t="shared" si="46"/>
        <v>123.43</v>
      </c>
      <c r="R53" s="2">
        <f t="shared" si="47"/>
        <v>25.2</v>
      </c>
      <c r="S53" s="2">
        <f t="shared" si="48"/>
        <v>2.52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11">
        <v>325002</v>
      </c>
      <c r="Z53" s="12" t="s">
        <v>435</v>
      </c>
      <c r="AA53" s="4">
        <v>1</v>
      </c>
      <c r="AB53" s="4">
        <v>0</v>
      </c>
      <c r="AC53" s="4"/>
      <c r="AD53" s="4">
        <f t="shared" si="69"/>
        <v>6322.8896438399997</v>
      </c>
      <c r="AF53" s="1" t="str">
        <f t="shared" si="38"/>
        <v>0</v>
      </c>
      <c r="AG53">
        <v>6</v>
      </c>
      <c r="AH53">
        <f t="shared" si="49"/>
        <v>201.59999999999997</v>
      </c>
      <c r="AI53">
        <f t="shared" si="50"/>
        <v>20.159999999999997</v>
      </c>
      <c r="AJ53">
        <f t="shared" si="51"/>
        <v>1234.2857142857144</v>
      </c>
      <c r="AK53">
        <f t="shared" si="52"/>
        <v>123.42857142857144</v>
      </c>
      <c r="AL53">
        <f t="shared" si="53"/>
        <v>25.199999999999996</v>
      </c>
      <c r="AM53">
        <f t="shared" si="54"/>
        <v>2.5199999999999996</v>
      </c>
      <c r="AN53">
        <f t="shared" si="55"/>
        <v>1.5</v>
      </c>
      <c r="AO53">
        <f t="shared" si="56"/>
        <v>1.5</v>
      </c>
      <c r="AP53">
        <f t="shared" si="57"/>
        <v>6</v>
      </c>
      <c r="AQ53">
        <v>500</v>
      </c>
      <c r="AR53">
        <v>3</v>
      </c>
      <c r="BO53" t="s">
        <v>165</v>
      </c>
      <c r="BP53" t="str">
        <f t="shared" si="22"/>
        <v>2</v>
      </c>
    </row>
    <row r="54" spans="1:68" x14ac:dyDescent="0.15">
      <c r="A54">
        <f t="shared" si="39"/>
        <v>3601062</v>
      </c>
      <c r="B54" s="5" t="s">
        <v>115</v>
      </c>
      <c r="C54">
        <v>6</v>
      </c>
      <c r="D54">
        <v>6</v>
      </c>
      <c r="E54">
        <v>2</v>
      </c>
      <c r="F54" t="s">
        <v>128</v>
      </c>
      <c r="G54" t="s">
        <v>128</v>
      </c>
      <c r="H54" s="2">
        <v>0</v>
      </c>
      <c r="I54" s="2" t="s">
        <v>116</v>
      </c>
      <c r="J54" s="2">
        <f t="shared" si="40"/>
        <v>6</v>
      </c>
      <c r="K54" s="2">
        <f t="shared" si="41"/>
        <v>1.5</v>
      </c>
      <c r="L54" s="2">
        <f t="shared" si="42"/>
        <v>2</v>
      </c>
      <c r="M54" s="2">
        <v>10</v>
      </c>
      <c r="N54" s="2">
        <f t="shared" si="43"/>
        <v>223.2</v>
      </c>
      <c r="O54" s="2">
        <f t="shared" si="44"/>
        <v>22.32</v>
      </c>
      <c r="P54" s="2">
        <f t="shared" si="45"/>
        <v>1114.8399999999999</v>
      </c>
      <c r="Q54" s="2">
        <f t="shared" si="46"/>
        <v>111.48</v>
      </c>
      <c r="R54" s="2">
        <f t="shared" si="47"/>
        <v>22.32</v>
      </c>
      <c r="S54" s="2">
        <f t="shared" si="48"/>
        <v>2.23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11">
        <v>326012</v>
      </c>
      <c r="Z54" s="12" t="s">
        <v>436</v>
      </c>
      <c r="AA54" s="4">
        <v>1</v>
      </c>
      <c r="AB54" s="4">
        <v>0</v>
      </c>
      <c r="AC54" s="4"/>
      <c r="AD54" s="4">
        <f t="shared" si="69"/>
        <v>6322.622201279999</v>
      </c>
      <c r="AF54" s="1" t="str">
        <f t="shared" si="38"/>
        <v>1</v>
      </c>
      <c r="AG54">
        <v>6</v>
      </c>
      <c r="AH54">
        <f t="shared" si="49"/>
        <v>223.20000000000002</v>
      </c>
      <c r="AI54">
        <f t="shared" si="50"/>
        <v>22.320000000000004</v>
      </c>
      <c r="AJ54">
        <f t="shared" si="51"/>
        <v>1114.8387096774195</v>
      </c>
      <c r="AK54">
        <f t="shared" si="52"/>
        <v>111.48387096774195</v>
      </c>
      <c r="AL54">
        <f t="shared" si="53"/>
        <v>22.32</v>
      </c>
      <c r="AM54">
        <f t="shared" si="54"/>
        <v>2.2320000000000002</v>
      </c>
      <c r="AN54">
        <f t="shared" si="55"/>
        <v>1.5</v>
      </c>
      <c r="AO54">
        <f t="shared" si="56"/>
        <v>2</v>
      </c>
      <c r="AP54">
        <f t="shared" si="57"/>
        <v>6</v>
      </c>
      <c r="AQ54">
        <v>601</v>
      </c>
      <c r="AR54">
        <v>3</v>
      </c>
      <c r="BO54" t="s">
        <v>176</v>
      </c>
      <c r="BP54" t="str">
        <f t="shared" si="22"/>
        <v>2</v>
      </c>
    </row>
    <row r="55" spans="1:68" x14ac:dyDescent="0.15">
      <c r="A55">
        <f t="shared" si="39"/>
        <v>3200063</v>
      </c>
      <c r="B55" s="5" t="s">
        <v>77</v>
      </c>
      <c r="C55">
        <v>6</v>
      </c>
      <c r="D55">
        <v>2</v>
      </c>
      <c r="E55">
        <v>3</v>
      </c>
      <c r="F55" t="s">
        <v>130</v>
      </c>
      <c r="G55" t="s">
        <v>130</v>
      </c>
      <c r="H55">
        <v>0</v>
      </c>
      <c r="I55" s="2" t="s">
        <v>78</v>
      </c>
      <c r="J55" s="2">
        <f t="shared" si="40"/>
        <v>3</v>
      </c>
      <c r="K55" s="2">
        <f t="shared" si="41"/>
        <v>1.5</v>
      </c>
      <c r="L55" s="2">
        <f t="shared" si="42"/>
        <v>1.2</v>
      </c>
      <c r="M55" s="2">
        <v>10</v>
      </c>
      <c r="N55" s="2">
        <f t="shared" si="43"/>
        <v>144</v>
      </c>
      <c r="O55" s="2">
        <f t="shared" si="44"/>
        <v>14.4</v>
      </c>
      <c r="P55" s="2">
        <f t="shared" si="45"/>
        <v>1728</v>
      </c>
      <c r="Q55" s="2">
        <f t="shared" si="46"/>
        <v>172.8</v>
      </c>
      <c r="R55" s="2">
        <f t="shared" si="47"/>
        <v>36</v>
      </c>
      <c r="S55" s="2">
        <f t="shared" si="48"/>
        <v>3.6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11">
        <v>332002</v>
      </c>
      <c r="Z55" s="12" t="s">
        <v>437</v>
      </c>
      <c r="AA55" s="4">
        <v>1</v>
      </c>
      <c r="AB55" s="4">
        <v>0</v>
      </c>
      <c r="AC55" s="4"/>
      <c r="AD55" s="4">
        <f t="shared" si="69"/>
        <v>6322.8211199999996</v>
      </c>
      <c r="AF55" s="1" t="str">
        <f t="shared" si="38"/>
        <v>0</v>
      </c>
      <c r="AG55">
        <v>6</v>
      </c>
      <c r="AH55">
        <f t="shared" si="49"/>
        <v>144</v>
      </c>
      <c r="AI55">
        <f t="shared" si="50"/>
        <v>14.4</v>
      </c>
      <c r="AJ55">
        <f t="shared" si="51"/>
        <v>1728</v>
      </c>
      <c r="AK55">
        <f t="shared" si="52"/>
        <v>172.8</v>
      </c>
      <c r="AL55">
        <f t="shared" si="53"/>
        <v>36</v>
      </c>
      <c r="AM55">
        <f t="shared" si="54"/>
        <v>3.6</v>
      </c>
      <c r="AN55">
        <f t="shared" si="55"/>
        <v>1.5</v>
      </c>
      <c r="AO55">
        <f t="shared" si="56"/>
        <v>1.2</v>
      </c>
      <c r="AP55">
        <f t="shared" si="57"/>
        <v>3</v>
      </c>
      <c r="AQ55">
        <v>200</v>
      </c>
      <c r="AR55">
        <v>3</v>
      </c>
      <c r="BO55" t="s">
        <v>178</v>
      </c>
      <c r="BP55" t="str">
        <f t="shared" si="22"/>
        <v>2</v>
      </c>
    </row>
    <row r="56" spans="1:68" x14ac:dyDescent="0.15">
      <c r="A56">
        <f t="shared" si="39"/>
        <v>3401061</v>
      </c>
      <c r="B56" s="5" t="s">
        <v>102</v>
      </c>
      <c r="C56">
        <v>6</v>
      </c>
      <c r="D56">
        <v>4</v>
      </c>
      <c r="E56">
        <v>1</v>
      </c>
      <c r="F56" s="22" t="s">
        <v>723</v>
      </c>
      <c r="G56" s="22" t="s">
        <v>723</v>
      </c>
      <c r="H56">
        <v>0</v>
      </c>
      <c r="I56" s="2" t="s">
        <v>103</v>
      </c>
      <c r="J56" s="2">
        <f t="shared" si="40"/>
        <v>6</v>
      </c>
      <c r="K56" s="2">
        <f t="shared" si="41"/>
        <v>1.6</v>
      </c>
      <c r="L56" s="2">
        <f t="shared" si="42"/>
        <v>2</v>
      </c>
      <c r="M56" s="2">
        <v>10</v>
      </c>
      <c r="N56" s="2">
        <f t="shared" si="43"/>
        <v>184.32</v>
      </c>
      <c r="O56" s="2">
        <f t="shared" si="44"/>
        <v>18.43</v>
      </c>
      <c r="P56" s="2">
        <f t="shared" si="45"/>
        <v>1440</v>
      </c>
      <c r="Q56" s="2">
        <f t="shared" si="46"/>
        <v>144</v>
      </c>
      <c r="R56" s="2">
        <f t="shared" si="47"/>
        <v>26.33</v>
      </c>
      <c r="S56" s="2">
        <f t="shared" si="48"/>
        <v>2.63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11">
        <v>334012</v>
      </c>
      <c r="Z56" s="12" t="s">
        <v>438</v>
      </c>
      <c r="AA56" s="4">
        <v>1</v>
      </c>
      <c r="AB56" s="4">
        <v>0</v>
      </c>
      <c r="AC56" s="4"/>
      <c r="AD56" s="4">
        <f t="shared" si="69"/>
        <v>6322.1974199999995</v>
      </c>
      <c r="AF56" s="1" t="str">
        <f t="shared" si="38"/>
        <v>1</v>
      </c>
      <c r="AG56">
        <v>6</v>
      </c>
      <c r="AH56">
        <f t="shared" si="49"/>
        <v>184.32000000000002</v>
      </c>
      <c r="AI56">
        <f t="shared" si="50"/>
        <v>18.432000000000002</v>
      </c>
      <c r="AJ56">
        <f t="shared" si="51"/>
        <v>1440</v>
      </c>
      <c r="AK56">
        <f t="shared" si="52"/>
        <v>144</v>
      </c>
      <c r="AL56">
        <f t="shared" si="53"/>
        <v>26.331428571428575</v>
      </c>
      <c r="AM56">
        <f t="shared" si="54"/>
        <v>2.6331428571428575</v>
      </c>
      <c r="AN56">
        <f t="shared" si="55"/>
        <v>1.6</v>
      </c>
      <c r="AO56">
        <f t="shared" si="56"/>
        <v>2</v>
      </c>
      <c r="AP56">
        <f t="shared" si="57"/>
        <v>6</v>
      </c>
      <c r="AQ56">
        <v>401</v>
      </c>
      <c r="AR56">
        <v>3</v>
      </c>
      <c r="BO56" t="s">
        <v>171</v>
      </c>
      <c r="BP56" t="str">
        <f t="shared" si="22"/>
        <v>1</v>
      </c>
    </row>
    <row r="57" spans="1:68" ht="16.5" x14ac:dyDescent="0.15">
      <c r="A57">
        <f t="shared" si="39"/>
        <v>3402063</v>
      </c>
      <c r="B57" s="5" t="s">
        <v>105</v>
      </c>
      <c r="C57">
        <v>6</v>
      </c>
      <c r="D57">
        <v>4</v>
      </c>
      <c r="E57">
        <v>3</v>
      </c>
      <c r="F57" t="s">
        <v>137</v>
      </c>
      <c r="G57" t="s">
        <v>137</v>
      </c>
      <c r="H57" s="2">
        <v>0</v>
      </c>
      <c r="I57" s="2" t="s">
        <v>106</v>
      </c>
      <c r="J57" s="2">
        <f t="shared" si="40"/>
        <v>6</v>
      </c>
      <c r="K57" s="2">
        <f t="shared" si="41"/>
        <v>1.5</v>
      </c>
      <c r="L57" s="2">
        <f t="shared" si="42"/>
        <v>1.5</v>
      </c>
      <c r="M57" s="2">
        <v>10</v>
      </c>
      <c r="N57" s="2">
        <f t="shared" si="43"/>
        <v>172.8</v>
      </c>
      <c r="O57" s="2">
        <f t="shared" si="44"/>
        <v>17.28</v>
      </c>
      <c r="P57" s="2">
        <f t="shared" si="45"/>
        <v>1440</v>
      </c>
      <c r="Q57" s="2">
        <f t="shared" si="46"/>
        <v>144</v>
      </c>
      <c r="R57" s="2">
        <f t="shared" si="47"/>
        <v>24.69</v>
      </c>
      <c r="S57" s="2">
        <f t="shared" si="48"/>
        <v>2.4700000000000002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11">
        <v>334022</v>
      </c>
      <c r="Z57" s="12" t="s">
        <v>439</v>
      </c>
      <c r="AA57" s="4">
        <v>1</v>
      </c>
      <c r="AB57" s="4">
        <v>0</v>
      </c>
      <c r="AC57" s="4"/>
      <c r="AD57" s="4">
        <f t="shared" si="69"/>
        <v>6322.8211199999996</v>
      </c>
      <c r="AF57" s="1" t="str">
        <f t="shared" si="38"/>
        <v>2</v>
      </c>
      <c r="AG57">
        <v>6</v>
      </c>
      <c r="AH57">
        <f t="shared" si="49"/>
        <v>172.8</v>
      </c>
      <c r="AI57">
        <f t="shared" si="50"/>
        <v>17.28</v>
      </c>
      <c r="AJ57">
        <f t="shared" si="51"/>
        <v>1440</v>
      </c>
      <c r="AK57">
        <f t="shared" si="52"/>
        <v>144</v>
      </c>
      <c r="AL57">
        <f t="shared" si="53"/>
        <v>24.685714285714287</v>
      </c>
      <c r="AM57">
        <f t="shared" si="54"/>
        <v>2.4685714285714289</v>
      </c>
      <c r="AN57">
        <f t="shared" si="55"/>
        <v>1.5</v>
      </c>
      <c r="AO57">
        <f t="shared" si="56"/>
        <v>1.5</v>
      </c>
      <c r="AP57">
        <f t="shared" si="57"/>
        <v>6</v>
      </c>
      <c r="AQ57">
        <v>402</v>
      </c>
      <c r="AR57">
        <v>3</v>
      </c>
      <c r="AU57" s="6" t="s">
        <v>189</v>
      </c>
      <c r="AV57" s="14" t="s">
        <v>190</v>
      </c>
      <c r="BO57" t="s">
        <v>182</v>
      </c>
      <c r="BP57" t="str">
        <f t="shared" si="22"/>
        <v>2</v>
      </c>
    </row>
    <row r="58" spans="1:68" ht="16.5" x14ac:dyDescent="0.15">
      <c r="A58">
        <f t="shared" si="39"/>
        <v>3501063</v>
      </c>
      <c r="B58" s="5" t="s">
        <v>143</v>
      </c>
      <c r="C58">
        <v>6</v>
      </c>
      <c r="D58">
        <v>5</v>
      </c>
      <c r="E58">
        <v>3</v>
      </c>
      <c r="F58" s="22" t="s">
        <v>724</v>
      </c>
      <c r="G58" s="22" t="s">
        <v>724</v>
      </c>
      <c r="H58">
        <v>0</v>
      </c>
      <c r="I58" s="2" t="s">
        <v>144</v>
      </c>
      <c r="J58" s="2">
        <f t="shared" si="40"/>
        <v>6</v>
      </c>
      <c r="K58" s="2">
        <f t="shared" si="41"/>
        <v>1.6</v>
      </c>
      <c r="L58" s="2">
        <f t="shared" si="42"/>
        <v>2</v>
      </c>
      <c r="M58" s="2">
        <v>10</v>
      </c>
      <c r="N58" s="2">
        <f t="shared" si="43"/>
        <v>215.04</v>
      </c>
      <c r="O58" s="2">
        <f t="shared" si="44"/>
        <v>21.5</v>
      </c>
      <c r="P58" s="2">
        <f t="shared" si="45"/>
        <v>1234.29</v>
      </c>
      <c r="Q58" s="2">
        <f t="shared" si="46"/>
        <v>123.43</v>
      </c>
      <c r="R58" s="2">
        <f t="shared" si="47"/>
        <v>26.88</v>
      </c>
      <c r="S58" s="2">
        <f t="shared" si="48"/>
        <v>2.69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11">
        <v>345012</v>
      </c>
      <c r="Z58" s="12" t="s">
        <v>440</v>
      </c>
      <c r="AA58" s="4">
        <v>1</v>
      </c>
      <c r="AB58" s="4">
        <v>0</v>
      </c>
      <c r="AC58" s="4"/>
      <c r="AD58" s="4">
        <f t="shared" si="69"/>
        <v>6321.8204322524998</v>
      </c>
      <c r="AF58" s="1" t="str">
        <f t="shared" si="38"/>
        <v>1</v>
      </c>
      <c r="AG58">
        <v>6</v>
      </c>
      <c r="AH58">
        <f t="shared" si="49"/>
        <v>215.04</v>
      </c>
      <c r="AI58">
        <f t="shared" si="50"/>
        <v>21.504000000000001</v>
      </c>
      <c r="AJ58">
        <f t="shared" si="51"/>
        <v>1234.2857142857144</v>
      </c>
      <c r="AK58">
        <f t="shared" si="52"/>
        <v>123.42857142857144</v>
      </c>
      <c r="AL58">
        <f t="shared" si="53"/>
        <v>26.88</v>
      </c>
      <c r="AM58">
        <f t="shared" si="54"/>
        <v>2.6880000000000002</v>
      </c>
      <c r="AN58">
        <f t="shared" si="55"/>
        <v>1.6</v>
      </c>
      <c r="AO58">
        <f t="shared" si="56"/>
        <v>2</v>
      </c>
      <c r="AP58">
        <f t="shared" si="57"/>
        <v>6</v>
      </c>
      <c r="AQ58">
        <v>501</v>
      </c>
      <c r="AR58">
        <v>3</v>
      </c>
      <c r="AU58" s="14" t="s">
        <v>191</v>
      </c>
      <c r="BO58" t="s">
        <v>184</v>
      </c>
      <c r="BP58" t="str">
        <f t="shared" si="22"/>
        <v>0</v>
      </c>
    </row>
    <row r="59" spans="1:68" x14ac:dyDescent="0.15">
      <c r="A59">
        <f t="shared" si="39"/>
        <v>3600063</v>
      </c>
      <c r="B59" s="5" t="s">
        <v>146</v>
      </c>
      <c r="C59">
        <v>6</v>
      </c>
      <c r="D59">
        <v>6</v>
      </c>
      <c r="E59">
        <v>3</v>
      </c>
      <c r="F59" s="22" t="s">
        <v>725</v>
      </c>
      <c r="G59" s="22" t="s">
        <v>725</v>
      </c>
      <c r="H59" s="2">
        <v>0</v>
      </c>
      <c r="I59" s="2" t="s">
        <v>147</v>
      </c>
      <c r="J59" s="2">
        <f t="shared" si="40"/>
        <v>3</v>
      </c>
      <c r="K59" s="2">
        <f t="shared" si="41"/>
        <v>1.4000000000000001</v>
      </c>
      <c r="L59" s="2">
        <f t="shared" si="42"/>
        <v>1.9000000000000001</v>
      </c>
      <c r="M59" s="2">
        <v>10</v>
      </c>
      <c r="N59" s="2">
        <f t="shared" si="43"/>
        <v>208.32</v>
      </c>
      <c r="O59" s="2">
        <f t="shared" si="44"/>
        <v>20.83</v>
      </c>
      <c r="P59" s="2">
        <f t="shared" si="45"/>
        <v>1114.8399999999999</v>
      </c>
      <c r="Q59" s="2">
        <f t="shared" si="46"/>
        <v>111.48</v>
      </c>
      <c r="R59" s="2">
        <f t="shared" si="47"/>
        <v>20.83</v>
      </c>
      <c r="S59" s="2">
        <f t="shared" si="48"/>
        <v>2.08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11">
        <v>346002</v>
      </c>
      <c r="Z59" s="12" t="s">
        <v>441</v>
      </c>
      <c r="AA59" s="4">
        <v>1</v>
      </c>
      <c r="AB59" s="4">
        <v>0</v>
      </c>
      <c r="AC59" s="4"/>
      <c r="AD59" s="4">
        <f t="shared" si="69"/>
        <v>6322.0703734799999</v>
      </c>
      <c r="AF59" s="1" t="str">
        <f t="shared" si="38"/>
        <v>0</v>
      </c>
      <c r="AG59">
        <v>6</v>
      </c>
      <c r="AH59">
        <f t="shared" si="49"/>
        <v>208.32</v>
      </c>
      <c r="AI59">
        <f t="shared" si="50"/>
        <v>20.832000000000001</v>
      </c>
      <c r="AJ59">
        <f t="shared" si="51"/>
        <v>1114.8387096774195</v>
      </c>
      <c r="AK59">
        <f t="shared" si="52"/>
        <v>111.48387096774195</v>
      </c>
      <c r="AL59">
        <f t="shared" si="53"/>
        <v>20.832000000000001</v>
      </c>
      <c r="AM59">
        <f t="shared" si="54"/>
        <v>2.0832000000000002</v>
      </c>
      <c r="AN59">
        <f t="shared" si="55"/>
        <v>1.4</v>
      </c>
      <c r="AO59">
        <f t="shared" si="56"/>
        <v>1.9</v>
      </c>
      <c r="AP59">
        <f t="shared" si="57"/>
        <v>3</v>
      </c>
      <c r="AQ59">
        <v>600</v>
      </c>
      <c r="AR59">
        <v>3</v>
      </c>
      <c r="BO59" t="s">
        <v>186</v>
      </c>
      <c r="BP59" t="str">
        <f t="shared" si="22"/>
        <v>0</v>
      </c>
    </row>
    <row r="60" spans="1:68" x14ac:dyDescent="0.15">
      <c r="A60">
        <f t="shared" si="39"/>
        <v>3602061</v>
      </c>
      <c r="B60" s="5" t="s">
        <v>149</v>
      </c>
      <c r="C60">
        <v>6</v>
      </c>
      <c r="D60">
        <v>6</v>
      </c>
      <c r="E60">
        <v>1</v>
      </c>
      <c r="F60" s="22" t="s">
        <v>726</v>
      </c>
      <c r="G60" s="22" t="s">
        <v>726</v>
      </c>
      <c r="H60" t="s">
        <v>150</v>
      </c>
      <c r="I60" s="2" t="s">
        <v>151</v>
      </c>
      <c r="J60" s="2">
        <f t="shared" si="40"/>
        <v>6</v>
      </c>
      <c r="K60" s="2">
        <f t="shared" si="41"/>
        <v>1.8</v>
      </c>
      <c r="L60" s="2">
        <f t="shared" si="42"/>
        <v>2</v>
      </c>
      <c r="M60" s="2">
        <v>10</v>
      </c>
      <c r="N60" s="2">
        <f t="shared" si="43"/>
        <v>267.83999999999997</v>
      </c>
      <c r="O60" s="2">
        <f t="shared" si="44"/>
        <v>26.78</v>
      </c>
      <c r="P60" s="2">
        <f t="shared" si="45"/>
        <v>1114.8399999999999</v>
      </c>
      <c r="Q60" s="2">
        <f t="shared" si="46"/>
        <v>111.48</v>
      </c>
      <c r="R60" s="2">
        <f t="shared" si="47"/>
        <v>26.78</v>
      </c>
      <c r="S60" s="2">
        <f t="shared" si="48"/>
        <v>2.68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11">
        <v>346022</v>
      </c>
      <c r="Z60" s="12" t="s">
        <v>442</v>
      </c>
      <c r="AA60" s="4">
        <v>1</v>
      </c>
      <c r="AB60" s="4">
        <v>0</v>
      </c>
      <c r="AC60" s="4"/>
      <c r="AD60" s="4">
        <f t="shared" si="69"/>
        <v>6321.7638024799999</v>
      </c>
      <c r="AF60" s="1" t="str">
        <f t="shared" ref="AF60:AF87" si="70">RIGHT(AQ60,1)</f>
        <v>2</v>
      </c>
      <c r="AG60">
        <v>6</v>
      </c>
      <c r="AH60">
        <f t="shared" si="49"/>
        <v>267.84000000000003</v>
      </c>
      <c r="AI60">
        <f t="shared" si="50"/>
        <v>26.784000000000006</v>
      </c>
      <c r="AJ60">
        <f t="shared" si="51"/>
        <v>1114.8387096774195</v>
      </c>
      <c r="AK60">
        <f t="shared" si="52"/>
        <v>111.48387096774195</v>
      </c>
      <c r="AL60">
        <f t="shared" si="53"/>
        <v>26.784000000000002</v>
      </c>
      <c r="AM60">
        <f t="shared" si="54"/>
        <v>2.6784000000000003</v>
      </c>
      <c r="AN60">
        <f t="shared" si="55"/>
        <v>1.8</v>
      </c>
      <c r="AO60">
        <f t="shared" si="56"/>
        <v>2</v>
      </c>
      <c r="AP60">
        <f t="shared" si="57"/>
        <v>6</v>
      </c>
      <c r="AQ60">
        <v>602</v>
      </c>
      <c r="AR60">
        <v>3</v>
      </c>
      <c r="AU60" s="6" t="s">
        <v>192</v>
      </c>
      <c r="BO60" t="s">
        <v>169</v>
      </c>
      <c r="BP60" t="str">
        <f t="shared" si="22"/>
        <v>0</v>
      </c>
    </row>
    <row r="61" spans="1:68" x14ac:dyDescent="0.15">
      <c r="A61">
        <f t="shared" ref="A61:A88" si="71">AR61*1000000+AQ61*1000+C61*10+E61</f>
        <v>3300062</v>
      </c>
      <c r="B61" s="5" t="s">
        <v>153</v>
      </c>
      <c r="C61">
        <v>6</v>
      </c>
      <c r="D61">
        <v>3</v>
      </c>
      <c r="E61">
        <v>2</v>
      </c>
      <c r="F61" s="22" t="s">
        <v>727</v>
      </c>
      <c r="G61" s="22" t="s">
        <v>727</v>
      </c>
      <c r="H61" s="2">
        <v>0</v>
      </c>
      <c r="I61" s="2" t="s">
        <v>154</v>
      </c>
      <c r="J61" s="2">
        <v>6</v>
      </c>
      <c r="K61" s="2">
        <f t="shared" ref="K61:K88" si="72">FLOOR(AN61/1,0.01)</f>
        <v>1.3</v>
      </c>
      <c r="L61" s="2">
        <f t="shared" ref="L61:L88" si="73">FLOOR(AO61/1,0.01)</f>
        <v>1.9000000000000001</v>
      </c>
      <c r="M61" s="2">
        <v>10</v>
      </c>
      <c r="N61" s="2">
        <f t="shared" ref="N61:N88" si="74">ROUND(AH61,2)</f>
        <v>112.32</v>
      </c>
      <c r="O61" s="2">
        <f t="shared" ref="O61:O88" si="75">ROUND(AI61,2)</f>
        <v>11.23</v>
      </c>
      <c r="P61" s="2">
        <f t="shared" ref="P61:P88" si="76">ROUND(AJ61,2)</f>
        <v>1920</v>
      </c>
      <c r="Q61" s="2">
        <f t="shared" ref="Q61:Q88" si="77">ROUND(AK61,2)</f>
        <v>192</v>
      </c>
      <c r="R61" s="2">
        <f t="shared" ref="R61:R88" si="78">ROUND(AL61,2)</f>
        <v>22.46</v>
      </c>
      <c r="S61" s="2">
        <f t="shared" ref="S61:S88" si="79">ROUND(AM61,2)</f>
        <v>2.25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11">
        <v>353002</v>
      </c>
      <c r="Z61" s="12" t="s">
        <v>443</v>
      </c>
      <c r="AA61" s="4">
        <v>1</v>
      </c>
      <c r="AB61" s="4">
        <v>0</v>
      </c>
      <c r="AC61" s="4"/>
      <c r="AD61" s="4">
        <f t="shared" si="69"/>
        <v>6321.7976123076915</v>
      </c>
      <c r="AF61" s="1" t="str">
        <f t="shared" si="70"/>
        <v>0</v>
      </c>
      <c r="AG61">
        <v>6</v>
      </c>
      <c r="AH61">
        <f t="shared" ref="AH61:AH88" si="80">INDEX($AV$5:$AV$50,MATCH($AQ61,$AT$5:$AT$50))*$AN61/1.5*$AZ$4*INDEX($AV$87:$BI$87,MATCH($AG61,$AV$86:$BI$86))</f>
        <v>112.32000000000002</v>
      </c>
      <c r="AI61">
        <f t="shared" ref="AI61:AI88" si="81">(INDEX($AV$5:$AV$50,MATCH($AQ61,$AT$5:$AT$50))*$AN61/1.5*$AZ$4*INDEX($AV$87:$BI$87,MATCH($AG61,$AV$86:$BI$86)))*0.1</f>
        <v>11.232000000000003</v>
      </c>
      <c r="AJ61">
        <f t="shared" ref="AJ61:AJ88" si="82">INDEX($AW$5:$AW$50,MATCH($AQ61,$AT$5:$AT$50))*$BA$4*INDEX($AV$87:$BI$87,MATCH($AG61,$AV$86:$BI$86))</f>
        <v>1920.0000000000002</v>
      </c>
      <c r="AK61">
        <f t="shared" ref="AK61:AK88" si="83">(INDEX($AW$5:$AW$50,MATCH($AQ61,$AT$5:$AT$50))*$BA$4*INDEX($AV$87:$BI$87,MATCH($AG61,$AV$86:$BI$86)))*0.1</f>
        <v>192.00000000000003</v>
      </c>
      <c r="AL61">
        <f t="shared" ref="AL61:AL88" si="84">$AH61/INDEX($AX$5:$AX$50,MATCH($AQ61,$AT$5:$AT$50))</f>
        <v>22.464000000000006</v>
      </c>
      <c r="AM61">
        <f t="shared" ref="AM61:AM88" si="85">AL61*0.1</f>
        <v>2.2464000000000008</v>
      </c>
      <c r="AN61">
        <f t="shared" ref="AN61:AN88" si="86">INDEX($AY$5:$AY$50,MATCH($AQ61,$AT$5:$AT$50,0))</f>
        <v>1.3</v>
      </c>
      <c r="AO61">
        <f t="shared" ref="AO61:AO88" si="87">ROUND(IF(INDEX($BG$5:$BG$50,MATCH($AQ61,$AT$5:$AT$50,0))&lt;2,INDEX($BG$5:$BG$49,MATCH($AQ61,$AT$5:$AT$49,0))+0.2,2),1)</f>
        <v>1.9</v>
      </c>
      <c r="AP61">
        <f t="shared" ref="AP61:AP88" si="88">INDEX($BC$5:$BC$50,MATCH($AQ61,$AT$5:$AT$50,0))</f>
        <v>3</v>
      </c>
      <c r="AQ61">
        <v>300</v>
      </c>
      <c r="AR61">
        <v>3</v>
      </c>
      <c r="AU61" s="6" t="s">
        <v>193</v>
      </c>
      <c r="BO61" t="s">
        <v>171</v>
      </c>
      <c r="BP61" t="str">
        <f t="shared" si="22"/>
        <v>1</v>
      </c>
    </row>
    <row r="62" spans="1:68" x14ac:dyDescent="0.15">
      <c r="A62">
        <f t="shared" si="71"/>
        <v>3302063</v>
      </c>
      <c r="B62" s="5" t="s">
        <v>156</v>
      </c>
      <c r="C62">
        <v>6</v>
      </c>
      <c r="D62">
        <v>3</v>
      </c>
      <c r="E62">
        <v>3</v>
      </c>
      <c r="F62" s="22" t="s">
        <v>728</v>
      </c>
      <c r="G62" s="22" t="s">
        <v>728</v>
      </c>
      <c r="H62" s="2">
        <v>0</v>
      </c>
      <c r="I62" s="2" t="s">
        <v>157</v>
      </c>
      <c r="J62" s="2">
        <f t="shared" ref="J62:J88" si="89">AP62</f>
        <v>3</v>
      </c>
      <c r="K62" s="2">
        <f t="shared" si="72"/>
        <v>1.4000000000000001</v>
      </c>
      <c r="L62" s="2">
        <f t="shared" si="73"/>
        <v>1.7</v>
      </c>
      <c r="M62" s="2">
        <v>10</v>
      </c>
      <c r="N62" s="2">
        <f t="shared" si="74"/>
        <v>120.96</v>
      </c>
      <c r="O62" s="2">
        <f t="shared" si="75"/>
        <v>12.1</v>
      </c>
      <c r="P62" s="2">
        <f t="shared" si="76"/>
        <v>1920</v>
      </c>
      <c r="Q62" s="2">
        <f t="shared" si="77"/>
        <v>192</v>
      </c>
      <c r="R62" s="2">
        <f t="shared" si="78"/>
        <v>24.19</v>
      </c>
      <c r="S62" s="2">
        <f t="shared" si="79"/>
        <v>2.42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11">
        <v>353022</v>
      </c>
      <c r="Z62" s="12" t="s">
        <v>444</v>
      </c>
      <c r="AA62" s="4">
        <v>1</v>
      </c>
      <c r="AB62" s="4">
        <v>0</v>
      </c>
      <c r="AC62" s="4"/>
      <c r="AD62" s="4">
        <f t="shared" si="69"/>
        <v>6324.721919999999</v>
      </c>
      <c r="AF62" s="1" t="str">
        <f t="shared" si="70"/>
        <v>2</v>
      </c>
      <c r="AG62">
        <v>6</v>
      </c>
      <c r="AH62">
        <f t="shared" si="80"/>
        <v>120.96000000000001</v>
      </c>
      <c r="AI62">
        <f t="shared" si="81"/>
        <v>12.096000000000002</v>
      </c>
      <c r="AJ62">
        <f t="shared" si="82"/>
        <v>1920.0000000000002</v>
      </c>
      <c r="AK62">
        <f t="shared" si="83"/>
        <v>192.00000000000003</v>
      </c>
      <c r="AL62">
        <f t="shared" si="84"/>
        <v>24.192</v>
      </c>
      <c r="AM62">
        <f t="shared" si="85"/>
        <v>2.4192</v>
      </c>
      <c r="AN62">
        <f t="shared" si="86"/>
        <v>1.4</v>
      </c>
      <c r="AO62">
        <f t="shared" si="87"/>
        <v>1.7</v>
      </c>
      <c r="AP62">
        <f t="shared" si="88"/>
        <v>3</v>
      </c>
      <c r="AQ62">
        <v>302</v>
      </c>
      <c r="AR62">
        <v>3</v>
      </c>
      <c r="AU62" t="s">
        <v>194</v>
      </c>
      <c r="BO62" t="s">
        <v>136</v>
      </c>
      <c r="BP62" t="str">
        <f t="shared" si="22"/>
        <v>1</v>
      </c>
    </row>
    <row r="63" spans="1:68" x14ac:dyDescent="0.15">
      <c r="A63">
        <f t="shared" si="71"/>
        <v>3400062</v>
      </c>
      <c r="B63" s="5" t="s">
        <v>160</v>
      </c>
      <c r="C63">
        <v>6</v>
      </c>
      <c r="D63">
        <v>4</v>
      </c>
      <c r="E63">
        <v>2</v>
      </c>
      <c r="F63" s="22" t="s">
        <v>729</v>
      </c>
      <c r="G63" s="22" t="s">
        <v>729</v>
      </c>
      <c r="H63">
        <v>0</v>
      </c>
      <c r="I63" s="2" t="s">
        <v>161</v>
      </c>
      <c r="J63" s="2">
        <f t="shared" si="89"/>
        <v>6</v>
      </c>
      <c r="K63" s="2">
        <f t="shared" si="72"/>
        <v>1.4000000000000001</v>
      </c>
      <c r="L63" s="2">
        <f t="shared" si="73"/>
        <v>1.4000000000000001</v>
      </c>
      <c r="M63" s="2">
        <v>10</v>
      </c>
      <c r="N63" s="2">
        <f t="shared" si="74"/>
        <v>161.28</v>
      </c>
      <c r="O63" s="2">
        <f t="shared" si="75"/>
        <v>16.13</v>
      </c>
      <c r="P63" s="2">
        <f t="shared" si="76"/>
        <v>1440</v>
      </c>
      <c r="Q63" s="2">
        <f t="shared" si="77"/>
        <v>144</v>
      </c>
      <c r="R63" s="2">
        <f t="shared" si="78"/>
        <v>23.04</v>
      </c>
      <c r="S63" s="2">
        <f t="shared" si="79"/>
        <v>2.2999999999999998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11">
        <v>354002</v>
      </c>
      <c r="Z63" s="12" t="s">
        <v>445</v>
      </c>
      <c r="AA63" s="4">
        <v>1</v>
      </c>
      <c r="AB63" s="4">
        <v>0</v>
      </c>
      <c r="AC63" s="4"/>
      <c r="AD63" s="4">
        <f t="shared" si="69"/>
        <v>6323.5339199999989</v>
      </c>
      <c r="AF63" s="1" t="str">
        <f t="shared" si="70"/>
        <v>0</v>
      </c>
      <c r="AG63">
        <v>6</v>
      </c>
      <c r="AH63">
        <f t="shared" si="80"/>
        <v>161.28</v>
      </c>
      <c r="AI63">
        <f t="shared" si="81"/>
        <v>16.128</v>
      </c>
      <c r="AJ63">
        <f t="shared" si="82"/>
        <v>1440</v>
      </c>
      <c r="AK63">
        <f t="shared" si="83"/>
        <v>144</v>
      </c>
      <c r="AL63">
        <f t="shared" si="84"/>
        <v>23.04</v>
      </c>
      <c r="AM63">
        <f t="shared" si="85"/>
        <v>2.3039999999999998</v>
      </c>
      <c r="AN63">
        <f t="shared" si="86"/>
        <v>1.4</v>
      </c>
      <c r="AO63">
        <f t="shared" si="87"/>
        <v>1.4</v>
      </c>
      <c r="AP63">
        <f t="shared" si="88"/>
        <v>6</v>
      </c>
      <c r="AQ63">
        <v>400</v>
      </c>
      <c r="AR63">
        <v>3</v>
      </c>
      <c r="AU63" s="15" t="s">
        <v>195</v>
      </c>
      <c r="AV63">
        <v>2.9999999999999997E-4</v>
      </c>
      <c r="AY63" s="15" t="s">
        <v>196</v>
      </c>
      <c r="BH63">
        <v>10000</v>
      </c>
      <c r="BO63" t="s">
        <v>141</v>
      </c>
      <c r="BP63" t="str">
        <f t="shared" si="22"/>
        <v>1</v>
      </c>
    </row>
    <row r="64" spans="1:68" x14ac:dyDescent="0.15">
      <c r="A64">
        <f t="shared" si="71"/>
        <v>3202071</v>
      </c>
      <c r="B64" s="5" t="s">
        <v>94</v>
      </c>
      <c r="C64">
        <v>7</v>
      </c>
      <c r="D64">
        <v>2</v>
      </c>
      <c r="E64">
        <v>1</v>
      </c>
      <c r="F64" t="s">
        <v>95</v>
      </c>
      <c r="G64" t="s">
        <v>95</v>
      </c>
      <c r="H64">
        <v>0</v>
      </c>
      <c r="I64" s="2" t="s">
        <v>96</v>
      </c>
      <c r="J64" s="2">
        <f t="shared" si="89"/>
        <v>3</v>
      </c>
      <c r="K64" s="2">
        <f t="shared" si="72"/>
        <v>1.8</v>
      </c>
      <c r="L64" s="2">
        <f t="shared" si="73"/>
        <v>2</v>
      </c>
      <c r="M64" s="2">
        <v>10</v>
      </c>
      <c r="N64" s="2">
        <f t="shared" si="74"/>
        <v>172.8</v>
      </c>
      <c r="O64" s="2">
        <f t="shared" si="75"/>
        <v>17.28</v>
      </c>
      <c r="P64" s="2">
        <f t="shared" si="76"/>
        <v>2133.33</v>
      </c>
      <c r="Q64" s="2">
        <f t="shared" si="77"/>
        <v>213.33</v>
      </c>
      <c r="R64" s="2">
        <f t="shared" si="78"/>
        <v>34.56</v>
      </c>
      <c r="S64" s="2">
        <f t="shared" si="79"/>
        <v>3.46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11">
        <v>312022</v>
      </c>
      <c r="Z64" s="12" t="s">
        <v>486</v>
      </c>
      <c r="AA64" s="4">
        <v>1</v>
      </c>
      <c r="AB64" s="4">
        <v>0</v>
      </c>
      <c r="AC64" s="4"/>
      <c r="AD64" s="4">
        <f t="shared" si="69"/>
        <v>7805.8400111999999</v>
      </c>
      <c r="AF64" s="1" t="str">
        <f t="shared" si="70"/>
        <v>2</v>
      </c>
      <c r="AG64">
        <v>7</v>
      </c>
      <c r="AH64">
        <f t="shared" si="80"/>
        <v>172.8</v>
      </c>
      <c r="AI64">
        <f t="shared" si="81"/>
        <v>17.28</v>
      </c>
      <c r="AJ64">
        <f t="shared" si="82"/>
        <v>2133.3333333333335</v>
      </c>
      <c r="AK64">
        <f t="shared" si="83"/>
        <v>213.33333333333337</v>
      </c>
      <c r="AL64">
        <f t="shared" si="84"/>
        <v>34.56</v>
      </c>
      <c r="AM64">
        <f t="shared" si="85"/>
        <v>3.4560000000000004</v>
      </c>
      <c r="AN64">
        <f t="shared" si="86"/>
        <v>1.8</v>
      </c>
      <c r="AO64">
        <f t="shared" si="87"/>
        <v>2</v>
      </c>
      <c r="AP64">
        <f t="shared" si="88"/>
        <v>3</v>
      </c>
      <c r="AQ64">
        <v>202</v>
      </c>
      <c r="AR64">
        <v>3</v>
      </c>
      <c r="AU64" s="6" t="s">
        <v>40</v>
      </c>
      <c r="AV64" s="6" t="s">
        <v>197</v>
      </c>
      <c r="AW64" s="6" t="s">
        <v>198</v>
      </c>
      <c r="AX64" s="6" t="s">
        <v>199</v>
      </c>
      <c r="AY64" s="15">
        <v>1</v>
      </c>
      <c r="AZ64" s="15">
        <v>20</v>
      </c>
      <c r="BA64" s="15">
        <v>40</v>
      </c>
      <c r="BB64" s="15">
        <v>50</v>
      </c>
      <c r="BC64" s="15">
        <v>100</v>
      </c>
      <c r="BD64" s="15">
        <v>150</v>
      </c>
      <c r="BE64" s="15">
        <v>200</v>
      </c>
      <c r="BF64" s="15">
        <v>300</v>
      </c>
      <c r="BG64" s="6" t="s">
        <v>200</v>
      </c>
      <c r="BO64" t="s">
        <v>167</v>
      </c>
      <c r="BP64" t="str">
        <f t="shared" si="22"/>
        <v>1</v>
      </c>
    </row>
    <row r="65" spans="1:68" x14ac:dyDescent="0.15">
      <c r="A65">
        <f t="shared" si="71"/>
        <v>3301071</v>
      </c>
      <c r="B65" s="5" t="s">
        <v>98</v>
      </c>
      <c r="C65">
        <v>7</v>
      </c>
      <c r="D65">
        <v>3</v>
      </c>
      <c r="E65">
        <v>1</v>
      </c>
      <c r="F65" t="s">
        <v>99</v>
      </c>
      <c r="G65" t="s">
        <v>99</v>
      </c>
      <c r="H65" s="2">
        <v>0</v>
      </c>
      <c r="I65" s="2" t="s">
        <v>100</v>
      </c>
      <c r="J65" s="2">
        <f t="shared" si="89"/>
        <v>3</v>
      </c>
      <c r="K65" s="2">
        <f t="shared" si="72"/>
        <v>1.2</v>
      </c>
      <c r="L65" s="2">
        <f t="shared" si="73"/>
        <v>2</v>
      </c>
      <c r="M65" s="2">
        <v>10</v>
      </c>
      <c r="N65" s="2">
        <f t="shared" si="74"/>
        <v>115.2</v>
      </c>
      <c r="O65" s="2">
        <f t="shared" si="75"/>
        <v>11.52</v>
      </c>
      <c r="P65" s="2">
        <f t="shared" si="76"/>
        <v>2133.33</v>
      </c>
      <c r="Q65" s="2">
        <f t="shared" si="77"/>
        <v>213.33</v>
      </c>
      <c r="R65" s="2">
        <f t="shared" si="78"/>
        <v>23.04</v>
      </c>
      <c r="S65" s="2">
        <f t="shared" si="79"/>
        <v>2.2999999999999998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11">
        <v>313012</v>
      </c>
      <c r="Z65" s="12" t="s">
        <v>487</v>
      </c>
      <c r="AA65" s="4">
        <v>1</v>
      </c>
      <c r="AB65" s="4">
        <v>0</v>
      </c>
      <c r="AC65" s="4"/>
      <c r="AD65" s="4">
        <f t="shared" si="69"/>
        <v>7805.8400112000008</v>
      </c>
      <c r="AF65" s="1" t="str">
        <f t="shared" si="70"/>
        <v>1</v>
      </c>
      <c r="AG65">
        <v>7</v>
      </c>
      <c r="AH65">
        <f t="shared" si="80"/>
        <v>115.20000000000002</v>
      </c>
      <c r="AI65">
        <f t="shared" si="81"/>
        <v>11.520000000000003</v>
      </c>
      <c r="AJ65">
        <f t="shared" si="82"/>
        <v>2133.3333333333335</v>
      </c>
      <c r="AK65">
        <f t="shared" si="83"/>
        <v>213.33333333333337</v>
      </c>
      <c r="AL65">
        <f t="shared" si="84"/>
        <v>23.040000000000003</v>
      </c>
      <c r="AM65">
        <f t="shared" si="85"/>
        <v>2.3040000000000003</v>
      </c>
      <c r="AN65">
        <f t="shared" si="86"/>
        <v>1.2</v>
      </c>
      <c r="AO65">
        <f t="shared" si="87"/>
        <v>2</v>
      </c>
      <c r="AP65">
        <f t="shared" si="88"/>
        <v>3</v>
      </c>
      <c r="AQ65">
        <v>301</v>
      </c>
      <c r="AR65">
        <v>3</v>
      </c>
      <c r="AU65" s="6" t="s">
        <v>93</v>
      </c>
      <c r="AV65">
        <f t="shared" ref="AV65:AV80" si="90">BB5</f>
        <v>23.111111111111111</v>
      </c>
      <c r="AW65">
        <f>AV65*0.1</f>
        <v>2.3111111111111113</v>
      </c>
      <c r="AX65" s="19">
        <v>0</v>
      </c>
      <c r="AY65" s="19">
        <f t="shared" ref="AY65:BF74" si="91">($AV65+(AY$64-1)*$AW65)*$AV$63+$AX65</f>
        <v>6.933333333333333E-3</v>
      </c>
      <c r="AZ65" s="19">
        <f t="shared" si="91"/>
        <v>2.0106666666666665E-2</v>
      </c>
      <c r="BA65" s="19">
        <f t="shared" si="91"/>
        <v>3.3973333333333335E-2</v>
      </c>
      <c r="BB65" s="19">
        <f t="shared" si="91"/>
        <v>4.0906666666666661E-2</v>
      </c>
      <c r="BC65" s="19">
        <f t="shared" si="91"/>
        <v>7.5573333333333326E-2</v>
      </c>
      <c r="BD65" s="19">
        <f t="shared" si="91"/>
        <v>0.11024</v>
      </c>
      <c r="BE65" s="19">
        <f t="shared" si="91"/>
        <v>0.14490666666666666</v>
      </c>
      <c r="BF65" s="19">
        <f t="shared" si="91"/>
        <v>0.21423999999999999</v>
      </c>
      <c r="BG65" s="19">
        <v>0.25</v>
      </c>
      <c r="BH65">
        <f t="shared" ref="BH65:BH80" si="92">$BH$63*(1-BF65)</f>
        <v>7857.6</v>
      </c>
      <c r="BO65" t="s">
        <v>169</v>
      </c>
      <c r="BP65" t="str">
        <f t="shared" si="22"/>
        <v>0</v>
      </c>
    </row>
    <row r="66" spans="1:68" x14ac:dyDescent="0.15">
      <c r="A66">
        <f t="shared" si="71"/>
        <v>3502071</v>
      </c>
      <c r="B66" s="5" t="s">
        <v>111</v>
      </c>
      <c r="C66">
        <v>7</v>
      </c>
      <c r="D66">
        <v>5</v>
      </c>
      <c r="E66">
        <v>1</v>
      </c>
      <c r="F66" t="s">
        <v>112</v>
      </c>
      <c r="G66" t="s">
        <v>112</v>
      </c>
      <c r="H66" s="2">
        <v>0</v>
      </c>
      <c r="I66" s="2" t="s">
        <v>113</v>
      </c>
      <c r="J66" s="2">
        <f t="shared" si="89"/>
        <v>6</v>
      </c>
      <c r="K66" s="2">
        <f t="shared" si="72"/>
        <v>1.4000000000000001</v>
      </c>
      <c r="L66" s="2">
        <f t="shared" si="73"/>
        <v>2</v>
      </c>
      <c r="M66" s="2">
        <v>10</v>
      </c>
      <c r="N66" s="2">
        <f t="shared" si="74"/>
        <v>209.07</v>
      </c>
      <c r="O66" s="2">
        <f t="shared" si="75"/>
        <v>20.91</v>
      </c>
      <c r="P66" s="2">
        <f t="shared" si="76"/>
        <v>1371.43</v>
      </c>
      <c r="Q66" s="2">
        <f t="shared" si="77"/>
        <v>137.13999999999999</v>
      </c>
      <c r="R66" s="2">
        <f t="shared" si="78"/>
        <v>26.13</v>
      </c>
      <c r="S66" s="2">
        <f t="shared" si="79"/>
        <v>2.61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11">
        <v>315022</v>
      </c>
      <c r="Z66" s="12" t="s">
        <v>488</v>
      </c>
      <c r="AA66" s="4">
        <v>1</v>
      </c>
      <c r="AB66" s="4">
        <v>0</v>
      </c>
      <c r="AC66" s="4"/>
      <c r="AD66" s="4">
        <f t="shared" si="69"/>
        <v>7806.9476205224983</v>
      </c>
      <c r="AF66" s="1" t="str">
        <f t="shared" si="70"/>
        <v>2</v>
      </c>
      <c r="AG66">
        <v>7</v>
      </c>
      <c r="AH66">
        <f t="shared" si="80"/>
        <v>209.06666666666663</v>
      </c>
      <c r="AI66">
        <f t="shared" si="81"/>
        <v>20.906666666666666</v>
      </c>
      <c r="AJ66">
        <f t="shared" si="82"/>
        <v>1371.4285714285716</v>
      </c>
      <c r="AK66">
        <f t="shared" si="83"/>
        <v>137.14285714285717</v>
      </c>
      <c r="AL66">
        <f t="shared" si="84"/>
        <v>26.133333333333329</v>
      </c>
      <c r="AM66">
        <f t="shared" si="85"/>
        <v>2.6133333333333333</v>
      </c>
      <c r="AN66">
        <f t="shared" si="86"/>
        <v>1.4</v>
      </c>
      <c r="AO66">
        <f t="shared" si="87"/>
        <v>2</v>
      </c>
      <c r="AP66">
        <f t="shared" si="88"/>
        <v>6</v>
      </c>
      <c r="AQ66">
        <v>502</v>
      </c>
      <c r="AR66">
        <v>3</v>
      </c>
      <c r="AU66" s="4" t="s">
        <v>97</v>
      </c>
      <c r="AV66">
        <f t="shared" si="90"/>
        <v>20</v>
      </c>
      <c r="AW66">
        <f t="shared" ref="AW66:AW80" si="93">AV66*0.1</f>
        <v>2</v>
      </c>
      <c r="AX66" s="19">
        <v>0</v>
      </c>
      <c r="AY66" s="19">
        <f t="shared" si="91"/>
        <v>5.9999999999999993E-3</v>
      </c>
      <c r="AZ66" s="19">
        <f t="shared" si="91"/>
        <v>1.7399999999999999E-2</v>
      </c>
      <c r="BA66" s="19">
        <f t="shared" si="91"/>
        <v>2.9399999999999999E-2</v>
      </c>
      <c r="BB66" s="19">
        <f t="shared" si="91"/>
        <v>3.5399999999999994E-2</v>
      </c>
      <c r="BC66" s="19">
        <f t="shared" si="91"/>
        <v>6.54E-2</v>
      </c>
      <c r="BD66" s="19">
        <f t="shared" si="91"/>
        <v>9.5399999999999985E-2</v>
      </c>
      <c r="BE66" s="19">
        <f t="shared" si="91"/>
        <v>0.12539999999999998</v>
      </c>
      <c r="BF66" s="19">
        <f t="shared" si="91"/>
        <v>0.18539999999999998</v>
      </c>
      <c r="BG66" s="19">
        <v>0.25</v>
      </c>
      <c r="BH66">
        <f t="shared" si="92"/>
        <v>8146</v>
      </c>
      <c r="BO66" t="s">
        <v>171</v>
      </c>
      <c r="BP66" t="str">
        <f t="shared" si="22"/>
        <v>1</v>
      </c>
    </row>
    <row r="67" spans="1:68" x14ac:dyDescent="0.15">
      <c r="A67">
        <f t="shared" si="71"/>
        <v>3201072</v>
      </c>
      <c r="B67" s="5" t="s">
        <v>91</v>
      </c>
      <c r="C67">
        <v>7</v>
      </c>
      <c r="D67">
        <v>2</v>
      </c>
      <c r="E67">
        <v>2</v>
      </c>
      <c r="F67" t="s">
        <v>119</v>
      </c>
      <c r="G67" t="s">
        <v>119</v>
      </c>
      <c r="H67">
        <v>0</v>
      </c>
      <c r="I67" s="4" t="s">
        <v>92</v>
      </c>
      <c r="J67" s="2">
        <f t="shared" si="89"/>
        <v>3</v>
      </c>
      <c r="K67" s="2">
        <f t="shared" si="72"/>
        <v>1.8</v>
      </c>
      <c r="L67" s="2">
        <f t="shared" si="73"/>
        <v>1.8</v>
      </c>
      <c r="M67" s="2">
        <v>10</v>
      </c>
      <c r="N67" s="2">
        <f t="shared" si="74"/>
        <v>153.6</v>
      </c>
      <c r="O67" s="2">
        <f t="shared" si="75"/>
        <v>15.36</v>
      </c>
      <c r="P67" s="2">
        <f t="shared" si="76"/>
        <v>2400</v>
      </c>
      <c r="Q67" s="2">
        <f t="shared" si="77"/>
        <v>240</v>
      </c>
      <c r="R67" s="2">
        <f t="shared" si="78"/>
        <v>51.2</v>
      </c>
      <c r="S67" s="2">
        <f t="shared" si="79"/>
        <v>5.12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11">
        <v>322012</v>
      </c>
      <c r="Z67" s="12" t="s">
        <v>489</v>
      </c>
      <c r="AA67" s="4">
        <v>1</v>
      </c>
      <c r="AB67" s="4">
        <v>0</v>
      </c>
      <c r="AC67" s="4"/>
      <c r="AD67" s="4">
        <f t="shared" si="69"/>
        <v>7805.9520000000002</v>
      </c>
      <c r="AF67" s="1" t="str">
        <f t="shared" si="70"/>
        <v>1</v>
      </c>
      <c r="AG67">
        <v>7</v>
      </c>
      <c r="AH67">
        <f t="shared" si="80"/>
        <v>153.60000000000002</v>
      </c>
      <c r="AI67">
        <f t="shared" si="81"/>
        <v>15.360000000000003</v>
      </c>
      <c r="AJ67">
        <f t="shared" si="82"/>
        <v>2400</v>
      </c>
      <c r="AK67">
        <f t="shared" si="83"/>
        <v>240</v>
      </c>
      <c r="AL67">
        <f t="shared" si="84"/>
        <v>51.20000000000001</v>
      </c>
      <c r="AM67">
        <f t="shared" si="85"/>
        <v>5.120000000000001</v>
      </c>
      <c r="AN67">
        <f t="shared" si="86"/>
        <v>1.8</v>
      </c>
      <c r="AO67">
        <f t="shared" si="87"/>
        <v>1.8</v>
      </c>
      <c r="AP67">
        <f t="shared" si="88"/>
        <v>3</v>
      </c>
      <c r="AQ67">
        <v>201</v>
      </c>
      <c r="AR67">
        <v>3</v>
      </c>
      <c r="AU67" s="6" t="s">
        <v>101</v>
      </c>
      <c r="AV67">
        <f t="shared" si="90"/>
        <v>25.599999999999998</v>
      </c>
      <c r="AW67">
        <f t="shared" si="93"/>
        <v>2.56</v>
      </c>
      <c r="AX67" s="19">
        <v>0</v>
      </c>
      <c r="AY67" s="19">
        <f t="shared" si="91"/>
        <v>7.6799999999999985E-3</v>
      </c>
      <c r="AZ67" s="19">
        <f t="shared" si="91"/>
        <v>2.2271999999999997E-2</v>
      </c>
      <c r="BA67" s="19">
        <f t="shared" si="91"/>
        <v>3.7631999999999999E-2</v>
      </c>
      <c r="BB67" s="19">
        <f t="shared" si="91"/>
        <v>4.5311999999999991E-2</v>
      </c>
      <c r="BC67" s="19">
        <f t="shared" si="91"/>
        <v>8.3711999999999995E-2</v>
      </c>
      <c r="BD67" s="19">
        <f t="shared" si="91"/>
        <v>0.122112</v>
      </c>
      <c r="BE67" s="19">
        <f t="shared" si="91"/>
        <v>0.16051199999999999</v>
      </c>
      <c r="BF67" s="19">
        <f t="shared" si="91"/>
        <v>0.237312</v>
      </c>
      <c r="BG67" s="19">
        <v>0.25</v>
      </c>
      <c r="BH67">
        <f t="shared" si="92"/>
        <v>7626.88</v>
      </c>
      <c r="BO67" t="s">
        <v>165</v>
      </c>
      <c r="BP67" t="str">
        <f t="shared" si="22"/>
        <v>2</v>
      </c>
    </row>
    <row r="68" spans="1:68" x14ac:dyDescent="0.15">
      <c r="A68">
        <f t="shared" si="71"/>
        <v>3500072</v>
      </c>
      <c r="B68" s="5" t="s">
        <v>108</v>
      </c>
      <c r="C68">
        <v>7</v>
      </c>
      <c r="D68">
        <v>5</v>
      </c>
      <c r="E68">
        <v>2</v>
      </c>
      <c r="F68" t="s">
        <v>125</v>
      </c>
      <c r="G68" t="s">
        <v>125</v>
      </c>
      <c r="H68" s="2">
        <v>0</v>
      </c>
      <c r="I68" s="2" t="s">
        <v>109</v>
      </c>
      <c r="J68" s="2">
        <f t="shared" si="89"/>
        <v>6</v>
      </c>
      <c r="K68" s="2">
        <f t="shared" si="72"/>
        <v>1.5</v>
      </c>
      <c r="L68" s="2">
        <f t="shared" si="73"/>
        <v>1.5</v>
      </c>
      <c r="M68" s="2">
        <v>10</v>
      </c>
      <c r="N68" s="2">
        <f t="shared" si="74"/>
        <v>224</v>
      </c>
      <c r="O68" s="2">
        <f t="shared" si="75"/>
        <v>22.4</v>
      </c>
      <c r="P68" s="2">
        <f t="shared" si="76"/>
        <v>1371.43</v>
      </c>
      <c r="Q68" s="2">
        <f t="shared" si="77"/>
        <v>137.13999999999999</v>
      </c>
      <c r="R68" s="2">
        <f t="shared" si="78"/>
        <v>28</v>
      </c>
      <c r="S68" s="2">
        <f t="shared" si="79"/>
        <v>2.8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11">
        <v>325002</v>
      </c>
      <c r="Z68" s="12" t="s">
        <v>490</v>
      </c>
      <c r="AA68" s="4">
        <v>1</v>
      </c>
      <c r="AB68" s="4">
        <v>0</v>
      </c>
      <c r="AC68" s="4"/>
      <c r="AD68" s="4">
        <f t="shared" si="69"/>
        <v>7805.8048991999985</v>
      </c>
      <c r="AF68" s="1" t="str">
        <f t="shared" si="70"/>
        <v>0</v>
      </c>
      <c r="AG68">
        <v>7</v>
      </c>
      <c r="AH68">
        <f t="shared" si="80"/>
        <v>223.99999999999994</v>
      </c>
      <c r="AI68">
        <f t="shared" si="81"/>
        <v>22.399999999999995</v>
      </c>
      <c r="AJ68">
        <f t="shared" si="82"/>
        <v>1371.4285714285716</v>
      </c>
      <c r="AK68">
        <f t="shared" si="83"/>
        <v>137.14285714285717</v>
      </c>
      <c r="AL68">
        <f t="shared" si="84"/>
        <v>27.999999999999993</v>
      </c>
      <c r="AM68">
        <f t="shared" si="85"/>
        <v>2.7999999999999994</v>
      </c>
      <c r="AN68">
        <f t="shared" si="86"/>
        <v>1.5</v>
      </c>
      <c r="AO68">
        <f t="shared" si="87"/>
        <v>1.5</v>
      </c>
      <c r="AP68">
        <f t="shared" si="88"/>
        <v>6</v>
      </c>
      <c r="AQ68">
        <v>500</v>
      </c>
      <c r="AR68">
        <v>3</v>
      </c>
      <c r="AU68" s="4" t="s">
        <v>104</v>
      </c>
      <c r="AV68">
        <f t="shared" si="90"/>
        <v>17.279999999999998</v>
      </c>
      <c r="AW68">
        <f t="shared" si="93"/>
        <v>1.7279999999999998</v>
      </c>
      <c r="AX68" s="19">
        <v>0</v>
      </c>
      <c r="AY68" s="19">
        <f t="shared" si="91"/>
        <v>5.1839999999999985E-3</v>
      </c>
      <c r="AZ68" s="19">
        <f t="shared" si="91"/>
        <v>1.5033599999999998E-2</v>
      </c>
      <c r="BA68" s="19">
        <f t="shared" si="91"/>
        <v>2.5401599999999996E-2</v>
      </c>
      <c r="BB68" s="19">
        <f t="shared" si="91"/>
        <v>3.0585599999999994E-2</v>
      </c>
      <c r="BC68" s="19">
        <f t="shared" si="91"/>
        <v>5.6505599999999989E-2</v>
      </c>
      <c r="BD68" s="19">
        <f t="shared" si="91"/>
        <v>8.2425599999999974E-2</v>
      </c>
      <c r="BE68" s="19">
        <f t="shared" si="91"/>
        <v>0.10834559999999997</v>
      </c>
      <c r="BF68" s="19">
        <f t="shared" si="91"/>
        <v>0.16018559999999996</v>
      </c>
      <c r="BG68" s="19">
        <v>0.25</v>
      </c>
      <c r="BH68">
        <f t="shared" si="92"/>
        <v>8398.1440000000002</v>
      </c>
      <c r="BO68" t="s">
        <v>159</v>
      </c>
      <c r="BP68" t="str">
        <f t="shared" si="22"/>
        <v>1</v>
      </c>
    </row>
    <row r="69" spans="1:68" x14ac:dyDescent="0.15">
      <c r="A69">
        <f t="shared" si="71"/>
        <v>3601072</v>
      </c>
      <c r="B69" s="5" t="s">
        <v>115</v>
      </c>
      <c r="C69">
        <v>7</v>
      </c>
      <c r="D69">
        <v>6</v>
      </c>
      <c r="E69">
        <v>2</v>
      </c>
      <c r="F69" t="s">
        <v>128</v>
      </c>
      <c r="G69" t="s">
        <v>128</v>
      </c>
      <c r="H69" s="2">
        <v>0</v>
      </c>
      <c r="I69" s="2" t="s">
        <v>116</v>
      </c>
      <c r="J69" s="2">
        <f t="shared" si="89"/>
        <v>6</v>
      </c>
      <c r="K69" s="2">
        <f t="shared" si="72"/>
        <v>1.5</v>
      </c>
      <c r="L69" s="2">
        <f t="shared" si="73"/>
        <v>2</v>
      </c>
      <c r="M69" s="2">
        <v>10</v>
      </c>
      <c r="N69" s="2">
        <f t="shared" si="74"/>
        <v>248</v>
      </c>
      <c r="O69" s="2">
        <f t="shared" si="75"/>
        <v>24.8</v>
      </c>
      <c r="P69" s="2">
        <f t="shared" si="76"/>
        <v>1238.71</v>
      </c>
      <c r="Q69" s="2">
        <f t="shared" si="77"/>
        <v>123.87</v>
      </c>
      <c r="R69" s="2">
        <f t="shared" si="78"/>
        <v>24.8</v>
      </c>
      <c r="S69" s="2">
        <f t="shared" si="79"/>
        <v>2.48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11">
        <v>326012</v>
      </c>
      <c r="Z69" s="12" t="s">
        <v>491</v>
      </c>
      <c r="AA69" s="4">
        <v>1</v>
      </c>
      <c r="AB69" s="4">
        <v>0</v>
      </c>
      <c r="AC69" s="4"/>
      <c r="AD69" s="4">
        <f t="shared" si="69"/>
        <v>7805.8967447999976</v>
      </c>
      <c r="AF69" s="1" t="str">
        <f t="shared" si="70"/>
        <v>1</v>
      </c>
      <c r="AG69">
        <v>7</v>
      </c>
      <c r="AH69">
        <f t="shared" si="80"/>
        <v>248</v>
      </c>
      <c r="AI69">
        <f t="shared" si="81"/>
        <v>24.8</v>
      </c>
      <c r="AJ69">
        <f t="shared" si="82"/>
        <v>1238.7096774193549</v>
      </c>
      <c r="AK69">
        <f t="shared" si="83"/>
        <v>123.87096774193549</v>
      </c>
      <c r="AL69">
        <f t="shared" si="84"/>
        <v>24.8</v>
      </c>
      <c r="AM69">
        <f t="shared" si="85"/>
        <v>2.4800000000000004</v>
      </c>
      <c r="AN69">
        <f t="shared" si="86"/>
        <v>1.5</v>
      </c>
      <c r="AO69">
        <f t="shared" si="87"/>
        <v>2</v>
      </c>
      <c r="AP69">
        <f t="shared" si="88"/>
        <v>6</v>
      </c>
      <c r="AQ69">
        <v>601</v>
      </c>
      <c r="AR69">
        <v>3</v>
      </c>
      <c r="AU69" s="4" t="s">
        <v>107</v>
      </c>
      <c r="AV69">
        <f t="shared" si="90"/>
        <v>9.9666666666666668</v>
      </c>
      <c r="AW69">
        <f t="shared" si="93"/>
        <v>0.9966666666666667</v>
      </c>
      <c r="AX69" s="19">
        <v>0</v>
      </c>
      <c r="AY69" s="19">
        <f t="shared" si="91"/>
        <v>2.9899999999999996E-3</v>
      </c>
      <c r="AZ69" s="19">
        <f t="shared" si="91"/>
        <v>8.6709999999999999E-3</v>
      </c>
      <c r="BA69" s="19">
        <f t="shared" si="91"/>
        <v>1.4651000000000001E-2</v>
      </c>
      <c r="BB69" s="19">
        <f t="shared" si="91"/>
        <v>1.7641E-2</v>
      </c>
      <c r="BC69" s="19">
        <f t="shared" si="91"/>
        <v>3.2590999999999995E-2</v>
      </c>
      <c r="BD69" s="19">
        <f t="shared" si="91"/>
        <v>4.7540999999999993E-2</v>
      </c>
      <c r="BE69" s="19">
        <f t="shared" si="91"/>
        <v>6.2490999999999998E-2</v>
      </c>
      <c r="BF69" s="19">
        <f t="shared" si="91"/>
        <v>9.2390999999999987E-2</v>
      </c>
      <c r="BG69" s="19">
        <v>0.25</v>
      </c>
      <c r="BH69">
        <f t="shared" si="92"/>
        <v>9076.09</v>
      </c>
      <c r="BO69" t="s">
        <v>182</v>
      </c>
      <c r="BP69" t="str">
        <f t="shared" ref="BP69:BP132" si="94">RIGHT(BO69,1)</f>
        <v>2</v>
      </c>
    </row>
    <row r="70" spans="1:68" x14ac:dyDescent="0.15">
      <c r="A70">
        <f t="shared" si="71"/>
        <v>3200073</v>
      </c>
      <c r="B70" s="5" t="s">
        <v>77</v>
      </c>
      <c r="C70">
        <v>7</v>
      </c>
      <c r="D70">
        <v>2</v>
      </c>
      <c r="E70">
        <v>3</v>
      </c>
      <c r="F70" t="s">
        <v>130</v>
      </c>
      <c r="G70" t="s">
        <v>130</v>
      </c>
      <c r="H70">
        <v>0</v>
      </c>
      <c r="I70" s="2" t="s">
        <v>78</v>
      </c>
      <c r="J70" s="2">
        <f t="shared" si="89"/>
        <v>3</v>
      </c>
      <c r="K70" s="2">
        <f t="shared" si="72"/>
        <v>1.5</v>
      </c>
      <c r="L70" s="2">
        <f t="shared" si="73"/>
        <v>1.2</v>
      </c>
      <c r="M70" s="2">
        <v>10</v>
      </c>
      <c r="N70" s="2">
        <f t="shared" si="74"/>
        <v>160</v>
      </c>
      <c r="O70" s="2">
        <f t="shared" si="75"/>
        <v>16</v>
      </c>
      <c r="P70" s="2">
        <f t="shared" si="76"/>
        <v>1920</v>
      </c>
      <c r="Q70" s="2">
        <f t="shared" si="77"/>
        <v>192</v>
      </c>
      <c r="R70" s="2">
        <f t="shared" si="78"/>
        <v>40</v>
      </c>
      <c r="S70" s="2">
        <f t="shared" si="79"/>
        <v>4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11">
        <v>332002</v>
      </c>
      <c r="Z70" s="12" t="s">
        <v>492</v>
      </c>
      <c r="AA70" s="4">
        <v>1</v>
      </c>
      <c r="AB70" s="4">
        <v>0</v>
      </c>
      <c r="AC70" s="4"/>
      <c r="AD70" s="4">
        <f t="shared" si="69"/>
        <v>7805.9520000000002</v>
      </c>
      <c r="AF70" s="1" t="str">
        <f t="shared" si="70"/>
        <v>0</v>
      </c>
      <c r="AG70">
        <v>7</v>
      </c>
      <c r="AH70">
        <f t="shared" si="80"/>
        <v>160</v>
      </c>
      <c r="AI70">
        <f t="shared" si="81"/>
        <v>16</v>
      </c>
      <c r="AJ70">
        <f t="shared" si="82"/>
        <v>1920</v>
      </c>
      <c r="AK70">
        <f t="shared" si="83"/>
        <v>192</v>
      </c>
      <c r="AL70">
        <f t="shared" si="84"/>
        <v>40</v>
      </c>
      <c r="AM70">
        <f t="shared" si="85"/>
        <v>4</v>
      </c>
      <c r="AN70">
        <f t="shared" si="86"/>
        <v>1.5</v>
      </c>
      <c r="AO70">
        <f t="shared" si="87"/>
        <v>1.2</v>
      </c>
      <c r="AP70">
        <f t="shared" si="88"/>
        <v>3</v>
      </c>
      <c r="AQ70">
        <v>200</v>
      </c>
      <c r="AR70">
        <v>3</v>
      </c>
      <c r="AU70" s="4" t="s">
        <v>110</v>
      </c>
      <c r="AV70">
        <f t="shared" si="90"/>
        <v>11.733333333333333</v>
      </c>
      <c r="AW70">
        <f t="shared" si="93"/>
        <v>1.1733333333333333</v>
      </c>
      <c r="AX70" s="19">
        <v>0</v>
      </c>
      <c r="AY70" s="19">
        <f t="shared" si="91"/>
        <v>3.5199999999999993E-3</v>
      </c>
      <c r="AZ70" s="19">
        <f t="shared" si="91"/>
        <v>1.0207999999999998E-2</v>
      </c>
      <c r="BA70" s="19">
        <f t="shared" si="91"/>
        <v>1.7247999999999999E-2</v>
      </c>
      <c r="BB70" s="19">
        <f t="shared" si="91"/>
        <v>2.0767999999999995E-2</v>
      </c>
      <c r="BC70" s="19">
        <f t="shared" si="91"/>
        <v>3.8367999999999999E-2</v>
      </c>
      <c r="BD70" s="19">
        <f t="shared" si="91"/>
        <v>5.596799999999999E-2</v>
      </c>
      <c r="BE70" s="19">
        <f t="shared" si="91"/>
        <v>7.3567999999999995E-2</v>
      </c>
      <c r="BF70" s="19">
        <f t="shared" si="91"/>
        <v>0.10876799999999999</v>
      </c>
      <c r="BG70" s="19">
        <v>0.25</v>
      </c>
      <c r="BH70">
        <f t="shared" si="92"/>
        <v>8912.32</v>
      </c>
      <c r="BO70" t="s">
        <v>173</v>
      </c>
      <c r="BP70" t="str">
        <f t="shared" si="94"/>
        <v>0</v>
      </c>
    </row>
    <row r="71" spans="1:68" x14ac:dyDescent="0.15">
      <c r="A71">
        <f t="shared" si="71"/>
        <v>3401071</v>
      </c>
      <c r="B71" s="5" t="s">
        <v>102</v>
      </c>
      <c r="C71">
        <v>7</v>
      </c>
      <c r="D71">
        <v>4</v>
      </c>
      <c r="E71">
        <v>1</v>
      </c>
      <c r="F71" s="22" t="s">
        <v>723</v>
      </c>
      <c r="G71" s="22" t="s">
        <v>723</v>
      </c>
      <c r="H71">
        <v>0</v>
      </c>
      <c r="I71" s="2" t="s">
        <v>103</v>
      </c>
      <c r="J71" s="2">
        <f t="shared" si="89"/>
        <v>6</v>
      </c>
      <c r="K71" s="2">
        <f t="shared" si="72"/>
        <v>1.6</v>
      </c>
      <c r="L71" s="2">
        <f t="shared" si="73"/>
        <v>2</v>
      </c>
      <c r="M71" s="2">
        <v>10</v>
      </c>
      <c r="N71" s="2">
        <f t="shared" si="74"/>
        <v>204.8</v>
      </c>
      <c r="O71" s="2">
        <f t="shared" si="75"/>
        <v>20.48</v>
      </c>
      <c r="P71" s="2">
        <f t="shared" si="76"/>
        <v>1600</v>
      </c>
      <c r="Q71" s="2">
        <f t="shared" si="77"/>
        <v>160</v>
      </c>
      <c r="R71" s="2">
        <f t="shared" si="78"/>
        <v>29.26</v>
      </c>
      <c r="S71" s="2">
        <f t="shared" si="79"/>
        <v>2.93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11">
        <v>334012</v>
      </c>
      <c r="Z71" s="12" t="s">
        <v>493</v>
      </c>
      <c r="AA71" s="4">
        <v>1</v>
      </c>
      <c r="AB71" s="4">
        <v>0</v>
      </c>
      <c r="AC71" s="4"/>
      <c r="AD71" s="4">
        <f t="shared" si="69"/>
        <v>7805.9520000000002</v>
      </c>
      <c r="AF71" s="1" t="str">
        <f t="shared" si="70"/>
        <v>1</v>
      </c>
      <c r="AG71">
        <v>7</v>
      </c>
      <c r="AH71">
        <f t="shared" si="80"/>
        <v>204.8</v>
      </c>
      <c r="AI71">
        <f t="shared" si="81"/>
        <v>20.480000000000004</v>
      </c>
      <c r="AJ71">
        <f t="shared" si="82"/>
        <v>1600</v>
      </c>
      <c r="AK71">
        <f t="shared" si="83"/>
        <v>160</v>
      </c>
      <c r="AL71">
        <f t="shared" si="84"/>
        <v>29.25714285714286</v>
      </c>
      <c r="AM71">
        <f t="shared" si="85"/>
        <v>2.9257142857142862</v>
      </c>
      <c r="AN71">
        <f t="shared" si="86"/>
        <v>1.6</v>
      </c>
      <c r="AO71">
        <f t="shared" si="87"/>
        <v>2</v>
      </c>
      <c r="AP71">
        <f t="shared" si="88"/>
        <v>6</v>
      </c>
      <c r="AQ71">
        <v>401</v>
      </c>
      <c r="AR71">
        <v>3</v>
      </c>
      <c r="AU71" s="4" t="s">
        <v>114</v>
      </c>
      <c r="AV71">
        <f t="shared" si="90"/>
        <v>12.799999999999997</v>
      </c>
      <c r="AW71">
        <f t="shared" si="93"/>
        <v>1.2799999999999998</v>
      </c>
      <c r="AX71" s="19">
        <v>0</v>
      </c>
      <c r="AY71" s="19">
        <f t="shared" si="91"/>
        <v>3.8399999999999988E-3</v>
      </c>
      <c r="AZ71" s="19">
        <f t="shared" si="91"/>
        <v>1.1135999999999997E-2</v>
      </c>
      <c r="BA71" s="19">
        <f t="shared" si="91"/>
        <v>1.8815999999999996E-2</v>
      </c>
      <c r="BB71" s="19">
        <f t="shared" si="91"/>
        <v>2.2655999999999992E-2</v>
      </c>
      <c r="BC71" s="19">
        <f t="shared" si="91"/>
        <v>4.185599999999999E-2</v>
      </c>
      <c r="BD71" s="19">
        <f t="shared" si="91"/>
        <v>6.1055999999999992E-2</v>
      </c>
      <c r="BE71" s="19">
        <f t="shared" si="91"/>
        <v>8.0255999999999994E-2</v>
      </c>
      <c r="BF71" s="19">
        <f t="shared" si="91"/>
        <v>0.11865599999999997</v>
      </c>
      <c r="BG71" s="19">
        <v>0.25</v>
      </c>
      <c r="BH71">
        <f t="shared" si="92"/>
        <v>8813.44</v>
      </c>
      <c r="BO71" t="s">
        <v>141</v>
      </c>
      <c r="BP71" t="str">
        <f t="shared" si="94"/>
        <v>1</v>
      </c>
    </row>
    <row r="72" spans="1:68" x14ac:dyDescent="0.15">
      <c r="A72">
        <f t="shared" si="71"/>
        <v>3402073</v>
      </c>
      <c r="B72" s="5" t="s">
        <v>105</v>
      </c>
      <c r="C72">
        <v>7</v>
      </c>
      <c r="D72">
        <v>4</v>
      </c>
      <c r="E72">
        <v>3</v>
      </c>
      <c r="F72" t="s">
        <v>137</v>
      </c>
      <c r="G72" t="s">
        <v>137</v>
      </c>
      <c r="H72" s="2">
        <v>0</v>
      </c>
      <c r="I72" s="2" t="s">
        <v>106</v>
      </c>
      <c r="J72" s="2">
        <f t="shared" si="89"/>
        <v>6</v>
      </c>
      <c r="K72" s="2">
        <f t="shared" si="72"/>
        <v>1.5</v>
      </c>
      <c r="L72" s="2">
        <f t="shared" si="73"/>
        <v>1.5</v>
      </c>
      <c r="M72" s="2">
        <v>10</v>
      </c>
      <c r="N72" s="2">
        <f t="shared" si="74"/>
        <v>192</v>
      </c>
      <c r="O72" s="2">
        <f t="shared" si="75"/>
        <v>19.2</v>
      </c>
      <c r="P72" s="2">
        <f t="shared" si="76"/>
        <v>1600</v>
      </c>
      <c r="Q72" s="2">
        <f t="shared" si="77"/>
        <v>160</v>
      </c>
      <c r="R72" s="2">
        <f t="shared" si="78"/>
        <v>27.43</v>
      </c>
      <c r="S72" s="2">
        <f t="shared" si="79"/>
        <v>2.74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11">
        <v>334022</v>
      </c>
      <c r="Z72" s="12" t="s">
        <v>494</v>
      </c>
      <c r="AA72" s="4">
        <v>1</v>
      </c>
      <c r="AB72" s="4">
        <v>0</v>
      </c>
      <c r="AC72" s="4"/>
      <c r="AD72" s="4">
        <f t="shared" si="69"/>
        <v>7805.9520000000002</v>
      </c>
      <c r="AF72" s="1" t="str">
        <f t="shared" si="70"/>
        <v>2</v>
      </c>
      <c r="AG72">
        <v>7</v>
      </c>
      <c r="AH72">
        <f t="shared" si="80"/>
        <v>192</v>
      </c>
      <c r="AI72">
        <f t="shared" si="81"/>
        <v>19.200000000000003</v>
      </c>
      <c r="AJ72">
        <f t="shared" si="82"/>
        <v>1600</v>
      </c>
      <c r="AK72">
        <f t="shared" si="83"/>
        <v>160</v>
      </c>
      <c r="AL72">
        <f t="shared" si="84"/>
        <v>27.428571428571427</v>
      </c>
      <c r="AM72">
        <f t="shared" si="85"/>
        <v>2.7428571428571429</v>
      </c>
      <c r="AN72">
        <f t="shared" si="86"/>
        <v>1.5</v>
      </c>
      <c r="AO72">
        <f t="shared" si="87"/>
        <v>1.5</v>
      </c>
      <c r="AP72">
        <f t="shared" si="88"/>
        <v>6</v>
      </c>
      <c r="AQ72">
        <v>402</v>
      </c>
      <c r="AR72">
        <v>3</v>
      </c>
      <c r="AU72" s="4" t="s">
        <v>117</v>
      </c>
      <c r="AV72">
        <f t="shared" si="90"/>
        <v>15.555555555555555</v>
      </c>
      <c r="AW72">
        <f t="shared" si="93"/>
        <v>1.5555555555555556</v>
      </c>
      <c r="AX72" s="19">
        <v>0</v>
      </c>
      <c r="AY72" s="19">
        <f t="shared" si="91"/>
        <v>4.6666666666666662E-3</v>
      </c>
      <c r="AZ72" s="19">
        <f t="shared" si="91"/>
        <v>1.3533333333333333E-2</v>
      </c>
      <c r="BA72" s="19">
        <f t="shared" si="91"/>
        <v>2.2866666666666664E-2</v>
      </c>
      <c r="BB72" s="19">
        <f t="shared" si="91"/>
        <v>2.7533333333333333E-2</v>
      </c>
      <c r="BC72" s="19">
        <f>($AV73+(BC$64-1)*$AW73)*$AV$63+$AX73</f>
        <v>5.5808000000000003E-2</v>
      </c>
      <c r="BD72" s="19">
        <f t="shared" si="91"/>
        <v>7.4199999999999988E-2</v>
      </c>
      <c r="BE72" s="19">
        <f t="shared" si="91"/>
        <v>9.7533333333333319E-2</v>
      </c>
      <c r="BF72" s="19">
        <f t="shared" si="91"/>
        <v>0.14419999999999999</v>
      </c>
      <c r="BG72" s="19">
        <v>0.25</v>
      </c>
      <c r="BH72">
        <f t="shared" si="92"/>
        <v>8558</v>
      </c>
      <c r="BO72" t="s">
        <v>176</v>
      </c>
      <c r="BP72" t="str">
        <f t="shared" si="94"/>
        <v>2</v>
      </c>
    </row>
    <row r="73" spans="1:68" x14ac:dyDescent="0.15">
      <c r="A73">
        <f t="shared" si="71"/>
        <v>3501073</v>
      </c>
      <c r="B73" s="5" t="s">
        <v>143</v>
      </c>
      <c r="C73">
        <v>7</v>
      </c>
      <c r="D73">
        <v>5</v>
      </c>
      <c r="E73">
        <v>3</v>
      </c>
      <c r="F73" s="22" t="s">
        <v>724</v>
      </c>
      <c r="G73" s="22" t="s">
        <v>724</v>
      </c>
      <c r="H73">
        <v>0</v>
      </c>
      <c r="I73" s="2" t="s">
        <v>144</v>
      </c>
      <c r="J73" s="2">
        <f t="shared" si="89"/>
        <v>6</v>
      </c>
      <c r="K73" s="2">
        <f t="shared" si="72"/>
        <v>1.6</v>
      </c>
      <c r="L73" s="2">
        <f t="shared" si="73"/>
        <v>2</v>
      </c>
      <c r="M73" s="2">
        <v>10</v>
      </c>
      <c r="N73" s="2">
        <f t="shared" si="74"/>
        <v>238.93</v>
      </c>
      <c r="O73" s="2">
        <f t="shared" si="75"/>
        <v>23.89</v>
      </c>
      <c r="P73" s="2">
        <f t="shared" si="76"/>
        <v>1371.43</v>
      </c>
      <c r="Q73" s="2">
        <f t="shared" si="77"/>
        <v>137.13999999999999</v>
      </c>
      <c r="R73" s="2">
        <f t="shared" si="78"/>
        <v>29.87</v>
      </c>
      <c r="S73" s="2">
        <f t="shared" si="79"/>
        <v>2.99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11">
        <v>345012</v>
      </c>
      <c r="Z73" s="12" t="s">
        <v>495</v>
      </c>
      <c r="AA73" s="4">
        <v>1</v>
      </c>
      <c r="AB73" s="4">
        <v>0</v>
      </c>
      <c r="AC73" s="4"/>
      <c r="AD73" s="4">
        <f t="shared" si="69"/>
        <v>7804.8050180428099</v>
      </c>
      <c r="AF73" s="1" t="str">
        <f t="shared" si="70"/>
        <v>1</v>
      </c>
      <c r="AG73">
        <v>7</v>
      </c>
      <c r="AH73">
        <f t="shared" si="80"/>
        <v>238.93333333333331</v>
      </c>
      <c r="AI73">
        <f t="shared" si="81"/>
        <v>23.893333333333331</v>
      </c>
      <c r="AJ73">
        <f t="shared" si="82"/>
        <v>1371.4285714285716</v>
      </c>
      <c r="AK73">
        <f t="shared" si="83"/>
        <v>137.14285714285717</v>
      </c>
      <c r="AL73">
        <f t="shared" si="84"/>
        <v>29.866666666666664</v>
      </c>
      <c r="AM73">
        <f t="shared" si="85"/>
        <v>2.9866666666666664</v>
      </c>
      <c r="AN73">
        <f t="shared" si="86"/>
        <v>1.6</v>
      </c>
      <c r="AO73">
        <f t="shared" si="87"/>
        <v>2</v>
      </c>
      <c r="AP73">
        <f t="shared" si="88"/>
        <v>6</v>
      </c>
      <c r="AQ73">
        <v>501</v>
      </c>
      <c r="AR73">
        <v>3</v>
      </c>
      <c r="AU73" s="4" t="s">
        <v>118</v>
      </c>
      <c r="AV73">
        <f t="shared" si="90"/>
        <v>17.06666666666667</v>
      </c>
      <c r="AW73">
        <f t="shared" si="93"/>
        <v>1.706666666666667</v>
      </c>
      <c r="AX73" s="19">
        <v>0</v>
      </c>
      <c r="AY73" s="19">
        <f t="shared" si="91"/>
        <v>5.1200000000000004E-3</v>
      </c>
      <c r="AZ73" s="19">
        <f t="shared" si="91"/>
        <v>1.4848000000000002E-2</v>
      </c>
      <c r="BA73" s="19">
        <f t="shared" si="91"/>
        <v>2.5088000000000006E-2</v>
      </c>
      <c r="BB73" s="19">
        <f t="shared" si="91"/>
        <v>3.0208000000000006E-2</v>
      </c>
      <c r="BC73" s="19">
        <f t="shared" si="91"/>
        <v>5.5808000000000003E-2</v>
      </c>
      <c r="BD73" s="19">
        <f t="shared" si="91"/>
        <v>8.1408000000000008E-2</v>
      </c>
      <c r="BE73" s="19">
        <f t="shared" si="91"/>
        <v>0.10700800000000001</v>
      </c>
      <c r="BF73" s="19">
        <f t="shared" si="91"/>
        <v>0.15820800000000002</v>
      </c>
      <c r="BG73" s="19">
        <v>0.25</v>
      </c>
      <c r="BH73">
        <f t="shared" si="92"/>
        <v>8417.92</v>
      </c>
      <c r="BO73" t="s">
        <v>178</v>
      </c>
      <c r="BP73" t="str">
        <f t="shared" si="94"/>
        <v>2</v>
      </c>
    </row>
    <row r="74" spans="1:68" x14ac:dyDescent="0.15">
      <c r="A74">
        <f t="shared" si="71"/>
        <v>3600073</v>
      </c>
      <c r="B74" s="5" t="s">
        <v>146</v>
      </c>
      <c r="C74">
        <v>7</v>
      </c>
      <c r="D74">
        <v>6</v>
      </c>
      <c r="E74">
        <v>3</v>
      </c>
      <c r="F74" s="22" t="s">
        <v>725</v>
      </c>
      <c r="G74" s="22" t="s">
        <v>725</v>
      </c>
      <c r="H74" s="2">
        <v>0</v>
      </c>
      <c r="I74" s="2" t="s">
        <v>147</v>
      </c>
      <c r="J74" s="2">
        <f t="shared" si="89"/>
        <v>3</v>
      </c>
      <c r="K74" s="2">
        <f t="shared" si="72"/>
        <v>1.4000000000000001</v>
      </c>
      <c r="L74" s="2">
        <f t="shared" si="73"/>
        <v>1.9000000000000001</v>
      </c>
      <c r="M74" s="2">
        <v>10</v>
      </c>
      <c r="N74" s="2">
        <f t="shared" si="74"/>
        <v>231.47</v>
      </c>
      <c r="O74" s="2">
        <f t="shared" si="75"/>
        <v>23.15</v>
      </c>
      <c r="P74" s="2">
        <f t="shared" si="76"/>
        <v>1238.71</v>
      </c>
      <c r="Q74" s="2">
        <f t="shared" si="77"/>
        <v>123.87</v>
      </c>
      <c r="R74" s="2">
        <f t="shared" si="78"/>
        <v>23.15</v>
      </c>
      <c r="S74" s="2">
        <f t="shared" si="79"/>
        <v>2.31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11">
        <v>346002</v>
      </c>
      <c r="Z74" s="12" t="s">
        <v>496</v>
      </c>
      <c r="AA74" s="4">
        <v>1</v>
      </c>
      <c r="AB74" s="4">
        <v>0</v>
      </c>
      <c r="AC74" s="4"/>
      <c r="AD74" s="4">
        <f t="shared" si="69"/>
        <v>7806.9288923324984</v>
      </c>
      <c r="AF74" s="1" t="str">
        <f t="shared" si="70"/>
        <v>0</v>
      </c>
      <c r="AG74">
        <v>7</v>
      </c>
      <c r="AH74">
        <f t="shared" si="80"/>
        <v>231.46666666666664</v>
      </c>
      <c r="AI74">
        <f t="shared" si="81"/>
        <v>23.146666666666665</v>
      </c>
      <c r="AJ74">
        <f t="shared" si="82"/>
        <v>1238.7096774193549</v>
      </c>
      <c r="AK74">
        <f t="shared" si="83"/>
        <v>123.87096774193549</v>
      </c>
      <c r="AL74">
        <f t="shared" si="84"/>
        <v>23.146666666666665</v>
      </c>
      <c r="AM74">
        <f t="shared" si="85"/>
        <v>2.3146666666666667</v>
      </c>
      <c r="AN74">
        <f t="shared" si="86"/>
        <v>1.4</v>
      </c>
      <c r="AO74">
        <f t="shared" si="87"/>
        <v>1.9</v>
      </c>
      <c r="AP74">
        <f t="shared" si="88"/>
        <v>3</v>
      </c>
      <c r="AQ74">
        <v>600</v>
      </c>
      <c r="AR74">
        <v>3</v>
      </c>
      <c r="AU74" s="4" t="s">
        <v>120</v>
      </c>
      <c r="AV74">
        <f t="shared" si="90"/>
        <v>14</v>
      </c>
      <c r="AW74">
        <f t="shared" si="93"/>
        <v>1.4000000000000001</v>
      </c>
      <c r="AX74" s="19">
        <v>0</v>
      </c>
      <c r="AY74" s="19">
        <f t="shared" si="91"/>
        <v>4.1999999999999997E-3</v>
      </c>
      <c r="AZ74" s="19">
        <f t="shared" si="91"/>
        <v>1.218E-2</v>
      </c>
      <c r="BA74" s="19">
        <f t="shared" si="91"/>
        <v>2.0580000000000001E-2</v>
      </c>
      <c r="BB74" s="19">
        <f t="shared" si="91"/>
        <v>2.478E-2</v>
      </c>
      <c r="BC74" s="19">
        <f t="shared" si="91"/>
        <v>4.5780000000000001E-2</v>
      </c>
      <c r="BD74" s="19">
        <f t="shared" si="91"/>
        <v>6.6780000000000006E-2</v>
      </c>
      <c r="BE74" s="19">
        <f t="shared" si="91"/>
        <v>8.7779999999999997E-2</v>
      </c>
      <c r="BF74" s="19">
        <f t="shared" si="91"/>
        <v>0.12978000000000001</v>
      </c>
      <c r="BG74" s="19">
        <v>0.25</v>
      </c>
      <c r="BH74">
        <f t="shared" si="92"/>
        <v>8702.2000000000007</v>
      </c>
      <c r="BO74" t="s">
        <v>180</v>
      </c>
      <c r="BP74" t="str">
        <f t="shared" si="94"/>
        <v>2</v>
      </c>
    </row>
    <row r="75" spans="1:68" x14ac:dyDescent="0.15">
      <c r="A75">
        <f t="shared" si="71"/>
        <v>3602071</v>
      </c>
      <c r="B75" s="5" t="s">
        <v>149</v>
      </c>
      <c r="C75">
        <v>7</v>
      </c>
      <c r="D75">
        <v>6</v>
      </c>
      <c r="E75">
        <v>1</v>
      </c>
      <c r="F75" s="22" t="s">
        <v>726</v>
      </c>
      <c r="G75" s="22" t="s">
        <v>726</v>
      </c>
      <c r="H75" t="s">
        <v>150</v>
      </c>
      <c r="I75" s="2" t="s">
        <v>151</v>
      </c>
      <c r="J75" s="2">
        <f t="shared" si="89"/>
        <v>6</v>
      </c>
      <c r="K75" s="2">
        <f t="shared" si="72"/>
        <v>1.8</v>
      </c>
      <c r="L75" s="2">
        <f t="shared" si="73"/>
        <v>2</v>
      </c>
      <c r="M75" s="2">
        <v>10</v>
      </c>
      <c r="N75" s="2">
        <f t="shared" si="74"/>
        <v>297.60000000000002</v>
      </c>
      <c r="O75" s="2">
        <f t="shared" si="75"/>
        <v>29.76</v>
      </c>
      <c r="P75" s="2">
        <f t="shared" si="76"/>
        <v>1238.71</v>
      </c>
      <c r="Q75" s="2">
        <f t="shared" si="77"/>
        <v>123.87</v>
      </c>
      <c r="R75" s="2">
        <f t="shared" si="78"/>
        <v>29.76</v>
      </c>
      <c r="S75" s="2">
        <f t="shared" si="79"/>
        <v>2.98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11">
        <v>346022</v>
      </c>
      <c r="Z75" s="12" t="s">
        <v>497</v>
      </c>
      <c r="AA75" s="4">
        <v>1</v>
      </c>
      <c r="AB75" s="4">
        <v>0</v>
      </c>
      <c r="AC75" s="4"/>
      <c r="AD75" s="4">
        <f t="shared" si="69"/>
        <v>7805.8967447999985</v>
      </c>
      <c r="AF75" s="1" t="str">
        <f t="shared" si="70"/>
        <v>2</v>
      </c>
      <c r="AG75">
        <v>7</v>
      </c>
      <c r="AH75">
        <f t="shared" si="80"/>
        <v>297.60000000000002</v>
      </c>
      <c r="AI75">
        <f t="shared" si="81"/>
        <v>29.760000000000005</v>
      </c>
      <c r="AJ75">
        <f t="shared" si="82"/>
        <v>1238.7096774193549</v>
      </c>
      <c r="AK75">
        <f t="shared" si="83"/>
        <v>123.87096774193549</v>
      </c>
      <c r="AL75">
        <f t="shared" si="84"/>
        <v>29.76</v>
      </c>
      <c r="AM75">
        <f t="shared" si="85"/>
        <v>2.9760000000000004</v>
      </c>
      <c r="AN75">
        <f t="shared" si="86"/>
        <v>1.8</v>
      </c>
      <c r="AO75">
        <f t="shared" si="87"/>
        <v>2</v>
      </c>
      <c r="AP75">
        <f t="shared" si="88"/>
        <v>6</v>
      </c>
      <c r="AQ75">
        <v>602</v>
      </c>
      <c r="AR75">
        <v>3</v>
      </c>
      <c r="AU75" s="4" t="s">
        <v>121</v>
      </c>
      <c r="AV75">
        <f t="shared" si="90"/>
        <v>15</v>
      </c>
      <c r="AW75">
        <f t="shared" si="93"/>
        <v>1.5</v>
      </c>
      <c r="AX75" s="19">
        <v>0</v>
      </c>
      <c r="AY75" s="19">
        <f t="shared" ref="AY75:BF80" si="95">($AV75+(AY$64-1)*$AW75)*$AV$63+$AX75</f>
        <v>4.4999999999999997E-3</v>
      </c>
      <c r="AZ75" s="19">
        <f t="shared" si="95"/>
        <v>1.3049999999999999E-2</v>
      </c>
      <c r="BA75" s="19">
        <f t="shared" si="95"/>
        <v>2.2049999999999997E-2</v>
      </c>
      <c r="BB75" s="19">
        <f t="shared" si="95"/>
        <v>2.6549999999999997E-2</v>
      </c>
      <c r="BC75" s="19">
        <f t="shared" si="95"/>
        <v>4.9049999999999996E-2</v>
      </c>
      <c r="BD75" s="19">
        <f t="shared" si="95"/>
        <v>7.1549999999999989E-2</v>
      </c>
      <c r="BE75" s="19">
        <f t="shared" si="95"/>
        <v>9.4049999999999995E-2</v>
      </c>
      <c r="BF75" s="19">
        <f t="shared" si="95"/>
        <v>0.13904999999999998</v>
      </c>
      <c r="BG75" s="19">
        <v>0.25</v>
      </c>
      <c r="BH75">
        <f t="shared" si="92"/>
        <v>8609.5</v>
      </c>
      <c r="BO75" t="s">
        <v>171</v>
      </c>
      <c r="BP75" t="str">
        <f t="shared" si="94"/>
        <v>1</v>
      </c>
    </row>
    <row r="76" spans="1:68" x14ac:dyDescent="0.15">
      <c r="A76">
        <f t="shared" si="71"/>
        <v>3300072</v>
      </c>
      <c r="B76" s="5" t="s">
        <v>153</v>
      </c>
      <c r="C76">
        <v>7</v>
      </c>
      <c r="D76">
        <v>3</v>
      </c>
      <c r="E76">
        <v>2</v>
      </c>
      <c r="F76" s="22" t="s">
        <v>727</v>
      </c>
      <c r="G76" s="22" t="s">
        <v>727</v>
      </c>
      <c r="H76" s="2">
        <v>0</v>
      </c>
      <c r="I76" s="2" t="s">
        <v>154</v>
      </c>
      <c r="J76" s="2">
        <v>6</v>
      </c>
      <c r="K76" s="2">
        <f t="shared" si="72"/>
        <v>1.3</v>
      </c>
      <c r="L76" s="2">
        <f t="shared" si="73"/>
        <v>1.9000000000000001</v>
      </c>
      <c r="M76" s="2">
        <v>10</v>
      </c>
      <c r="N76" s="2">
        <f t="shared" si="74"/>
        <v>124.8</v>
      </c>
      <c r="O76" s="2">
        <f t="shared" si="75"/>
        <v>12.48</v>
      </c>
      <c r="P76" s="2">
        <f t="shared" si="76"/>
        <v>2133.33</v>
      </c>
      <c r="Q76" s="2">
        <f t="shared" si="77"/>
        <v>213.33</v>
      </c>
      <c r="R76" s="2">
        <f t="shared" si="78"/>
        <v>24.96</v>
      </c>
      <c r="S76" s="2">
        <f t="shared" si="79"/>
        <v>2.5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11">
        <v>353002</v>
      </c>
      <c r="Z76" s="12" t="s">
        <v>498</v>
      </c>
      <c r="AA76" s="4">
        <v>1</v>
      </c>
      <c r="AB76" s="4">
        <v>0</v>
      </c>
      <c r="AC76" s="4"/>
      <c r="AD76" s="4">
        <f t="shared" si="69"/>
        <v>7805.8400111999999</v>
      </c>
      <c r="AF76" s="1" t="str">
        <f t="shared" si="70"/>
        <v>0</v>
      </c>
      <c r="AG76">
        <v>7</v>
      </c>
      <c r="AH76">
        <f t="shared" si="80"/>
        <v>124.80000000000003</v>
      </c>
      <c r="AI76">
        <f t="shared" si="81"/>
        <v>12.480000000000004</v>
      </c>
      <c r="AJ76">
        <f t="shared" si="82"/>
        <v>2133.3333333333335</v>
      </c>
      <c r="AK76">
        <f t="shared" si="83"/>
        <v>213.33333333333337</v>
      </c>
      <c r="AL76">
        <f t="shared" si="84"/>
        <v>24.960000000000004</v>
      </c>
      <c r="AM76">
        <f t="shared" si="85"/>
        <v>2.4960000000000004</v>
      </c>
      <c r="AN76">
        <f t="shared" si="86"/>
        <v>1.3</v>
      </c>
      <c r="AO76">
        <f t="shared" si="87"/>
        <v>1.9</v>
      </c>
      <c r="AP76">
        <f t="shared" si="88"/>
        <v>3</v>
      </c>
      <c r="AQ76">
        <v>300</v>
      </c>
      <c r="AR76">
        <v>3</v>
      </c>
      <c r="AU76" s="6" t="s">
        <v>122</v>
      </c>
      <c r="AV76">
        <f t="shared" si="90"/>
        <v>13.74814814814815</v>
      </c>
      <c r="AW76">
        <f t="shared" si="93"/>
        <v>1.3748148148148152</v>
      </c>
      <c r="AX76" s="19">
        <v>0</v>
      </c>
      <c r="AY76" s="19">
        <f t="shared" si="95"/>
        <v>4.1244444444444445E-3</v>
      </c>
      <c r="AZ76" s="19">
        <f t="shared" si="95"/>
        <v>1.1960888888888892E-2</v>
      </c>
      <c r="BA76" s="19">
        <f t="shared" si="95"/>
        <v>2.0209777777777778E-2</v>
      </c>
      <c r="BB76" s="19">
        <f t="shared" si="95"/>
        <v>2.4334222222222222E-2</v>
      </c>
      <c r="BC76" s="19">
        <f t="shared" si="95"/>
        <v>4.4956444444444452E-2</v>
      </c>
      <c r="BD76" s="19">
        <f t="shared" si="95"/>
        <v>6.5578666666666674E-2</v>
      </c>
      <c r="BE76" s="19">
        <f t="shared" si="95"/>
        <v>8.620088888888891E-2</v>
      </c>
      <c r="BF76" s="19">
        <f t="shared" si="95"/>
        <v>0.12744533333333335</v>
      </c>
      <c r="BG76" s="19">
        <v>0.25</v>
      </c>
      <c r="BH76">
        <f t="shared" si="92"/>
        <v>8725.5466666666653</v>
      </c>
      <c r="BO76" t="s">
        <v>169</v>
      </c>
      <c r="BP76" t="str">
        <f t="shared" si="94"/>
        <v>0</v>
      </c>
    </row>
    <row r="77" spans="1:68" x14ac:dyDescent="0.15">
      <c r="A77">
        <f t="shared" si="71"/>
        <v>3302073</v>
      </c>
      <c r="B77" s="5" t="s">
        <v>156</v>
      </c>
      <c r="C77">
        <v>7</v>
      </c>
      <c r="D77">
        <v>3</v>
      </c>
      <c r="E77">
        <v>3</v>
      </c>
      <c r="F77" s="22" t="s">
        <v>728</v>
      </c>
      <c r="G77" s="22" t="s">
        <v>728</v>
      </c>
      <c r="H77" s="2">
        <v>0</v>
      </c>
      <c r="I77" s="2" t="s">
        <v>157</v>
      </c>
      <c r="J77" s="2">
        <f t="shared" si="89"/>
        <v>3</v>
      </c>
      <c r="K77" s="2">
        <f t="shared" si="72"/>
        <v>1.4000000000000001</v>
      </c>
      <c r="L77" s="2">
        <f t="shared" si="73"/>
        <v>1.7</v>
      </c>
      <c r="M77" s="2">
        <v>10</v>
      </c>
      <c r="N77" s="2">
        <f t="shared" si="74"/>
        <v>134.4</v>
      </c>
      <c r="O77" s="2">
        <f t="shared" si="75"/>
        <v>13.44</v>
      </c>
      <c r="P77" s="2">
        <f t="shared" si="76"/>
        <v>2133.33</v>
      </c>
      <c r="Q77" s="2">
        <f t="shared" si="77"/>
        <v>213.33</v>
      </c>
      <c r="R77" s="2">
        <f t="shared" si="78"/>
        <v>26.88</v>
      </c>
      <c r="S77" s="2">
        <f t="shared" si="79"/>
        <v>2.69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11">
        <v>353022</v>
      </c>
      <c r="Z77" s="12" t="s">
        <v>499</v>
      </c>
      <c r="AA77" s="4">
        <v>1</v>
      </c>
      <c r="AB77" s="4">
        <v>0</v>
      </c>
      <c r="AC77" s="4"/>
      <c r="AD77" s="4">
        <f t="shared" si="69"/>
        <v>7805.8400112000008</v>
      </c>
      <c r="AF77" s="1" t="str">
        <f t="shared" si="70"/>
        <v>2</v>
      </c>
      <c r="AG77">
        <v>7</v>
      </c>
      <c r="AH77">
        <f t="shared" si="80"/>
        <v>134.4</v>
      </c>
      <c r="AI77">
        <f t="shared" si="81"/>
        <v>13.440000000000001</v>
      </c>
      <c r="AJ77">
        <f t="shared" si="82"/>
        <v>2133.3333333333335</v>
      </c>
      <c r="AK77">
        <f t="shared" si="83"/>
        <v>213.33333333333337</v>
      </c>
      <c r="AL77">
        <f t="shared" si="84"/>
        <v>26.880000000000003</v>
      </c>
      <c r="AM77">
        <f t="shared" si="85"/>
        <v>2.6880000000000006</v>
      </c>
      <c r="AN77">
        <f t="shared" si="86"/>
        <v>1.4</v>
      </c>
      <c r="AO77">
        <f t="shared" si="87"/>
        <v>1.7</v>
      </c>
      <c r="AP77">
        <f t="shared" si="88"/>
        <v>3</v>
      </c>
      <c r="AQ77">
        <v>302</v>
      </c>
      <c r="AR77">
        <v>3</v>
      </c>
      <c r="AU77" s="4" t="s">
        <v>123</v>
      </c>
      <c r="AV77">
        <f t="shared" si="90"/>
        <v>11.573333333333334</v>
      </c>
      <c r="AW77">
        <f t="shared" si="93"/>
        <v>1.1573333333333335</v>
      </c>
      <c r="AX77" s="19">
        <v>0</v>
      </c>
      <c r="AY77" s="19">
        <f t="shared" si="95"/>
        <v>3.4719999999999998E-3</v>
      </c>
      <c r="AZ77" s="19">
        <f t="shared" si="95"/>
        <v>1.0068800000000001E-2</v>
      </c>
      <c r="BA77" s="19">
        <f t="shared" si="95"/>
        <v>1.7012800000000002E-2</v>
      </c>
      <c r="BB77" s="19">
        <f t="shared" si="95"/>
        <v>2.0484800000000001E-2</v>
      </c>
      <c r="BC77" s="19">
        <f t="shared" si="95"/>
        <v>3.7844800000000005E-2</v>
      </c>
      <c r="BD77" s="19">
        <f t="shared" si="95"/>
        <v>5.5204799999999998E-2</v>
      </c>
      <c r="BE77" s="19">
        <f t="shared" si="95"/>
        <v>7.2564799999999999E-2</v>
      </c>
      <c r="BF77" s="19">
        <f t="shared" si="95"/>
        <v>0.1072848</v>
      </c>
      <c r="BG77" s="19">
        <v>0.25</v>
      </c>
      <c r="BH77">
        <f t="shared" si="92"/>
        <v>8927.152</v>
      </c>
      <c r="BO77" t="s">
        <v>141</v>
      </c>
      <c r="BP77" t="str">
        <f t="shared" si="94"/>
        <v>1</v>
      </c>
    </row>
    <row r="78" spans="1:68" x14ac:dyDescent="0.15">
      <c r="A78">
        <f t="shared" si="71"/>
        <v>3400072</v>
      </c>
      <c r="B78" s="5" t="s">
        <v>160</v>
      </c>
      <c r="C78">
        <v>7</v>
      </c>
      <c r="D78">
        <v>4</v>
      </c>
      <c r="E78">
        <v>2</v>
      </c>
      <c r="F78" s="22" t="s">
        <v>729</v>
      </c>
      <c r="G78" s="22" t="s">
        <v>729</v>
      </c>
      <c r="H78">
        <v>0</v>
      </c>
      <c r="I78" s="2" t="s">
        <v>161</v>
      </c>
      <c r="J78" s="2">
        <f t="shared" si="89"/>
        <v>6</v>
      </c>
      <c r="K78" s="2">
        <f t="shared" si="72"/>
        <v>1.4000000000000001</v>
      </c>
      <c r="L78" s="2">
        <f t="shared" si="73"/>
        <v>1.4000000000000001</v>
      </c>
      <c r="M78" s="2">
        <v>10</v>
      </c>
      <c r="N78" s="2">
        <f t="shared" si="74"/>
        <v>179.2</v>
      </c>
      <c r="O78" s="2">
        <f t="shared" si="75"/>
        <v>17.920000000000002</v>
      </c>
      <c r="P78" s="2">
        <f t="shared" si="76"/>
        <v>1600</v>
      </c>
      <c r="Q78" s="2">
        <f t="shared" si="77"/>
        <v>160</v>
      </c>
      <c r="R78" s="2">
        <f t="shared" si="78"/>
        <v>25.6</v>
      </c>
      <c r="S78" s="2">
        <f t="shared" si="79"/>
        <v>2.56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11">
        <v>354002</v>
      </c>
      <c r="Z78" s="12" t="s">
        <v>500</v>
      </c>
      <c r="AA78" s="4">
        <v>1</v>
      </c>
      <c r="AB78" s="4">
        <v>0</v>
      </c>
      <c r="AC78" s="4"/>
      <c r="AD78" s="4">
        <f t="shared" si="69"/>
        <v>7805.9520000000011</v>
      </c>
      <c r="AF78" s="1" t="str">
        <f t="shared" si="70"/>
        <v>0</v>
      </c>
      <c r="AG78">
        <v>7</v>
      </c>
      <c r="AH78">
        <f t="shared" si="80"/>
        <v>179.2</v>
      </c>
      <c r="AI78">
        <f t="shared" si="81"/>
        <v>17.919999999999998</v>
      </c>
      <c r="AJ78">
        <f t="shared" si="82"/>
        <v>1600</v>
      </c>
      <c r="AK78">
        <f t="shared" si="83"/>
        <v>160</v>
      </c>
      <c r="AL78">
        <f t="shared" si="84"/>
        <v>25.599999999999998</v>
      </c>
      <c r="AM78">
        <f t="shared" si="85"/>
        <v>2.56</v>
      </c>
      <c r="AN78">
        <f t="shared" si="86"/>
        <v>1.4</v>
      </c>
      <c r="AO78">
        <f t="shared" si="87"/>
        <v>1.4</v>
      </c>
      <c r="AP78">
        <f t="shared" si="88"/>
        <v>6</v>
      </c>
      <c r="AQ78">
        <v>400</v>
      </c>
      <c r="AR78">
        <v>3</v>
      </c>
      <c r="AU78" s="4" t="s">
        <v>124</v>
      </c>
      <c r="AV78">
        <f t="shared" si="90"/>
        <v>20.533333333333331</v>
      </c>
      <c r="AW78">
        <f t="shared" si="93"/>
        <v>2.0533333333333332</v>
      </c>
      <c r="AX78" s="19">
        <v>0</v>
      </c>
      <c r="AY78" s="19">
        <f t="shared" si="95"/>
        <v>6.1599999999999988E-3</v>
      </c>
      <c r="AZ78" s="19">
        <f t="shared" si="95"/>
        <v>1.7863999999999998E-2</v>
      </c>
      <c r="BA78" s="19">
        <f t="shared" si="95"/>
        <v>3.0183999999999996E-2</v>
      </c>
      <c r="BB78" s="19">
        <f t="shared" si="95"/>
        <v>3.6343999999999994E-2</v>
      </c>
      <c r="BC78" s="19">
        <f t="shared" si="95"/>
        <v>6.7143999999999995E-2</v>
      </c>
      <c r="BD78" s="19">
        <f t="shared" si="95"/>
        <v>9.7944000000000003E-2</v>
      </c>
      <c r="BE78" s="19">
        <f t="shared" si="95"/>
        <v>0.12874399999999997</v>
      </c>
      <c r="BF78" s="19">
        <f t="shared" si="95"/>
        <v>0.19034399999999996</v>
      </c>
      <c r="BG78" s="19">
        <v>0.25</v>
      </c>
      <c r="BH78">
        <f t="shared" si="92"/>
        <v>8096.56</v>
      </c>
      <c r="BO78" t="s">
        <v>182</v>
      </c>
      <c r="BP78" t="str">
        <f t="shared" si="94"/>
        <v>2</v>
      </c>
    </row>
    <row r="79" spans="1:68" x14ac:dyDescent="0.15">
      <c r="A79">
        <f t="shared" si="71"/>
        <v>3202081</v>
      </c>
      <c r="B79" s="5" t="s">
        <v>94</v>
      </c>
      <c r="C79">
        <v>8</v>
      </c>
      <c r="D79">
        <v>2</v>
      </c>
      <c r="E79">
        <v>1</v>
      </c>
      <c r="F79" t="s">
        <v>95</v>
      </c>
      <c r="G79" t="s">
        <v>95</v>
      </c>
      <c r="H79">
        <v>0</v>
      </c>
      <c r="I79" s="2" t="s">
        <v>96</v>
      </c>
      <c r="J79" s="2">
        <f t="shared" si="89"/>
        <v>3</v>
      </c>
      <c r="K79" s="2">
        <f t="shared" si="72"/>
        <v>1.8</v>
      </c>
      <c r="L79" s="2">
        <f t="shared" si="73"/>
        <v>2</v>
      </c>
      <c r="M79" s="2">
        <v>10</v>
      </c>
      <c r="N79" s="2">
        <f t="shared" si="74"/>
        <v>190.08</v>
      </c>
      <c r="O79" s="2">
        <f t="shared" si="75"/>
        <v>19.010000000000002</v>
      </c>
      <c r="P79" s="2">
        <f t="shared" si="76"/>
        <v>2346.67</v>
      </c>
      <c r="Q79" s="2">
        <f t="shared" si="77"/>
        <v>234.67</v>
      </c>
      <c r="R79" s="2">
        <f t="shared" si="78"/>
        <v>38.020000000000003</v>
      </c>
      <c r="S79" s="2">
        <f t="shared" si="79"/>
        <v>3.8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11">
        <v>312022</v>
      </c>
      <c r="Z79" s="12" t="s">
        <v>501</v>
      </c>
      <c r="AA79" s="4">
        <v>1</v>
      </c>
      <c r="AB79" s="4">
        <v>0</v>
      </c>
      <c r="AC79" s="4"/>
      <c r="AD79" s="4">
        <f t="shared" si="69"/>
        <v>9446.2285861299988</v>
      </c>
      <c r="AF79" s="1" t="str">
        <f t="shared" si="70"/>
        <v>2</v>
      </c>
      <c r="AG79">
        <v>8</v>
      </c>
      <c r="AH79">
        <f t="shared" si="80"/>
        <v>190.08000000000004</v>
      </c>
      <c r="AI79">
        <f t="shared" si="81"/>
        <v>19.008000000000006</v>
      </c>
      <c r="AJ79">
        <f t="shared" si="82"/>
        <v>2346.666666666667</v>
      </c>
      <c r="AK79">
        <f t="shared" si="83"/>
        <v>234.66666666666671</v>
      </c>
      <c r="AL79">
        <f t="shared" si="84"/>
        <v>38.016000000000005</v>
      </c>
      <c r="AM79">
        <f t="shared" si="85"/>
        <v>3.8016000000000005</v>
      </c>
      <c r="AN79">
        <f t="shared" si="86"/>
        <v>1.8</v>
      </c>
      <c r="AO79">
        <f t="shared" si="87"/>
        <v>2</v>
      </c>
      <c r="AP79">
        <f t="shared" si="88"/>
        <v>3</v>
      </c>
      <c r="AQ79">
        <v>202</v>
      </c>
      <c r="AR79">
        <v>3</v>
      </c>
      <c r="AU79" s="4" t="s">
        <v>126</v>
      </c>
      <c r="AV79">
        <f t="shared" si="90"/>
        <v>24</v>
      </c>
      <c r="AW79">
        <f t="shared" si="93"/>
        <v>2.4000000000000004</v>
      </c>
      <c r="AX79" s="19">
        <v>0</v>
      </c>
      <c r="AY79" s="19">
        <f t="shared" si="95"/>
        <v>7.1999999999999998E-3</v>
      </c>
      <c r="AZ79" s="19">
        <f t="shared" si="95"/>
        <v>2.0879999999999999E-2</v>
      </c>
      <c r="BA79" s="19">
        <f t="shared" si="95"/>
        <v>3.5279999999999999E-2</v>
      </c>
      <c r="BB79" s="19">
        <f t="shared" si="95"/>
        <v>4.2480000000000004E-2</v>
      </c>
      <c r="BC79" s="19">
        <f t="shared" si="95"/>
        <v>7.8479999999999994E-2</v>
      </c>
      <c r="BD79" s="19">
        <f t="shared" si="95"/>
        <v>0.11448000000000001</v>
      </c>
      <c r="BE79" s="19">
        <f t="shared" si="95"/>
        <v>0.15048</v>
      </c>
      <c r="BF79" s="19">
        <f t="shared" si="95"/>
        <v>0.22248000000000001</v>
      </c>
      <c r="BG79" s="19">
        <v>0.25</v>
      </c>
      <c r="BH79">
        <f t="shared" si="92"/>
        <v>7775.2</v>
      </c>
      <c r="BO79" t="s">
        <v>184</v>
      </c>
      <c r="BP79" t="str">
        <f t="shared" si="94"/>
        <v>0</v>
      </c>
    </row>
    <row r="80" spans="1:68" x14ac:dyDescent="0.15">
      <c r="A80">
        <f t="shared" si="71"/>
        <v>3301081</v>
      </c>
      <c r="B80" s="5" t="s">
        <v>98</v>
      </c>
      <c r="C80">
        <v>8</v>
      </c>
      <c r="D80">
        <v>3</v>
      </c>
      <c r="E80">
        <v>1</v>
      </c>
      <c r="F80" t="s">
        <v>99</v>
      </c>
      <c r="G80" t="s">
        <v>99</v>
      </c>
      <c r="H80" s="2">
        <v>0</v>
      </c>
      <c r="I80" s="2" t="s">
        <v>100</v>
      </c>
      <c r="J80" s="2">
        <f t="shared" si="89"/>
        <v>3</v>
      </c>
      <c r="K80" s="2">
        <f t="shared" si="72"/>
        <v>1.2</v>
      </c>
      <c r="L80" s="2">
        <f t="shared" si="73"/>
        <v>2</v>
      </c>
      <c r="M80" s="2">
        <v>10</v>
      </c>
      <c r="N80" s="2">
        <f t="shared" si="74"/>
        <v>126.72</v>
      </c>
      <c r="O80" s="2">
        <f t="shared" si="75"/>
        <v>12.67</v>
      </c>
      <c r="P80" s="2">
        <f t="shared" si="76"/>
        <v>2346.67</v>
      </c>
      <c r="Q80" s="2">
        <f t="shared" si="77"/>
        <v>234.67</v>
      </c>
      <c r="R80" s="2">
        <f t="shared" si="78"/>
        <v>25.34</v>
      </c>
      <c r="S80" s="2">
        <f t="shared" si="79"/>
        <v>2.5299999999999998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11">
        <v>313012</v>
      </c>
      <c r="Z80" s="12" t="s">
        <v>502</v>
      </c>
      <c r="AA80" s="4">
        <v>1</v>
      </c>
      <c r="AB80" s="4">
        <v>0</v>
      </c>
      <c r="AC80" s="4"/>
      <c r="AD80" s="4">
        <f t="shared" si="69"/>
        <v>9443.9698900050007</v>
      </c>
      <c r="AF80" s="1" t="str">
        <f t="shared" si="70"/>
        <v>1</v>
      </c>
      <c r="AG80">
        <v>8</v>
      </c>
      <c r="AH80">
        <f t="shared" si="80"/>
        <v>126.72000000000003</v>
      </c>
      <c r="AI80">
        <f t="shared" si="81"/>
        <v>12.672000000000004</v>
      </c>
      <c r="AJ80">
        <f t="shared" si="82"/>
        <v>2346.666666666667</v>
      </c>
      <c r="AK80">
        <f t="shared" si="83"/>
        <v>234.66666666666671</v>
      </c>
      <c r="AL80">
        <f t="shared" si="84"/>
        <v>25.344000000000005</v>
      </c>
      <c r="AM80">
        <f t="shared" si="85"/>
        <v>2.5344000000000007</v>
      </c>
      <c r="AN80">
        <f t="shared" si="86"/>
        <v>1.2</v>
      </c>
      <c r="AO80">
        <f t="shared" si="87"/>
        <v>2</v>
      </c>
      <c r="AP80">
        <f t="shared" si="88"/>
        <v>3</v>
      </c>
      <c r="AQ80">
        <v>301</v>
      </c>
      <c r="AR80">
        <v>3</v>
      </c>
      <c r="AU80" s="4" t="s">
        <v>127</v>
      </c>
      <c r="AV80">
        <f t="shared" si="90"/>
        <v>19.2</v>
      </c>
      <c r="AW80">
        <f t="shared" si="93"/>
        <v>1.92</v>
      </c>
      <c r="AX80" s="19">
        <v>0</v>
      </c>
      <c r="AY80" s="19">
        <f t="shared" si="95"/>
        <v>5.7599999999999995E-3</v>
      </c>
      <c r="AZ80" s="19">
        <f t="shared" si="95"/>
        <v>1.6703999999999997E-2</v>
      </c>
      <c r="BA80" s="19">
        <f t="shared" si="95"/>
        <v>2.8223999999999996E-2</v>
      </c>
      <c r="BB80" s="19">
        <f t="shared" si="95"/>
        <v>3.3984E-2</v>
      </c>
      <c r="BC80" s="19">
        <f t="shared" si="95"/>
        <v>6.2783999999999993E-2</v>
      </c>
      <c r="BD80" s="19">
        <f t="shared" si="95"/>
        <v>9.1583999999999985E-2</v>
      </c>
      <c r="BE80" s="19">
        <f t="shared" si="95"/>
        <v>0.12038399999999998</v>
      </c>
      <c r="BF80" s="19">
        <f t="shared" si="95"/>
        <v>0.17798399999999998</v>
      </c>
      <c r="BG80" s="19">
        <v>0.25</v>
      </c>
      <c r="BH80">
        <f t="shared" si="92"/>
        <v>8220.1600000000017</v>
      </c>
      <c r="BO80" t="s">
        <v>186</v>
      </c>
      <c r="BP80" t="str">
        <f t="shared" si="94"/>
        <v>0</v>
      </c>
    </row>
    <row r="81" spans="1:68" x14ac:dyDescent="0.15">
      <c r="A81">
        <f t="shared" si="71"/>
        <v>3502081</v>
      </c>
      <c r="B81" s="5" t="s">
        <v>111</v>
      </c>
      <c r="C81">
        <v>8</v>
      </c>
      <c r="D81">
        <v>5</v>
      </c>
      <c r="E81">
        <v>1</v>
      </c>
      <c r="F81" t="s">
        <v>112</v>
      </c>
      <c r="G81" t="s">
        <v>112</v>
      </c>
      <c r="H81" s="2">
        <v>0</v>
      </c>
      <c r="I81" s="2" t="s">
        <v>113</v>
      </c>
      <c r="J81" s="2">
        <f t="shared" si="89"/>
        <v>6</v>
      </c>
      <c r="K81" s="2">
        <f t="shared" si="72"/>
        <v>1.4000000000000001</v>
      </c>
      <c r="L81" s="2">
        <f t="shared" si="73"/>
        <v>2</v>
      </c>
      <c r="M81" s="2">
        <v>10</v>
      </c>
      <c r="N81" s="2">
        <f t="shared" si="74"/>
        <v>229.97</v>
      </c>
      <c r="O81" s="2">
        <f t="shared" si="75"/>
        <v>23</v>
      </c>
      <c r="P81" s="2">
        <f t="shared" si="76"/>
        <v>1508.57</v>
      </c>
      <c r="Q81" s="2">
        <f t="shared" si="77"/>
        <v>150.86000000000001</v>
      </c>
      <c r="R81" s="2">
        <f t="shared" si="78"/>
        <v>28.75</v>
      </c>
      <c r="S81" s="2">
        <f t="shared" si="79"/>
        <v>2.87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11">
        <v>315022</v>
      </c>
      <c r="Z81" s="12" t="s">
        <v>503</v>
      </c>
      <c r="AA81" s="4">
        <v>1</v>
      </c>
      <c r="AB81" s="4">
        <v>0</v>
      </c>
      <c r="AC81" s="4"/>
      <c r="AD81" s="4">
        <f t="shared" ref="AD81:AD130" si="96">(N81+O81*$AD$2)*(P81+Q81*$AD$2)/K81*0.945/3000</f>
        <v>9446.346959152499</v>
      </c>
      <c r="AF81" s="1" t="str">
        <f t="shared" si="70"/>
        <v>2</v>
      </c>
      <c r="AG81">
        <v>8</v>
      </c>
      <c r="AH81">
        <f t="shared" si="80"/>
        <v>229.97333333333333</v>
      </c>
      <c r="AI81">
        <f t="shared" si="81"/>
        <v>22.997333333333334</v>
      </c>
      <c r="AJ81">
        <f t="shared" si="82"/>
        <v>1508.5714285714289</v>
      </c>
      <c r="AK81">
        <f t="shared" si="83"/>
        <v>150.85714285714289</v>
      </c>
      <c r="AL81">
        <f t="shared" si="84"/>
        <v>28.746666666666666</v>
      </c>
      <c r="AM81">
        <f t="shared" si="85"/>
        <v>2.8746666666666667</v>
      </c>
      <c r="AN81">
        <f t="shared" si="86"/>
        <v>1.4</v>
      </c>
      <c r="AO81">
        <f t="shared" si="87"/>
        <v>2</v>
      </c>
      <c r="AP81">
        <f t="shared" si="88"/>
        <v>6</v>
      </c>
      <c r="AQ81">
        <v>502</v>
      </c>
      <c r="AR81">
        <v>3</v>
      </c>
      <c r="BO81" t="s">
        <v>159</v>
      </c>
      <c r="BP81" t="str">
        <f t="shared" si="94"/>
        <v>1</v>
      </c>
    </row>
    <row r="82" spans="1:68" x14ac:dyDescent="0.15">
      <c r="A82">
        <f t="shared" si="71"/>
        <v>3201082</v>
      </c>
      <c r="B82" s="5" t="s">
        <v>91</v>
      </c>
      <c r="C82">
        <v>8</v>
      </c>
      <c r="D82">
        <v>2</v>
      </c>
      <c r="E82">
        <v>2</v>
      </c>
      <c r="F82" t="s">
        <v>119</v>
      </c>
      <c r="G82" t="s">
        <v>119</v>
      </c>
      <c r="H82">
        <v>0</v>
      </c>
      <c r="I82" s="4" t="s">
        <v>92</v>
      </c>
      <c r="J82" s="2">
        <f t="shared" si="89"/>
        <v>3</v>
      </c>
      <c r="K82" s="2">
        <f t="shared" si="72"/>
        <v>1.8</v>
      </c>
      <c r="L82" s="2">
        <f t="shared" si="73"/>
        <v>1.8</v>
      </c>
      <c r="M82" s="2">
        <v>10</v>
      </c>
      <c r="N82" s="2">
        <f t="shared" si="74"/>
        <v>168.96</v>
      </c>
      <c r="O82" s="2">
        <f t="shared" si="75"/>
        <v>16.899999999999999</v>
      </c>
      <c r="P82" s="2">
        <f t="shared" si="76"/>
        <v>2640</v>
      </c>
      <c r="Q82" s="2">
        <f t="shared" si="77"/>
        <v>264</v>
      </c>
      <c r="R82" s="2">
        <f t="shared" si="78"/>
        <v>56.32</v>
      </c>
      <c r="S82" s="2">
        <f t="shared" si="79"/>
        <v>5.63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11">
        <v>322012</v>
      </c>
      <c r="Z82" s="12" t="s">
        <v>504</v>
      </c>
      <c r="AA82" s="4">
        <v>1</v>
      </c>
      <c r="AB82" s="4">
        <v>0</v>
      </c>
      <c r="AC82" s="4"/>
      <c r="AD82" s="4">
        <f t="shared" si="96"/>
        <v>9447.2347199999967</v>
      </c>
      <c r="AF82" s="1" t="str">
        <f t="shared" si="70"/>
        <v>1</v>
      </c>
      <c r="AG82">
        <v>8</v>
      </c>
      <c r="AH82">
        <f t="shared" si="80"/>
        <v>168.96000000000004</v>
      </c>
      <c r="AI82">
        <f t="shared" si="81"/>
        <v>16.896000000000004</v>
      </c>
      <c r="AJ82">
        <f t="shared" si="82"/>
        <v>2640</v>
      </c>
      <c r="AK82">
        <f t="shared" si="83"/>
        <v>264</v>
      </c>
      <c r="AL82">
        <f t="shared" si="84"/>
        <v>56.320000000000014</v>
      </c>
      <c r="AM82">
        <f t="shared" si="85"/>
        <v>5.6320000000000014</v>
      </c>
      <c r="AN82">
        <f t="shared" si="86"/>
        <v>1.8</v>
      </c>
      <c r="AO82">
        <f t="shared" si="87"/>
        <v>1.8</v>
      </c>
      <c r="AP82">
        <f t="shared" si="88"/>
        <v>3</v>
      </c>
      <c r="AQ82">
        <v>201</v>
      </c>
      <c r="AR82">
        <v>3</v>
      </c>
      <c r="BO82" t="s">
        <v>188</v>
      </c>
      <c r="BP82" t="str">
        <f t="shared" si="94"/>
        <v>0</v>
      </c>
    </row>
    <row r="83" spans="1:68" x14ac:dyDescent="0.15">
      <c r="A83">
        <f t="shared" si="71"/>
        <v>3500082</v>
      </c>
      <c r="B83" s="5" t="s">
        <v>108</v>
      </c>
      <c r="C83">
        <v>8</v>
      </c>
      <c r="D83">
        <v>5</v>
      </c>
      <c r="E83">
        <v>2</v>
      </c>
      <c r="F83" t="s">
        <v>125</v>
      </c>
      <c r="G83" t="s">
        <v>125</v>
      </c>
      <c r="H83" s="2">
        <v>0</v>
      </c>
      <c r="I83" s="2" t="s">
        <v>109</v>
      </c>
      <c r="J83" s="2">
        <f t="shared" si="89"/>
        <v>6</v>
      </c>
      <c r="K83" s="2">
        <f t="shared" si="72"/>
        <v>1.5</v>
      </c>
      <c r="L83" s="2">
        <f t="shared" si="73"/>
        <v>1.5</v>
      </c>
      <c r="M83" s="2">
        <v>10</v>
      </c>
      <c r="N83" s="2">
        <f t="shared" si="74"/>
        <v>246.4</v>
      </c>
      <c r="O83" s="2">
        <f t="shared" si="75"/>
        <v>24.64</v>
      </c>
      <c r="P83" s="2">
        <f t="shared" si="76"/>
        <v>1508.57</v>
      </c>
      <c r="Q83" s="2">
        <f t="shared" si="77"/>
        <v>150.86000000000001</v>
      </c>
      <c r="R83" s="2">
        <f t="shared" si="78"/>
        <v>30.8</v>
      </c>
      <c r="S83" s="2">
        <f t="shared" si="79"/>
        <v>3.08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11">
        <v>325002</v>
      </c>
      <c r="Z83" s="12" t="s">
        <v>505</v>
      </c>
      <c r="AA83" s="4">
        <v>1</v>
      </c>
      <c r="AB83" s="4">
        <v>0</v>
      </c>
      <c r="AC83" s="4"/>
      <c r="AD83" s="4">
        <f t="shared" si="96"/>
        <v>9445.3637308800025</v>
      </c>
      <c r="AF83" s="1" t="str">
        <f t="shared" si="70"/>
        <v>0</v>
      </c>
      <c r="AG83">
        <v>8</v>
      </c>
      <c r="AH83">
        <f t="shared" si="80"/>
        <v>246.39999999999995</v>
      </c>
      <c r="AI83">
        <f t="shared" si="81"/>
        <v>24.639999999999997</v>
      </c>
      <c r="AJ83">
        <f t="shared" si="82"/>
        <v>1508.5714285714289</v>
      </c>
      <c r="AK83">
        <f t="shared" si="83"/>
        <v>150.85714285714289</v>
      </c>
      <c r="AL83">
        <f t="shared" si="84"/>
        <v>30.799999999999994</v>
      </c>
      <c r="AM83">
        <f t="shared" si="85"/>
        <v>3.0799999999999996</v>
      </c>
      <c r="AN83">
        <f t="shared" si="86"/>
        <v>1.5</v>
      </c>
      <c r="AO83">
        <f t="shared" si="87"/>
        <v>1.5</v>
      </c>
      <c r="AP83">
        <f t="shared" si="88"/>
        <v>6</v>
      </c>
      <c r="AQ83">
        <v>500</v>
      </c>
      <c r="AR83">
        <v>3</v>
      </c>
      <c r="AU83" s="6" t="s">
        <v>201</v>
      </c>
      <c r="AV83">
        <v>1</v>
      </c>
      <c r="AW83" s="2">
        <v>2</v>
      </c>
      <c r="AX83" s="2">
        <v>3</v>
      </c>
      <c r="AY83" s="2">
        <v>4</v>
      </c>
      <c r="AZ83" s="2">
        <v>5</v>
      </c>
      <c r="BA83" s="2">
        <v>6</v>
      </c>
      <c r="BB83" s="2">
        <v>7</v>
      </c>
      <c r="BC83" s="2">
        <v>8</v>
      </c>
      <c r="BD83" s="2">
        <v>9</v>
      </c>
      <c r="BE83" s="2">
        <v>10</v>
      </c>
      <c r="BF83" s="2">
        <v>11</v>
      </c>
      <c r="BG83" s="2">
        <v>12</v>
      </c>
      <c r="BH83" s="2">
        <v>13</v>
      </c>
      <c r="BI83" s="2">
        <v>14</v>
      </c>
      <c r="BO83" t="s">
        <v>136</v>
      </c>
      <c r="BP83" t="str">
        <f t="shared" si="94"/>
        <v>1</v>
      </c>
    </row>
    <row r="84" spans="1:68" x14ac:dyDescent="0.15">
      <c r="A84">
        <f t="shared" si="71"/>
        <v>3601082</v>
      </c>
      <c r="B84" s="5" t="s">
        <v>115</v>
      </c>
      <c r="C84">
        <v>8</v>
      </c>
      <c r="D84">
        <v>6</v>
      </c>
      <c r="E84">
        <v>2</v>
      </c>
      <c r="F84" t="s">
        <v>128</v>
      </c>
      <c r="G84" t="s">
        <v>128</v>
      </c>
      <c r="H84" s="2">
        <v>0</v>
      </c>
      <c r="I84" s="2" t="s">
        <v>116</v>
      </c>
      <c r="J84" s="2">
        <f t="shared" si="89"/>
        <v>6</v>
      </c>
      <c r="K84" s="2">
        <f t="shared" si="72"/>
        <v>1.5</v>
      </c>
      <c r="L84" s="2">
        <f t="shared" si="73"/>
        <v>2</v>
      </c>
      <c r="M84" s="2">
        <v>10</v>
      </c>
      <c r="N84" s="2">
        <f t="shared" si="74"/>
        <v>272.8</v>
      </c>
      <c r="O84" s="2">
        <f t="shared" si="75"/>
        <v>27.28</v>
      </c>
      <c r="P84" s="2">
        <f t="shared" si="76"/>
        <v>1362.58</v>
      </c>
      <c r="Q84" s="2">
        <f t="shared" si="77"/>
        <v>136.26</v>
      </c>
      <c r="R84" s="2">
        <f t="shared" si="78"/>
        <v>27.28</v>
      </c>
      <c r="S84" s="2">
        <f t="shared" si="79"/>
        <v>2.73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11">
        <v>326012</v>
      </c>
      <c r="Z84" s="12" t="s">
        <v>506</v>
      </c>
      <c r="AA84" s="4">
        <v>1</v>
      </c>
      <c r="AB84" s="4">
        <v>0</v>
      </c>
      <c r="AC84" s="4"/>
      <c r="AD84" s="4">
        <f t="shared" si="96"/>
        <v>9445.3234814399984</v>
      </c>
      <c r="AF84" s="1" t="str">
        <f t="shared" si="70"/>
        <v>1</v>
      </c>
      <c r="AG84">
        <v>8</v>
      </c>
      <c r="AH84">
        <f t="shared" si="80"/>
        <v>272.8</v>
      </c>
      <c r="AI84">
        <f t="shared" si="81"/>
        <v>27.28</v>
      </c>
      <c r="AJ84">
        <f t="shared" si="82"/>
        <v>1362.5806451612905</v>
      </c>
      <c r="AK84">
        <f t="shared" si="83"/>
        <v>136.25806451612905</v>
      </c>
      <c r="AL84">
        <f t="shared" si="84"/>
        <v>27.28</v>
      </c>
      <c r="AM84">
        <f t="shared" si="85"/>
        <v>2.7280000000000002</v>
      </c>
      <c r="AN84">
        <f t="shared" si="86"/>
        <v>1.5</v>
      </c>
      <c r="AO84">
        <f t="shared" si="87"/>
        <v>2</v>
      </c>
      <c r="AP84">
        <f t="shared" si="88"/>
        <v>6</v>
      </c>
      <c r="AQ84">
        <v>601</v>
      </c>
      <c r="AR84">
        <v>3</v>
      </c>
      <c r="AV84">
        <v>1.5</v>
      </c>
      <c r="AW84" s="2">
        <v>1.6</v>
      </c>
      <c r="AX84">
        <v>1.7</v>
      </c>
      <c r="AY84">
        <v>1.8</v>
      </c>
      <c r="AZ84" s="2">
        <v>1.9</v>
      </c>
      <c r="BA84">
        <v>2</v>
      </c>
      <c r="BB84">
        <v>2.2000000000000002</v>
      </c>
      <c r="BC84">
        <v>3.4</v>
      </c>
      <c r="BD84">
        <v>2.6</v>
      </c>
      <c r="BE84">
        <v>2.8</v>
      </c>
      <c r="BF84">
        <v>3</v>
      </c>
      <c r="BG84">
        <v>3.2</v>
      </c>
      <c r="BH84">
        <v>3.4</v>
      </c>
      <c r="BI84">
        <v>3.6</v>
      </c>
      <c r="BO84" t="s">
        <v>178</v>
      </c>
      <c r="BP84" t="str">
        <f t="shared" si="94"/>
        <v>2</v>
      </c>
    </row>
    <row r="85" spans="1:68" x14ac:dyDescent="0.15">
      <c r="A85">
        <f t="shared" si="71"/>
        <v>3200083</v>
      </c>
      <c r="B85" s="5" t="s">
        <v>77</v>
      </c>
      <c r="C85">
        <v>8</v>
      </c>
      <c r="D85">
        <v>2</v>
      </c>
      <c r="E85">
        <v>3</v>
      </c>
      <c r="F85" t="s">
        <v>130</v>
      </c>
      <c r="G85" t="s">
        <v>130</v>
      </c>
      <c r="H85">
        <v>0</v>
      </c>
      <c r="I85" s="2" t="s">
        <v>78</v>
      </c>
      <c r="J85" s="2">
        <f t="shared" si="89"/>
        <v>3</v>
      </c>
      <c r="K85" s="2">
        <f t="shared" si="72"/>
        <v>1.5</v>
      </c>
      <c r="L85" s="2">
        <f t="shared" si="73"/>
        <v>1.2</v>
      </c>
      <c r="M85" s="2">
        <v>10</v>
      </c>
      <c r="N85" s="2">
        <f t="shared" si="74"/>
        <v>176</v>
      </c>
      <c r="O85" s="2">
        <f t="shared" si="75"/>
        <v>17.600000000000001</v>
      </c>
      <c r="P85" s="2">
        <f t="shared" si="76"/>
        <v>2112</v>
      </c>
      <c r="Q85" s="2">
        <f t="shared" si="77"/>
        <v>211.2</v>
      </c>
      <c r="R85" s="2">
        <f t="shared" si="78"/>
        <v>44</v>
      </c>
      <c r="S85" s="2">
        <f t="shared" si="79"/>
        <v>4.4000000000000004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11">
        <v>332002</v>
      </c>
      <c r="Z85" s="12" t="s">
        <v>507</v>
      </c>
      <c r="AA85" s="4">
        <v>1</v>
      </c>
      <c r="AB85" s="4">
        <v>0</v>
      </c>
      <c r="AC85" s="4"/>
      <c r="AD85" s="4">
        <f t="shared" si="96"/>
        <v>9445.2019200000013</v>
      </c>
      <c r="AF85" s="1" t="str">
        <f t="shared" si="70"/>
        <v>0</v>
      </c>
      <c r="AG85">
        <v>8</v>
      </c>
      <c r="AH85">
        <f t="shared" si="80"/>
        <v>176</v>
      </c>
      <c r="AI85">
        <f t="shared" si="81"/>
        <v>17.600000000000001</v>
      </c>
      <c r="AJ85">
        <f t="shared" si="82"/>
        <v>2112</v>
      </c>
      <c r="AK85">
        <f t="shared" si="83"/>
        <v>211.20000000000002</v>
      </c>
      <c r="AL85">
        <f t="shared" si="84"/>
        <v>44</v>
      </c>
      <c r="AM85">
        <f t="shared" si="85"/>
        <v>4.4000000000000004</v>
      </c>
      <c r="AN85">
        <f t="shared" si="86"/>
        <v>1.5</v>
      </c>
      <c r="AO85">
        <f t="shared" si="87"/>
        <v>1.2</v>
      </c>
      <c r="AP85">
        <f t="shared" si="88"/>
        <v>3</v>
      </c>
      <c r="AQ85">
        <v>200</v>
      </c>
      <c r="AR85">
        <v>3</v>
      </c>
      <c r="BO85" t="s">
        <v>167</v>
      </c>
      <c r="BP85" t="str">
        <f t="shared" si="94"/>
        <v>1</v>
      </c>
    </row>
    <row r="86" spans="1:68" x14ac:dyDescent="0.15">
      <c r="A86">
        <f t="shared" si="71"/>
        <v>3401081</v>
      </c>
      <c r="B86" s="5" t="s">
        <v>102</v>
      </c>
      <c r="C86">
        <v>8</v>
      </c>
      <c r="D86">
        <v>4</v>
      </c>
      <c r="E86">
        <v>1</v>
      </c>
      <c r="F86" s="22" t="s">
        <v>723</v>
      </c>
      <c r="G86" s="22" t="s">
        <v>723</v>
      </c>
      <c r="H86">
        <v>0</v>
      </c>
      <c r="I86" s="2" t="s">
        <v>103</v>
      </c>
      <c r="J86" s="2">
        <f t="shared" si="89"/>
        <v>6</v>
      </c>
      <c r="K86" s="2">
        <f t="shared" si="72"/>
        <v>1.6</v>
      </c>
      <c r="L86" s="2">
        <f t="shared" si="73"/>
        <v>2</v>
      </c>
      <c r="M86" s="2">
        <v>10</v>
      </c>
      <c r="N86" s="2">
        <f t="shared" si="74"/>
        <v>225.28</v>
      </c>
      <c r="O86" s="2">
        <f t="shared" si="75"/>
        <v>22.53</v>
      </c>
      <c r="P86" s="2">
        <f t="shared" si="76"/>
        <v>1760</v>
      </c>
      <c r="Q86" s="2">
        <f t="shared" si="77"/>
        <v>176</v>
      </c>
      <c r="R86" s="2">
        <f t="shared" si="78"/>
        <v>32.18</v>
      </c>
      <c r="S86" s="2">
        <f t="shared" si="79"/>
        <v>3.22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11">
        <v>334012</v>
      </c>
      <c r="Z86" s="12" t="s">
        <v>508</v>
      </c>
      <c r="AA86" s="4">
        <v>1</v>
      </c>
      <c r="AB86" s="4">
        <v>0</v>
      </c>
      <c r="AC86" s="4"/>
      <c r="AD86" s="4">
        <f t="shared" si="96"/>
        <v>9445.9642199999998</v>
      </c>
      <c r="AF86" s="1" t="str">
        <f t="shared" si="70"/>
        <v>1</v>
      </c>
      <c r="AG86">
        <v>8</v>
      </c>
      <c r="AH86">
        <f t="shared" si="80"/>
        <v>225.28000000000003</v>
      </c>
      <c r="AI86">
        <f t="shared" si="81"/>
        <v>22.528000000000006</v>
      </c>
      <c r="AJ86">
        <f t="shared" si="82"/>
        <v>1760.0000000000002</v>
      </c>
      <c r="AK86">
        <f t="shared" si="83"/>
        <v>176.00000000000003</v>
      </c>
      <c r="AL86">
        <f t="shared" si="84"/>
        <v>32.182857142857145</v>
      </c>
      <c r="AM86">
        <f t="shared" si="85"/>
        <v>3.2182857142857149</v>
      </c>
      <c r="AN86">
        <f t="shared" si="86"/>
        <v>1.6</v>
      </c>
      <c r="AO86">
        <f t="shared" si="87"/>
        <v>2</v>
      </c>
      <c r="AP86">
        <f t="shared" si="88"/>
        <v>6</v>
      </c>
      <c r="AQ86">
        <v>401</v>
      </c>
      <c r="AR86">
        <v>3</v>
      </c>
      <c r="AU86" s="6" t="s">
        <v>202</v>
      </c>
      <c r="AV86">
        <v>1</v>
      </c>
      <c r="AW86" s="2">
        <v>2</v>
      </c>
      <c r="AX86" s="2">
        <v>3</v>
      </c>
      <c r="AY86" s="2">
        <v>4</v>
      </c>
      <c r="AZ86" s="2">
        <v>5</v>
      </c>
      <c r="BA86" s="2">
        <v>6</v>
      </c>
      <c r="BB86" s="2">
        <v>7</v>
      </c>
      <c r="BC86" s="2">
        <v>8</v>
      </c>
      <c r="BD86" s="2">
        <v>9</v>
      </c>
      <c r="BE86" s="2">
        <v>10</v>
      </c>
      <c r="BF86" s="2">
        <v>11</v>
      </c>
      <c r="BG86" s="2">
        <v>12</v>
      </c>
      <c r="BH86" s="2">
        <v>13</v>
      </c>
      <c r="BI86" s="2">
        <v>14</v>
      </c>
      <c r="BO86" t="s">
        <v>136</v>
      </c>
      <c r="BP86" t="str">
        <f t="shared" si="94"/>
        <v>1</v>
      </c>
    </row>
    <row r="87" spans="1:68" x14ac:dyDescent="0.15">
      <c r="A87">
        <f t="shared" si="71"/>
        <v>3402083</v>
      </c>
      <c r="B87" s="5" t="s">
        <v>105</v>
      </c>
      <c r="C87">
        <v>8</v>
      </c>
      <c r="D87">
        <v>4</v>
      </c>
      <c r="E87">
        <v>3</v>
      </c>
      <c r="F87" t="s">
        <v>137</v>
      </c>
      <c r="G87" t="s">
        <v>137</v>
      </c>
      <c r="H87" s="2">
        <v>0</v>
      </c>
      <c r="I87" s="2" t="s">
        <v>106</v>
      </c>
      <c r="J87" s="2">
        <f t="shared" si="89"/>
        <v>6</v>
      </c>
      <c r="K87" s="2">
        <f t="shared" si="72"/>
        <v>1.5</v>
      </c>
      <c r="L87" s="2">
        <f t="shared" si="73"/>
        <v>1.5</v>
      </c>
      <c r="M87" s="2">
        <v>10</v>
      </c>
      <c r="N87" s="2">
        <f t="shared" si="74"/>
        <v>211.2</v>
      </c>
      <c r="O87" s="2">
        <f t="shared" si="75"/>
        <v>21.12</v>
      </c>
      <c r="P87" s="2">
        <f t="shared" si="76"/>
        <v>1760</v>
      </c>
      <c r="Q87" s="2">
        <f t="shared" si="77"/>
        <v>176</v>
      </c>
      <c r="R87" s="2">
        <f t="shared" si="78"/>
        <v>30.17</v>
      </c>
      <c r="S87" s="2">
        <f t="shared" si="79"/>
        <v>3.02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11">
        <v>334022</v>
      </c>
      <c r="Z87" s="12" t="s">
        <v>509</v>
      </c>
      <c r="AA87" s="4">
        <v>1</v>
      </c>
      <c r="AB87" s="4">
        <v>0</v>
      </c>
      <c r="AC87" s="4"/>
      <c r="AD87" s="4">
        <f t="shared" si="96"/>
        <v>9445.2019199999995</v>
      </c>
      <c r="AF87" s="1" t="str">
        <f t="shared" si="70"/>
        <v>2</v>
      </c>
      <c r="AG87">
        <v>8</v>
      </c>
      <c r="AH87">
        <f t="shared" si="80"/>
        <v>211.20000000000002</v>
      </c>
      <c r="AI87">
        <f t="shared" si="81"/>
        <v>21.120000000000005</v>
      </c>
      <c r="AJ87">
        <f t="shared" si="82"/>
        <v>1760.0000000000002</v>
      </c>
      <c r="AK87">
        <f t="shared" si="83"/>
        <v>176.00000000000003</v>
      </c>
      <c r="AL87">
        <f t="shared" si="84"/>
        <v>30.171428571428574</v>
      </c>
      <c r="AM87">
        <f t="shared" si="85"/>
        <v>3.0171428571428578</v>
      </c>
      <c r="AN87">
        <f t="shared" si="86"/>
        <v>1.5</v>
      </c>
      <c r="AO87">
        <f t="shared" si="87"/>
        <v>1.5</v>
      </c>
      <c r="AP87">
        <f t="shared" si="88"/>
        <v>6</v>
      </c>
      <c r="AQ87">
        <v>402</v>
      </c>
      <c r="AR87">
        <v>3</v>
      </c>
      <c r="AV87">
        <v>1</v>
      </c>
      <c r="AW87" s="2">
        <v>1.1000000000000001</v>
      </c>
      <c r="AX87">
        <v>1.2</v>
      </c>
      <c r="AY87" s="2">
        <v>1.4</v>
      </c>
      <c r="AZ87">
        <v>1.6</v>
      </c>
      <c r="BA87" s="2">
        <v>1.8</v>
      </c>
      <c r="BB87">
        <v>2</v>
      </c>
      <c r="BC87" s="2">
        <v>2.2000000000000002</v>
      </c>
      <c r="BD87">
        <v>2.4</v>
      </c>
      <c r="BE87" s="2">
        <v>2.6</v>
      </c>
      <c r="BF87">
        <v>2.8</v>
      </c>
      <c r="BG87" s="2">
        <v>3</v>
      </c>
      <c r="BH87">
        <v>3.2</v>
      </c>
      <c r="BI87" s="2">
        <v>3.4</v>
      </c>
      <c r="BO87" t="s">
        <v>165</v>
      </c>
      <c r="BP87" t="str">
        <f t="shared" si="94"/>
        <v>2</v>
      </c>
    </row>
    <row r="88" spans="1:68" x14ac:dyDescent="0.15">
      <c r="A88">
        <f t="shared" si="71"/>
        <v>3501083</v>
      </c>
      <c r="B88" s="5" t="s">
        <v>143</v>
      </c>
      <c r="C88">
        <v>8</v>
      </c>
      <c r="D88">
        <v>5</v>
      </c>
      <c r="E88">
        <v>3</v>
      </c>
      <c r="F88" s="22" t="s">
        <v>724</v>
      </c>
      <c r="G88" s="22" t="s">
        <v>724</v>
      </c>
      <c r="H88">
        <v>0</v>
      </c>
      <c r="I88" s="2" t="s">
        <v>144</v>
      </c>
      <c r="J88" s="2">
        <f t="shared" si="89"/>
        <v>6</v>
      </c>
      <c r="K88" s="2">
        <f t="shared" si="72"/>
        <v>1.6</v>
      </c>
      <c r="L88" s="2">
        <f t="shared" si="73"/>
        <v>2</v>
      </c>
      <c r="M88" s="2">
        <v>10</v>
      </c>
      <c r="N88" s="2">
        <f t="shared" si="74"/>
        <v>262.83</v>
      </c>
      <c r="O88" s="2">
        <f t="shared" si="75"/>
        <v>26.28</v>
      </c>
      <c r="P88" s="2">
        <f t="shared" si="76"/>
        <v>1508.57</v>
      </c>
      <c r="Q88" s="2">
        <f t="shared" si="77"/>
        <v>150.86000000000001</v>
      </c>
      <c r="R88" s="2">
        <f t="shared" si="78"/>
        <v>32.85</v>
      </c>
      <c r="S88" s="2">
        <f t="shared" si="79"/>
        <v>3.29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11">
        <v>345012</v>
      </c>
      <c r="Z88" s="12" t="s">
        <v>510</v>
      </c>
      <c r="AA88" s="4">
        <v>1</v>
      </c>
      <c r="AB88" s="4">
        <v>0</v>
      </c>
      <c r="AC88" s="4"/>
      <c r="AD88" s="4">
        <f t="shared" si="96"/>
        <v>9444.5034061415627</v>
      </c>
      <c r="AF88" s="1" t="str">
        <f t="shared" ref="AF88:AF151" si="97">RIGHT(AQ88,1)</f>
        <v>1</v>
      </c>
      <c r="AG88">
        <v>8</v>
      </c>
      <c r="AH88">
        <f t="shared" si="80"/>
        <v>262.82666666666665</v>
      </c>
      <c r="AI88">
        <f t="shared" si="81"/>
        <v>26.282666666666668</v>
      </c>
      <c r="AJ88">
        <f t="shared" si="82"/>
        <v>1508.5714285714289</v>
      </c>
      <c r="AK88">
        <f t="shared" si="83"/>
        <v>150.85714285714289</v>
      </c>
      <c r="AL88">
        <f t="shared" si="84"/>
        <v>32.853333333333332</v>
      </c>
      <c r="AM88">
        <f t="shared" si="85"/>
        <v>3.2853333333333334</v>
      </c>
      <c r="AN88">
        <f t="shared" si="86"/>
        <v>1.6</v>
      </c>
      <c r="AO88">
        <f t="shared" si="87"/>
        <v>2</v>
      </c>
      <c r="AP88">
        <f t="shared" si="88"/>
        <v>6</v>
      </c>
      <c r="AQ88">
        <v>501</v>
      </c>
      <c r="AR88">
        <v>3</v>
      </c>
      <c r="AV88" s="6"/>
      <c r="AW88" s="4"/>
      <c r="BA88" s="2"/>
      <c r="BO88" t="s">
        <v>167</v>
      </c>
      <c r="BP88" t="str">
        <f t="shared" si="94"/>
        <v>1</v>
      </c>
    </row>
    <row r="89" spans="1:68" x14ac:dyDescent="0.15">
      <c r="A89">
        <f t="shared" ref="A89:A156" si="98">AR89*1000000+AQ89*1000+C89*10+E89</f>
        <v>3600083</v>
      </c>
      <c r="B89" s="5" t="s">
        <v>146</v>
      </c>
      <c r="C89">
        <v>8</v>
      </c>
      <c r="D89">
        <v>6</v>
      </c>
      <c r="E89">
        <v>3</v>
      </c>
      <c r="F89" s="22" t="s">
        <v>725</v>
      </c>
      <c r="G89" s="22" t="s">
        <v>725</v>
      </c>
      <c r="H89" s="2">
        <v>0</v>
      </c>
      <c r="I89" s="2" t="s">
        <v>147</v>
      </c>
      <c r="J89" s="2">
        <f t="shared" ref="J89:J130" si="99">AP89</f>
        <v>3</v>
      </c>
      <c r="K89" s="2">
        <f t="shared" ref="K89:K125" si="100">FLOOR(AN89/1,0.01)</f>
        <v>1.4000000000000001</v>
      </c>
      <c r="L89" s="2">
        <f t="shared" ref="L89:L125" si="101">FLOOR(AO89/1,0.01)</f>
        <v>1.9000000000000001</v>
      </c>
      <c r="M89" s="2">
        <v>10</v>
      </c>
      <c r="N89" s="2">
        <f t="shared" ref="N89:N125" si="102">ROUND(AH89,2)</f>
        <v>254.61</v>
      </c>
      <c r="O89" s="2">
        <f t="shared" ref="O89:O125" si="103">ROUND(AI89,2)</f>
        <v>25.46</v>
      </c>
      <c r="P89" s="2">
        <f t="shared" ref="P89:P125" si="104">ROUND(AJ89,2)</f>
        <v>1362.58</v>
      </c>
      <c r="Q89" s="2">
        <f t="shared" ref="Q89:Q125" si="105">ROUND(AK89,2)</f>
        <v>136.26</v>
      </c>
      <c r="R89" s="2">
        <f t="shared" ref="R89:R125" si="106">ROUND(AL89,2)</f>
        <v>25.46</v>
      </c>
      <c r="S89" s="2">
        <f t="shared" ref="S89:S125" si="107">ROUND(AM89,2)</f>
        <v>2.5499999999999998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11">
        <v>346002</v>
      </c>
      <c r="Z89" s="12" t="s">
        <v>511</v>
      </c>
      <c r="AA89" s="4">
        <v>1</v>
      </c>
      <c r="AB89" s="4">
        <v>0</v>
      </c>
      <c r="AC89" s="4"/>
      <c r="AD89" s="4">
        <f t="shared" si="96"/>
        <v>9444.8625826049974</v>
      </c>
      <c r="AF89" s="1" t="str">
        <f t="shared" si="97"/>
        <v>0</v>
      </c>
      <c r="AG89">
        <v>8</v>
      </c>
      <c r="AH89">
        <f t="shared" ref="AH89:AH156" si="108">INDEX($AV$5:$AV$50,MATCH($AQ89,$AT$5:$AT$50))*$AN89/1.5*$AZ$4*INDEX($AV$87:$BI$87,MATCH($AG89,$AV$86:$BI$86))</f>
        <v>254.61333333333332</v>
      </c>
      <c r="AI89">
        <f t="shared" ref="AI89:AI156" si="109">(INDEX($AV$5:$AV$50,MATCH($AQ89,$AT$5:$AT$50))*$AN89/1.5*$AZ$4*INDEX($AV$87:$BI$87,MATCH($AG89,$AV$86:$BI$86)))*0.1</f>
        <v>25.461333333333332</v>
      </c>
      <c r="AJ89">
        <f t="shared" ref="AJ89:AJ156" si="110">INDEX($AW$5:$AW$50,MATCH($AQ89,$AT$5:$AT$50))*$BA$4*INDEX($AV$87:$BI$87,MATCH($AG89,$AV$86:$BI$86))</f>
        <v>1362.5806451612905</v>
      </c>
      <c r="AK89">
        <f t="shared" ref="AK89:AK156" si="111">(INDEX($AW$5:$AW$50,MATCH($AQ89,$AT$5:$AT$50))*$BA$4*INDEX($AV$87:$BI$87,MATCH($AG89,$AV$86:$BI$86)))*0.1</f>
        <v>136.25806451612905</v>
      </c>
      <c r="AL89">
        <f t="shared" ref="AL89:AL156" si="112">$AH89/INDEX($AX$5:$AX$50,MATCH($AQ89,$AT$5:$AT$50))</f>
        <v>25.461333333333332</v>
      </c>
      <c r="AM89">
        <f t="shared" ref="AM89:AM125" si="113">AL89*0.1</f>
        <v>2.5461333333333336</v>
      </c>
      <c r="AN89">
        <f t="shared" ref="AN89:AN156" si="114">INDEX($AY$5:$AY$50,MATCH($AQ89,$AT$5:$AT$50,0))</f>
        <v>1.4</v>
      </c>
      <c r="AO89">
        <f t="shared" ref="AO89:AO156" si="115">ROUND(IF(INDEX($BG$5:$BG$50,MATCH($AQ89,$AT$5:$AT$50,0))&lt;2,INDEX($BG$5:$BG$49,MATCH($AQ89,$AT$5:$AT$49,0))+0.2,2),1)</f>
        <v>1.9</v>
      </c>
      <c r="AP89">
        <f t="shared" ref="AP89:AP156" si="116">INDEX($BC$5:$BC$50,MATCH($AQ89,$AT$5:$AT$50,0))</f>
        <v>3</v>
      </c>
      <c r="AQ89">
        <v>600</v>
      </c>
      <c r="AR89">
        <v>3</v>
      </c>
      <c r="AV89" s="6"/>
      <c r="AW89" s="6"/>
      <c r="BA89" s="2"/>
      <c r="BO89" t="s">
        <v>159</v>
      </c>
      <c r="BP89" t="str">
        <f t="shared" si="94"/>
        <v>1</v>
      </c>
    </row>
    <row r="90" spans="1:68" x14ac:dyDescent="0.15">
      <c r="A90">
        <f t="shared" si="98"/>
        <v>3602081</v>
      </c>
      <c r="B90" s="5" t="s">
        <v>149</v>
      </c>
      <c r="C90">
        <v>8</v>
      </c>
      <c r="D90">
        <v>6</v>
      </c>
      <c r="E90">
        <v>1</v>
      </c>
      <c r="F90" s="22" t="s">
        <v>726</v>
      </c>
      <c r="G90" s="22" t="s">
        <v>726</v>
      </c>
      <c r="H90" t="s">
        <v>150</v>
      </c>
      <c r="I90" s="2" t="s">
        <v>151</v>
      </c>
      <c r="J90" s="2">
        <f t="shared" si="99"/>
        <v>6</v>
      </c>
      <c r="K90" s="2">
        <f t="shared" si="100"/>
        <v>1.8</v>
      </c>
      <c r="L90" s="2">
        <f t="shared" si="101"/>
        <v>2</v>
      </c>
      <c r="M90" s="2">
        <v>10</v>
      </c>
      <c r="N90" s="2">
        <f t="shared" si="102"/>
        <v>327.36</v>
      </c>
      <c r="O90" s="2">
        <f t="shared" si="103"/>
        <v>32.74</v>
      </c>
      <c r="P90" s="2">
        <f t="shared" si="104"/>
        <v>1362.58</v>
      </c>
      <c r="Q90" s="2">
        <f t="shared" si="105"/>
        <v>136.26</v>
      </c>
      <c r="R90" s="2">
        <f t="shared" si="106"/>
        <v>32.74</v>
      </c>
      <c r="S90" s="2">
        <f t="shared" si="107"/>
        <v>3.27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11">
        <v>346022</v>
      </c>
      <c r="Z90" s="12" t="s">
        <v>512</v>
      </c>
      <c r="AA90" s="4">
        <v>1</v>
      </c>
      <c r="AB90" s="4">
        <v>0</v>
      </c>
      <c r="AC90" s="4"/>
      <c r="AD90" s="4">
        <f t="shared" si="96"/>
        <v>9446.3726820399988</v>
      </c>
      <c r="AF90" s="1" t="str">
        <f t="shared" si="97"/>
        <v>2</v>
      </c>
      <c r="AG90">
        <v>8</v>
      </c>
      <c r="AH90">
        <f t="shared" si="108"/>
        <v>327.36000000000007</v>
      </c>
      <c r="AI90">
        <f t="shared" si="109"/>
        <v>32.736000000000011</v>
      </c>
      <c r="AJ90">
        <f t="shared" si="110"/>
        <v>1362.5806451612905</v>
      </c>
      <c r="AK90">
        <f t="shared" si="111"/>
        <v>136.25806451612905</v>
      </c>
      <c r="AL90">
        <f t="shared" si="112"/>
        <v>32.736000000000004</v>
      </c>
      <c r="AM90">
        <f t="shared" si="113"/>
        <v>3.2736000000000005</v>
      </c>
      <c r="AN90">
        <f t="shared" si="114"/>
        <v>1.8</v>
      </c>
      <c r="AO90">
        <f t="shared" si="115"/>
        <v>2</v>
      </c>
      <c r="AP90">
        <f t="shared" si="116"/>
        <v>6</v>
      </c>
      <c r="AQ90">
        <v>602</v>
      </c>
      <c r="AR90">
        <v>3</v>
      </c>
      <c r="AU90">
        <v>1</v>
      </c>
      <c r="AV90" s="6">
        <v>0</v>
      </c>
      <c r="AW90" s="6">
        <v>0.2</v>
      </c>
      <c r="AX90" s="6">
        <v>0.2</v>
      </c>
      <c r="AY90" s="6">
        <v>0.2</v>
      </c>
      <c r="AZ90" s="6">
        <v>0.2</v>
      </c>
      <c r="BA90" s="6">
        <v>0.2</v>
      </c>
      <c r="BB90" s="6">
        <v>0.2</v>
      </c>
      <c r="BC90" s="6">
        <v>0.3</v>
      </c>
      <c r="BD90" s="6">
        <v>0.2</v>
      </c>
      <c r="BE90" s="6">
        <v>0.2</v>
      </c>
      <c r="BF90" s="6">
        <v>0.2</v>
      </c>
      <c r="BG90" s="6">
        <v>0.2</v>
      </c>
      <c r="BH90" s="6">
        <v>0.2</v>
      </c>
      <c r="BI90" s="6">
        <v>0.2</v>
      </c>
      <c r="BO90" t="s">
        <v>171</v>
      </c>
      <c r="BP90" t="str">
        <f t="shared" si="94"/>
        <v>1</v>
      </c>
    </row>
    <row r="91" spans="1:68" x14ac:dyDescent="0.15">
      <c r="A91">
        <f t="shared" si="98"/>
        <v>3300082</v>
      </c>
      <c r="B91" s="5" t="s">
        <v>153</v>
      </c>
      <c r="C91">
        <v>8</v>
      </c>
      <c r="D91">
        <v>3</v>
      </c>
      <c r="E91">
        <v>2</v>
      </c>
      <c r="F91" s="22" t="s">
        <v>727</v>
      </c>
      <c r="G91" s="22" t="s">
        <v>727</v>
      </c>
      <c r="H91" s="2">
        <v>0</v>
      </c>
      <c r="I91" s="2" t="s">
        <v>154</v>
      </c>
      <c r="J91" s="2">
        <v>6</v>
      </c>
      <c r="K91" s="2">
        <f t="shared" si="100"/>
        <v>1.3</v>
      </c>
      <c r="L91" s="2">
        <f t="shared" si="101"/>
        <v>1.9000000000000001</v>
      </c>
      <c r="M91" s="2">
        <v>10</v>
      </c>
      <c r="N91" s="2">
        <f t="shared" si="102"/>
        <v>137.28</v>
      </c>
      <c r="O91" s="2">
        <f t="shared" si="103"/>
        <v>13.73</v>
      </c>
      <c r="P91" s="2">
        <f t="shared" si="104"/>
        <v>2346.67</v>
      </c>
      <c r="Q91" s="2">
        <f t="shared" si="105"/>
        <v>234.67</v>
      </c>
      <c r="R91" s="2">
        <f t="shared" si="106"/>
        <v>27.46</v>
      </c>
      <c r="S91" s="2">
        <f t="shared" si="107"/>
        <v>2.75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11">
        <v>353002</v>
      </c>
      <c r="Z91" s="12" t="s">
        <v>513</v>
      </c>
      <c r="AA91" s="4">
        <v>1</v>
      </c>
      <c r="AB91" s="4">
        <v>0</v>
      </c>
      <c r="AC91" s="4"/>
      <c r="AD91" s="4">
        <f t="shared" si="96"/>
        <v>9446.576077841537</v>
      </c>
      <c r="AF91" s="1" t="str">
        <f t="shared" si="97"/>
        <v>0</v>
      </c>
      <c r="AG91">
        <v>8</v>
      </c>
      <c r="AH91">
        <f t="shared" si="108"/>
        <v>137.28000000000003</v>
      </c>
      <c r="AI91">
        <f t="shared" si="109"/>
        <v>13.728000000000003</v>
      </c>
      <c r="AJ91">
        <f t="shared" si="110"/>
        <v>2346.666666666667</v>
      </c>
      <c r="AK91">
        <f t="shared" si="111"/>
        <v>234.66666666666671</v>
      </c>
      <c r="AL91">
        <f t="shared" si="112"/>
        <v>27.456000000000007</v>
      </c>
      <c r="AM91">
        <f t="shared" si="113"/>
        <v>2.7456000000000009</v>
      </c>
      <c r="AN91">
        <f t="shared" si="114"/>
        <v>1.3</v>
      </c>
      <c r="AO91">
        <f t="shared" si="115"/>
        <v>1.9</v>
      </c>
      <c r="AP91">
        <f t="shared" si="116"/>
        <v>3</v>
      </c>
      <c r="AQ91">
        <v>300</v>
      </c>
      <c r="AR91">
        <v>3</v>
      </c>
      <c r="AU91">
        <v>1</v>
      </c>
      <c r="AV91" s="6">
        <v>0</v>
      </c>
      <c r="AW91" s="4">
        <v>0.1</v>
      </c>
      <c r="AX91" s="6">
        <v>0.1</v>
      </c>
      <c r="AY91" s="6">
        <v>0.2</v>
      </c>
      <c r="AZ91" s="6">
        <v>0.2</v>
      </c>
      <c r="BA91" s="3">
        <v>0.4</v>
      </c>
      <c r="BB91" s="3">
        <v>0.2</v>
      </c>
      <c r="BC91" s="3">
        <v>0.3</v>
      </c>
      <c r="BD91" s="3">
        <v>0.2</v>
      </c>
      <c r="BE91" s="3">
        <v>0.2</v>
      </c>
      <c r="BF91" s="3">
        <v>0.2</v>
      </c>
      <c r="BG91" s="3">
        <v>0.2</v>
      </c>
      <c r="BH91" s="3">
        <v>0.2</v>
      </c>
      <c r="BI91" s="3">
        <v>0.2</v>
      </c>
      <c r="BO91" t="s">
        <v>178</v>
      </c>
      <c r="BP91" t="str">
        <f t="shared" si="94"/>
        <v>2</v>
      </c>
    </row>
    <row r="92" spans="1:68" x14ac:dyDescent="0.15">
      <c r="A92">
        <f t="shared" si="98"/>
        <v>3302083</v>
      </c>
      <c r="B92" s="5" t="s">
        <v>156</v>
      </c>
      <c r="C92">
        <v>8</v>
      </c>
      <c r="D92">
        <v>3</v>
      </c>
      <c r="E92">
        <v>3</v>
      </c>
      <c r="F92" s="22" t="s">
        <v>728</v>
      </c>
      <c r="G92" s="22" t="s">
        <v>728</v>
      </c>
      <c r="H92" s="2">
        <v>0</v>
      </c>
      <c r="I92" s="2" t="s">
        <v>157</v>
      </c>
      <c r="J92" s="2">
        <f t="shared" si="99"/>
        <v>3</v>
      </c>
      <c r="K92" s="2">
        <f t="shared" si="100"/>
        <v>1.4000000000000001</v>
      </c>
      <c r="L92" s="2">
        <f t="shared" si="101"/>
        <v>1.7</v>
      </c>
      <c r="M92" s="2">
        <v>10</v>
      </c>
      <c r="N92" s="2">
        <f t="shared" si="102"/>
        <v>147.84</v>
      </c>
      <c r="O92" s="2">
        <f t="shared" si="103"/>
        <v>14.78</v>
      </c>
      <c r="P92" s="2">
        <f t="shared" si="104"/>
        <v>2346.67</v>
      </c>
      <c r="Q92" s="2">
        <f t="shared" si="105"/>
        <v>234.67</v>
      </c>
      <c r="R92" s="2">
        <f t="shared" si="106"/>
        <v>29.57</v>
      </c>
      <c r="S92" s="2">
        <f t="shared" si="107"/>
        <v>2.96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11">
        <v>353022</v>
      </c>
      <c r="Z92" s="12" t="s">
        <v>514</v>
      </c>
      <c r="AA92" s="4">
        <v>1</v>
      </c>
      <c r="AB92" s="4">
        <v>0</v>
      </c>
      <c r="AC92" s="4"/>
      <c r="AD92" s="4">
        <f t="shared" si="96"/>
        <v>9443.0018773799966</v>
      </c>
      <c r="AF92" s="1" t="str">
        <f t="shared" si="97"/>
        <v>2</v>
      </c>
      <c r="AG92">
        <v>8</v>
      </c>
      <c r="AH92">
        <f t="shared" si="108"/>
        <v>147.84000000000003</v>
      </c>
      <c r="AI92">
        <f t="shared" si="109"/>
        <v>14.784000000000004</v>
      </c>
      <c r="AJ92">
        <f t="shared" si="110"/>
        <v>2346.666666666667</v>
      </c>
      <c r="AK92">
        <f t="shared" si="111"/>
        <v>234.66666666666671</v>
      </c>
      <c r="AL92">
        <f t="shared" si="112"/>
        <v>29.568000000000005</v>
      </c>
      <c r="AM92">
        <f t="shared" si="113"/>
        <v>2.9568000000000008</v>
      </c>
      <c r="AN92">
        <f t="shared" si="114"/>
        <v>1.4</v>
      </c>
      <c r="AO92">
        <f t="shared" si="115"/>
        <v>1.7</v>
      </c>
      <c r="AP92">
        <f t="shared" si="116"/>
        <v>3</v>
      </c>
      <c r="AQ92">
        <v>302</v>
      </c>
      <c r="AR92">
        <v>3</v>
      </c>
      <c r="AU92">
        <v>1</v>
      </c>
      <c r="AV92">
        <f>AU92+AV91</f>
        <v>1</v>
      </c>
      <c r="AW92">
        <f t="shared" ref="AW92:BI92" si="117">AV92+AW91</f>
        <v>1.1000000000000001</v>
      </c>
      <c r="AX92">
        <f t="shared" si="117"/>
        <v>1.2000000000000002</v>
      </c>
      <c r="AY92">
        <f t="shared" si="117"/>
        <v>1.4000000000000001</v>
      </c>
      <c r="AZ92">
        <f t="shared" si="117"/>
        <v>1.6</v>
      </c>
      <c r="BA92">
        <f t="shared" si="117"/>
        <v>2</v>
      </c>
      <c r="BB92">
        <f t="shared" si="117"/>
        <v>2.2000000000000002</v>
      </c>
      <c r="BC92">
        <f>BB93+BC91</f>
        <v>0.3</v>
      </c>
      <c r="BD92">
        <f t="shared" si="117"/>
        <v>0.5</v>
      </c>
      <c r="BE92">
        <f t="shared" si="117"/>
        <v>0.7</v>
      </c>
      <c r="BF92">
        <f t="shared" si="117"/>
        <v>0.89999999999999991</v>
      </c>
      <c r="BG92">
        <f t="shared" si="117"/>
        <v>1.0999999999999999</v>
      </c>
      <c r="BH92">
        <f t="shared" si="117"/>
        <v>1.2999999999999998</v>
      </c>
      <c r="BI92">
        <f t="shared" si="117"/>
        <v>1.4999999999999998</v>
      </c>
      <c r="BO92" t="s">
        <v>188</v>
      </c>
      <c r="BP92" t="str">
        <f t="shared" si="94"/>
        <v>0</v>
      </c>
    </row>
    <row r="93" spans="1:68" x14ac:dyDescent="0.15">
      <c r="A93">
        <f t="shared" si="98"/>
        <v>3400082</v>
      </c>
      <c r="B93" s="5" t="s">
        <v>160</v>
      </c>
      <c r="C93">
        <v>8</v>
      </c>
      <c r="D93">
        <v>4</v>
      </c>
      <c r="E93">
        <v>2</v>
      </c>
      <c r="F93" s="22" t="s">
        <v>729</v>
      </c>
      <c r="G93" s="22" t="s">
        <v>729</v>
      </c>
      <c r="H93">
        <v>0</v>
      </c>
      <c r="I93" s="2" t="s">
        <v>161</v>
      </c>
      <c r="J93" s="2">
        <f t="shared" si="99"/>
        <v>6</v>
      </c>
      <c r="K93" s="2">
        <f t="shared" si="100"/>
        <v>1.4000000000000001</v>
      </c>
      <c r="L93" s="2">
        <f t="shared" si="101"/>
        <v>1.4000000000000001</v>
      </c>
      <c r="M93" s="2">
        <v>10</v>
      </c>
      <c r="N93" s="2">
        <f t="shared" si="102"/>
        <v>197.12</v>
      </c>
      <c r="O93" s="2">
        <f t="shared" si="103"/>
        <v>19.71</v>
      </c>
      <c r="P93" s="2">
        <f t="shared" si="104"/>
        <v>1760</v>
      </c>
      <c r="Q93" s="2">
        <f t="shared" si="105"/>
        <v>176</v>
      </c>
      <c r="R93" s="2">
        <f t="shared" si="106"/>
        <v>28.16</v>
      </c>
      <c r="S93" s="2">
        <f t="shared" si="107"/>
        <v>2.82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11">
        <v>354002</v>
      </c>
      <c r="Z93" s="12" t="s">
        <v>515</v>
      </c>
      <c r="AA93" s="4">
        <v>1</v>
      </c>
      <c r="AB93" s="4">
        <v>0</v>
      </c>
      <c r="AC93" s="4"/>
      <c r="AD93" s="4">
        <f t="shared" si="96"/>
        <v>9444.3307199999981</v>
      </c>
      <c r="AF93" s="1" t="str">
        <f t="shared" si="97"/>
        <v>0</v>
      </c>
      <c r="AG93">
        <v>8</v>
      </c>
      <c r="AH93">
        <f t="shared" si="108"/>
        <v>197.12</v>
      </c>
      <c r="AI93">
        <f t="shared" si="109"/>
        <v>19.712000000000003</v>
      </c>
      <c r="AJ93">
        <f t="shared" si="110"/>
        <v>1760.0000000000002</v>
      </c>
      <c r="AK93">
        <f t="shared" si="111"/>
        <v>176.00000000000003</v>
      </c>
      <c r="AL93">
        <f t="shared" si="112"/>
        <v>28.16</v>
      </c>
      <c r="AM93">
        <f t="shared" si="113"/>
        <v>2.8160000000000003</v>
      </c>
      <c r="AN93">
        <f t="shared" si="114"/>
        <v>1.4</v>
      </c>
      <c r="AO93">
        <f t="shared" si="115"/>
        <v>1.4</v>
      </c>
      <c r="AP93">
        <f t="shared" si="116"/>
        <v>6</v>
      </c>
      <c r="AQ93">
        <v>400</v>
      </c>
      <c r="AR93">
        <v>3</v>
      </c>
      <c r="BO93" t="s">
        <v>173</v>
      </c>
      <c r="BP93" t="str">
        <f t="shared" si="94"/>
        <v>0</v>
      </c>
    </row>
    <row r="94" spans="1:68" x14ac:dyDescent="0.15">
      <c r="A94">
        <f t="shared" si="98"/>
        <v>5200051</v>
      </c>
      <c r="B94" t="s">
        <v>160</v>
      </c>
      <c r="C94">
        <v>5</v>
      </c>
      <c r="D94">
        <v>2</v>
      </c>
      <c r="E94">
        <v>1</v>
      </c>
      <c r="F94" t="s">
        <v>207</v>
      </c>
      <c r="G94" t="s">
        <v>207</v>
      </c>
      <c r="H94" s="2">
        <v>0</v>
      </c>
      <c r="I94" s="28" t="s">
        <v>711</v>
      </c>
      <c r="J94" s="2">
        <f t="shared" si="99"/>
        <v>3</v>
      </c>
      <c r="K94" s="2">
        <f t="shared" si="100"/>
        <v>1.5</v>
      </c>
      <c r="L94" s="2">
        <f t="shared" si="101"/>
        <v>1.2</v>
      </c>
      <c r="M94" s="2">
        <v>10</v>
      </c>
      <c r="N94" s="2">
        <f t="shared" si="102"/>
        <v>128</v>
      </c>
      <c r="O94" s="2">
        <f t="shared" si="103"/>
        <v>12.8</v>
      </c>
      <c r="P94" s="2">
        <f t="shared" si="104"/>
        <v>1536</v>
      </c>
      <c r="Q94" s="2">
        <f t="shared" si="105"/>
        <v>153.6</v>
      </c>
      <c r="R94" s="2">
        <f t="shared" si="106"/>
        <v>32</v>
      </c>
      <c r="S94" s="2">
        <f t="shared" si="107"/>
        <v>3.2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4">
        <v>512001</v>
      </c>
      <c r="Z94" s="12" t="s">
        <v>446</v>
      </c>
      <c r="AA94" s="4">
        <v>1</v>
      </c>
      <c r="AB94" s="4">
        <v>0</v>
      </c>
      <c r="AC94" s="4"/>
      <c r="AD94" s="4">
        <f t="shared" si="96"/>
        <v>4995.8092800000004</v>
      </c>
      <c r="AF94" s="1" t="str">
        <f t="shared" si="97"/>
        <v>0</v>
      </c>
      <c r="AG94">
        <v>5</v>
      </c>
      <c r="AH94">
        <f t="shared" si="108"/>
        <v>128</v>
      </c>
      <c r="AI94">
        <f t="shared" si="109"/>
        <v>12.8</v>
      </c>
      <c r="AJ94">
        <f t="shared" si="110"/>
        <v>1536</v>
      </c>
      <c r="AK94">
        <f t="shared" si="111"/>
        <v>153.60000000000002</v>
      </c>
      <c r="AL94">
        <f t="shared" si="112"/>
        <v>32</v>
      </c>
      <c r="AM94">
        <f t="shared" si="113"/>
        <v>3.2</v>
      </c>
      <c r="AN94">
        <f t="shared" si="114"/>
        <v>1.5</v>
      </c>
      <c r="AO94">
        <f t="shared" si="115"/>
        <v>1.2</v>
      </c>
      <c r="AP94">
        <f t="shared" si="116"/>
        <v>3</v>
      </c>
      <c r="AQ94">
        <v>200</v>
      </c>
      <c r="AR94">
        <v>5</v>
      </c>
      <c r="BO94" t="s">
        <v>182</v>
      </c>
      <c r="BP94" t="str">
        <f t="shared" si="94"/>
        <v>2</v>
      </c>
    </row>
    <row r="95" spans="1:68" x14ac:dyDescent="0.15">
      <c r="A95">
        <f t="shared" si="98"/>
        <v>5201051</v>
      </c>
      <c r="B95" t="s">
        <v>407</v>
      </c>
      <c r="C95">
        <v>5</v>
      </c>
      <c r="D95">
        <v>2</v>
      </c>
      <c r="E95">
        <v>1</v>
      </c>
      <c r="F95" t="s">
        <v>208</v>
      </c>
      <c r="G95" t="s">
        <v>208</v>
      </c>
      <c r="H95" s="2">
        <v>0</v>
      </c>
      <c r="I95" s="2" t="s">
        <v>92</v>
      </c>
      <c r="J95" s="2">
        <f t="shared" si="99"/>
        <v>3</v>
      </c>
      <c r="K95" s="2">
        <f t="shared" si="100"/>
        <v>1.8</v>
      </c>
      <c r="L95" s="2">
        <f t="shared" si="101"/>
        <v>1.8</v>
      </c>
      <c r="M95" s="2">
        <v>10</v>
      </c>
      <c r="N95" s="2">
        <f t="shared" si="102"/>
        <v>122.88</v>
      </c>
      <c r="O95" s="2">
        <f t="shared" si="103"/>
        <v>12.29</v>
      </c>
      <c r="P95" s="2">
        <f t="shared" si="104"/>
        <v>1920</v>
      </c>
      <c r="Q95" s="2">
        <f t="shared" si="105"/>
        <v>192</v>
      </c>
      <c r="R95" s="2">
        <f t="shared" si="106"/>
        <v>40.96</v>
      </c>
      <c r="S95" s="2">
        <f t="shared" si="107"/>
        <v>4.0999999999999996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4">
        <v>512011</v>
      </c>
      <c r="Z95" s="12" t="s">
        <v>447</v>
      </c>
      <c r="AA95" s="4">
        <v>1</v>
      </c>
      <c r="AB95" s="4">
        <v>0</v>
      </c>
      <c r="AC95" s="4"/>
      <c r="AD95" s="4">
        <f t="shared" si="96"/>
        <v>4996.5484799999995</v>
      </c>
      <c r="AF95" s="1" t="str">
        <f t="shared" si="97"/>
        <v>1</v>
      </c>
      <c r="AG95">
        <v>5</v>
      </c>
      <c r="AH95">
        <f t="shared" si="108"/>
        <v>122.88000000000002</v>
      </c>
      <c r="AI95">
        <f t="shared" si="109"/>
        <v>12.288000000000004</v>
      </c>
      <c r="AJ95">
        <f t="shared" si="110"/>
        <v>1920</v>
      </c>
      <c r="AK95">
        <f t="shared" si="111"/>
        <v>192</v>
      </c>
      <c r="AL95">
        <f t="shared" si="112"/>
        <v>40.960000000000008</v>
      </c>
      <c r="AM95">
        <f t="shared" si="113"/>
        <v>4.096000000000001</v>
      </c>
      <c r="AN95">
        <f t="shared" si="114"/>
        <v>1.8</v>
      </c>
      <c r="AO95">
        <f t="shared" si="115"/>
        <v>1.8</v>
      </c>
      <c r="AP95">
        <f t="shared" si="116"/>
        <v>3</v>
      </c>
      <c r="AQ95">
        <v>201</v>
      </c>
      <c r="AR95">
        <v>5</v>
      </c>
      <c r="BG95">
        <v>36</v>
      </c>
      <c r="BH95">
        <v>1440</v>
      </c>
      <c r="BI95">
        <v>48</v>
      </c>
      <c r="BK95">
        <v>35.1</v>
      </c>
      <c r="BL95">
        <v>1320</v>
      </c>
      <c r="BM95">
        <v>44</v>
      </c>
      <c r="BO95" t="s">
        <v>184</v>
      </c>
      <c r="BP95" t="str">
        <f t="shared" si="94"/>
        <v>0</v>
      </c>
    </row>
    <row r="96" spans="1:68" x14ac:dyDescent="0.15">
      <c r="A96">
        <f t="shared" si="98"/>
        <v>5202051</v>
      </c>
      <c r="B96" t="s">
        <v>408</v>
      </c>
      <c r="C96">
        <v>5</v>
      </c>
      <c r="D96">
        <v>2</v>
      </c>
      <c r="E96">
        <v>1</v>
      </c>
      <c r="F96" t="s">
        <v>210</v>
      </c>
      <c r="G96" t="s">
        <v>210</v>
      </c>
      <c r="H96">
        <v>0</v>
      </c>
      <c r="I96" s="28" t="s">
        <v>712</v>
      </c>
      <c r="J96" s="2">
        <f t="shared" si="99"/>
        <v>3</v>
      </c>
      <c r="K96" s="2">
        <f t="shared" si="100"/>
        <v>1.8</v>
      </c>
      <c r="L96" s="2">
        <f t="shared" si="101"/>
        <v>2</v>
      </c>
      <c r="M96" s="2">
        <v>10</v>
      </c>
      <c r="N96" s="2">
        <f t="shared" si="102"/>
        <v>138.24</v>
      </c>
      <c r="O96" s="2">
        <f t="shared" si="103"/>
        <v>13.82</v>
      </c>
      <c r="P96" s="2">
        <f t="shared" si="104"/>
        <v>1706.67</v>
      </c>
      <c r="Q96" s="2">
        <f t="shared" si="105"/>
        <v>170.67</v>
      </c>
      <c r="R96" s="2">
        <f t="shared" si="106"/>
        <v>27.65</v>
      </c>
      <c r="S96" s="2">
        <f t="shared" si="107"/>
        <v>2.76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4">
        <v>512021</v>
      </c>
      <c r="Z96" s="12" t="s">
        <v>448</v>
      </c>
      <c r="AA96" s="4">
        <v>1</v>
      </c>
      <c r="AB96" s="4">
        <v>0</v>
      </c>
      <c r="AC96" s="4"/>
      <c r="AD96" s="4">
        <f t="shared" si="96"/>
        <v>4994.5847141399991</v>
      </c>
      <c r="AF96" s="1" t="str">
        <f t="shared" si="97"/>
        <v>2</v>
      </c>
      <c r="AG96">
        <v>5</v>
      </c>
      <c r="AH96">
        <f t="shared" si="108"/>
        <v>138.24</v>
      </c>
      <c r="AI96">
        <f t="shared" si="109"/>
        <v>13.824000000000002</v>
      </c>
      <c r="AJ96">
        <f t="shared" si="110"/>
        <v>1706.666666666667</v>
      </c>
      <c r="AK96">
        <f t="shared" si="111"/>
        <v>170.66666666666671</v>
      </c>
      <c r="AL96">
        <f t="shared" si="112"/>
        <v>27.648000000000003</v>
      </c>
      <c r="AM96">
        <f t="shared" si="113"/>
        <v>2.7648000000000006</v>
      </c>
      <c r="AN96">
        <f t="shared" si="114"/>
        <v>1.8</v>
      </c>
      <c r="AO96">
        <f t="shared" si="115"/>
        <v>2</v>
      </c>
      <c r="AP96">
        <f t="shared" si="116"/>
        <v>3</v>
      </c>
      <c r="AQ96">
        <v>202</v>
      </c>
      <c r="AR96">
        <v>5</v>
      </c>
      <c r="BO96" t="s">
        <v>186</v>
      </c>
      <c r="BP96" t="str">
        <f t="shared" si="94"/>
        <v>0</v>
      </c>
    </row>
    <row r="97" spans="1:68" x14ac:dyDescent="0.15">
      <c r="A97">
        <f t="shared" si="98"/>
        <v>5301051</v>
      </c>
      <c r="B97" t="s">
        <v>409</v>
      </c>
      <c r="C97">
        <v>5</v>
      </c>
      <c r="D97">
        <v>3</v>
      </c>
      <c r="E97">
        <v>1</v>
      </c>
      <c r="F97" t="s">
        <v>211</v>
      </c>
      <c r="G97" t="s">
        <v>211</v>
      </c>
      <c r="H97" s="2">
        <v>0</v>
      </c>
      <c r="I97" s="28" t="s">
        <v>713</v>
      </c>
      <c r="J97" s="2">
        <f t="shared" si="99"/>
        <v>3</v>
      </c>
      <c r="K97" s="2">
        <f t="shared" si="100"/>
        <v>1.2</v>
      </c>
      <c r="L97" s="2">
        <f t="shared" si="101"/>
        <v>2</v>
      </c>
      <c r="M97" s="2">
        <v>10</v>
      </c>
      <c r="N97" s="2">
        <f t="shared" si="102"/>
        <v>92.16</v>
      </c>
      <c r="O97" s="2">
        <f t="shared" si="103"/>
        <v>9.2200000000000006</v>
      </c>
      <c r="P97" s="2">
        <f t="shared" si="104"/>
        <v>1706.67</v>
      </c>
      <c r="Q97" s="2">
        <f t="shared" si="105"/>
        <v>170.67</v>
      </c>
      <c r="R97" s="2">
        <f t="shared" si="106"/>
        <v>18.43</v>
      </c>
      <c r="S97" s="2">
        <f t="shared" si="107"/>
        <v>1.84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4">
        <v>513011</v>
      </c>
      <c r="Z97" s="12" t="s">
        <v>449</v>
      </c>
      <c r="AA97" s="4">
        <v>1</v>
      </c>
      <c r="AB97" s="4">
        <v>0</v>
      </c>
      <c r="AC97" s="4"/>
      <c r="AD97" s="4">
        <f t="shared" si="96"/>
        <v>4997.8701063899998</v>
      </c>
      <c r="AF97" s="1" t="str">
        <f t="shared" si="97"/>
        <v>1</v>
      </c>
      <c r="AG97">
        <v>5</v>
      </c>
      <c r="AH97">
        <f t="shared" si="108"/>
        <v>92.160000000000025</v>
      </c>
      <c r="AI97">
        <f t="shared" si="109"/>
        <v>9.2160000000000029</v>
      </c>
      <c r="AJ97">
        <f t="shared" si="110"/>
        <v>1706.666666666667</v>
      </c>
      <c r="AK97">
        <f t="shared" si="111"/>
        <v>170.66666666666671</v>
      </c>
      <c r="AL97">
        <f t="shared" si="112"/>
        <v>18.432000000000006</v>
      </c>
      <c r="AM97">
        <f t="shared" si="113"/>
        <v>1.8432000000000006</v>
      </c>
      <c r="AN97">
        <f t="shared" si="114"/>
        <v>1.2</v>
      </c>
      <c r="AO97">
        <f t="shared" si="115"/>
        <v>2</v>
      </c>
      <c r="AP97">
        <f t="shared" si="116"/>
        <v>3</v>
      </c>
      <c r="AQ97">
        <v>301</v>
      </c>
      <c r="AR97">
        <v>5</v>
      </c>
      <c r="AV97">
        <v>26809</v>
      </c>
      <c r="AW97">
        <v>2828</v>
      </c>
      <c r="AX97">
        <v>14</v>
      </c>
      <c r="AY97">
        <v>590</v>
      </c>
      <c r="BB97">
        <v>19279</v>
      </c>
      <c r="BC97">
        <v>3433</v>
      </c>
      <c r="BD97">
        <v>11</v>
      </c>
      <c r="BE97">
        <v>631</v>
      </c>
      <c r="BF97">
        <v>100</v>
      </c>
      <c r="BG97">
        <f>(BG$95+(BG$95*0.1*$BF97))*$AZ$87*2*1.1</f>
        <v>1393.92</v>
      </c>
      <c r="BH97">
        <f>(BH$95+(BH$95*0.1*$BF97))*$AZ$87*2*1.15</f>
        <v>58291.199999999997</v>
      </c>
      <c r="BI97">
        <f>(BI$95+(BI$95*0.1*$BF97))</f>
        <v>528</v>
      </c>
      <c r="BK97">
        <f>(BK$95+(BK$95*0.1*$BF97))*$AZ$87*2*1.15</f>
        <v>1420.8480000000002</v>
      </c>
      <c r="BL97">
        <f>(BL$95+(BL$95*0.1*$BF97))*$AZ$87*2*1.1</f>
        <v>51110.400000000001</v>
      </c>
      <c r="BM97">
        <f>(BM$95+(BM$95*0.1*$BF97))</f>
        <v>484.00000000000006</v>
      </c>
      <c r="BO97" t="s">
        <v>169</v>
      </c>
      <c r="BP97" t="str">
        <f t="shared" si="94"/>
        <v>0</v>
      </c>
    </row>
    <row r="98" spans="1:68" x14ac:dyDescent="0.15">
      <c r="A98">
        <f t="shared" si="98"/>
        <v>5401051</v>
      </c>
      <c r="B98" t="s">
        <v>410</v>
      </c>
      <c r="C98">
        <v>5</v>
      </c>
      <c r="D98">
        <v>4</v>
      </c>
      <c r="E98">
        <v>1</v>
      </c>
      <c r="F98" t="s">
        <v>212</v>
      </c>
      <c r="G98" t="s">
        <v>212</v>
      </c>
      <c r="H98" s="2">
        <v>0</v>
      </c>
      <c r="I98" s="2" t="s">
        <v>103</v>
      </c>
      <c r="J98" s="2">
        <f t="shared" si="99"/>
        <v>6</v>
      </c>
      <c r="K98" s="2">
        <f t="shared" si="100"/>
        <v>1.6</v>
      </c>
      <c r="L98" s="2">
        <f t="shared" si="101"/>
        <v>2</v>
      </c>
      <c r="M98" s="2">
        <v>10</v>
      </c>
      <c r="N98" s="2">
        <f t="shared" si="102"/>
        <v>163.84</v>
      </c>
      <c r="O98" s="2">
        <f t="shared" si="103"/>
        <v>16.38</v>
      </c>
      <c r="P98" s="2">
        <f t="shared" si="104"/>
        <v>1280</v>
      </c>
      <c r="Q98" s="2">
        <f t="shared" si="105"/>
        <v>128</v>
      </c>
      <c r="R98" s="2">
        <f t="shared" si="106"/>
        <v>23.41</v>
      </c>
      <c r="S98" s="2">
        <f t="shared" si="107"/>
        <v>2.34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4">
        <v>514011</v>
      </c>
      <c r="Z98" s="12" t="s">
        <v>450</v>
      </c>
      <c r="AA98" s="4">
        <v>1</v>
      </c>
      <c r="AB98" s="4">
        <v>0</v>
      </c>
      <c r="AC98" s="4"/>
      <c r="AD98" s="4">
        <f t="shared" si="96"/>
        <v>4994.7004799999995</v>
      </c>
      <c r="AF98" s="1" t="str">
        <f t="shared" si="97"/>
        <v>1</v>
      </c>
      <c r="AG98">
        <v>5</v>
      </c>
      <c r="AH98">
        <f t="shared" si="108"/>
        <v>163.84000000000003</v>
      </c>
      <c r="AI98">
        <f t="shared" si="109"/>
        <v>16.384000000000004</v>
      </c>
      <c r="AJ98">
        <f t="shared" si="110"/>
        <v>1280</v>
      </c>
      <c r="AK98">
        <f t="shared" si="111"/>
        <v>128</v>
      </c>
      <c r="AL98">
        <f t="shared" si="112"/>
        <v>23.405714285714289</v>
      </c>
      <c r="AM98">
        <f t="shared" si="113"/>
        <v>2.3405714285714292</v>
      </c>
      <c r="AN98">
        <f t="shared" si="114"/>
        <v>1.6</v>
      </c>
      <c r="AO98">
        <f t="shared" si="115"/>
        <v>2</v>
      </c>
      <c r="AP98">
        <f t="shared" si="116"/>
        <v>6</v>
      </c>
      <c r="AQ98">
        <v>401</v>
      </c>
      <c r="AR98">
        <v>5</v>
      </c>
      <c r="AV98">
        <v>74370</v>
      </c>
      <c r="AW98">
        <v>7402</v>
      </c>
      <c r="AX98">
        <v>16</v>
      </c>
      <c r="AY98">
        <v>786</v>
      </c>
      <c r="BB98">
        <v>59372</v>
      </c>
      <c r="BC98">
        <v>7710</v>
      </c>
      <c r="BD98">
        <v>12</v>
      </c>
      <c r="BE98">
        <v>835</v>
      </c>
      <c r="BF98">
        <v>140</v>
      </c>
      <c r="BG98">
        <f>(BG$95+(BG$95*0.1*$BF98))*$BA$87*2.2*1.15</f>
        <v>2459.16</v>
      </c>
      <c r="BH98">
        <f>(BH$95+(BH$95*0.1*$BF98))*$BA$87*2.2*1.2</f>
        <v>102643.2</v>
      </c>
      <c r="BI98">
        <f>(BI$95+(BI$95*0.1*$BF98))</f>
        <v>720.00000000000011</v>
      </c>
      <c r="BK98">
        <f>(BK$95+(BK$95*0.1*$BF98))*$BA$87*2.2*1.25</f>
        <v>2606.1750000000002</v>
      </c>
      <c r="BL98">
        <f>(BL$95+(BL$95*0.1*$BF98))*$BA$87*2.2*1.15</f>
        <v>90169.2</v>
      </c>
      <c r="BM98">
        <f>(BM$95+(BM$95*0.1*$BF98))</f>
        <v>660</v>
      </c>
      <c r="BO98" t="s">
        <v>180</v>
      </c>
      <c r="BP98" t="str">
        <f t="shared" si="94"/>
        <v>2</v>
      </c>
    </row>
    <row r="99" spans="1:68" x14ac:dyDescent="0.15">
      <c r="A99">
        <f t="shared" si="98"/>
        <v>5402051</v>
      </c>
      <c r="B99" t="s">
        <v>102</v>
      </c>
      <c r="C99">
        <v>5</v>
      </c>
      <c r="D99">
        <v>4</v>
      </c>
      <c r="E99">
        <v>1</v>
      </c>
      <c r="F99" t="s">
        <v>213</v>
      </c>
      <c r="G99" t="s">
        <v>213</v>
      </c>
      <c r="H99">
        <v>0</v>
      </c>
      <c r="I99" s="28" t="s">
        <v>714</v>
      </c>
      <c r="J99" s="2">
        <f t="shared" si="99"/>
        <v>6</v>
      </c>
      <c r="K99" s="2">
        <f t="shared" si="100"/>
        <v>1.5</v>
      </c>
      <c r="L99" s="2">
        <f t="shared" si="101"/>
        <v>1.5</v>
      </c>
      <c r="M99" s="2">
        <v>10</v>
      </c>
      <c r="N99" s="2">
        <f t="shared" si="102"/>
        <v>153.6</v>
      </c>
      <c r="O99" s="2">
        <f t="shared" si="103"/>
        <v>15.36</v>
      </c>
      <c r="P99" s="2">
        <f t="shared" si="104"/>
        <v>1280</v>
      </c>
      <c r="Q99" s="2">
        <f t="shared" si="105"/>
        <v>128</v>
      </c>
      <c r="R99" s="2">
        <f t="shared" si="106"/>
        <v>21.94</v>
      </c>
      <c r="S99" s="2">
        <f t="shared" si="107"/>
        <v>2.19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4">
        <v>514021</v>
      </c>
      <c r="Z99" s="12" t="s">
        <v>451</v>
      </c>
      <c r="AA99" s="4">
        <v>1</v>
      </c>
      <c r="AB99" s="4">
        <v>0</v>
      </c>
      <c r="AC99" s="4"/>
      <c r="AD99" s="4">
        <f t="shared" si="96"/>
        <v>4995.8092800000004</v>
      </c>
      <c r="AF99" s="1" t="str">
        <f t="shared" si="97"/>
        <v>2</v>
      </c>
      <c r="AG99">
        <v>5</v>
      </c>
      <c r="AH99">
        <f t="shared" si="108"/>
        <v>153.60000000000002</v>
      </c>
      <c r="AI99">
        <f t="shared" si="109"/>
        <v>15.360000000000003</v>
      </c>
      <c r="AJ99">
        <f t="shared" si="110"/>
        <v>1280</v>
      </c>
      <c r="AK99">
        <f t="shared" si="111"/>
        <v>128</v>
      </c>
      <c r="AL99">
        <f t="shared" si="112"/>
        <v>21.942857142857147</v>
      </c>
      <c r="AM99">
        <f t="shared" si="113"/>
        <v>2.1942857142857148</v>
      </c>
      <c r="AN99">
        <f t="shared" si="114"/>
        <v>1.5</v>
      </c>
      <c r="AO99">
        <f t="shared" si="115"/>
        <v>1.5</v>
      </c>
      <c r="AP99">
        <f t="shared" si="116"/>
        <v>6</v>
      </c>
      <c r="AQ99">
        <v>402</v>
      </c>
      <c r="AR99">
        <v>5</v>
      </c>
      <c r="AV99">
        <f>AV98/AV97</f>
        <v>2.7740684098623598</v>
      </c>
      <c r="AW99">
        <f t="shared" ref="AW99:AY99" si="118">AW98/AW97</f>
        <v>2.6173974540311176</v>
      </c>
      <c r="AX99">
        <f t="shared" si="118"/>
        <v>1.1428571428571428</v>
      </c>
      <c r="AY99">
        <f t="shared" si="118"/>
        <v>1.3322033898305086</v>
      </c>
      <c r="BB99">
        <f>BB98/BB97</f>
        <v>3.0796203122568597</v>
      </c>
      <c r="BC99">
        <f t="shared" ref="BC99:BE99" si="119">BC98/BC97</f>
        <v>2.2458491115642296</v>
      </c>
      <c r="BD99">
        <f t="shared" si="119"/>
        <v>1.0909090909090908</v>
      </c>
      <c r="BE99">
        <f t="shared" si="119"/>
        <v>1.323296354992076</v>
      </c>
      <c r="BG99">
        <f t="shared" ref="BG99" si="120">BG98/BG97</f>
        <v>1.7642045454545452</v>
      </c>
      <c r="BH99">
        <f t="shared" ref="BH99" si="121">BH98/BH97</f>
        <v>1.7608695652173914</v>
      </c>
      <c r="BI99">
        <f t="shared" ref="BI99" si="122">BI98/BI97</f>
        <v>1.3636363636363638</v>
      </c>
      <c r="BK99">
        <f t="shared" ref="BK99" si="123">BK98/BK97</f>
        <v>1.8342391304347825</v>
      </c>
      <c r="BL99">
        <f t="shared" ref="BL99" si="124">BL98/BL97</f>
        <v>1.7642045454545454</v>
      </c>
      <c r="BM99">
        <f t="shared" ref="BM99" si="125">BM98/BM97</f>
        <v>1.3636363636363635</v>
      </c>
      <c r="BO99" t="s">
        <v>165</v>
      </c>
      <c r="BP99" t="str">
        <f t="shared" si="94"/>
        <v>2</v>
      </c>
    </row>
    <row r="100" spans="1:68" x14ac:dyDescent="0.15">
      <c r="A100">
        <f t="shared" si="98"/>
        <v>5500051</v>
      </c>
      <c r="B100" t="s">
        <v>411</v>
      </c>
      <c r="C100">
        <v>5</v>
      </c>
      <c r="D100">
        <v>5</v>
      </c>
      <c r="E100">
        <v>1</v>
      </c>
      <c r="F100" t="s">
        <v>214</v>
      </c>
      <c r="G100" t="s">
        <v>214</v>
      </c>
      <c r="H100">
        <v>0</v>
      </c>
      <c r="I100" s="2" t="s">
        <v>109</v>
      </c>
      <c r="J100" s="2">
        <f t="shared" si="99"/>
        <v>6</v>
      </c>
      <c r="K100" s="2">
        <f t="shared" si="100"/>
        <v>1.5</v>
      </c>
      <c r="L100" s="2">
        <f t="shared" si="101"/>
        <v>1.5</v>
      </c>
      <c r="M100" s="2">
        <v>10</v>
      </c>
      <c r="N100" s="2">
        <f t="shared" si="102"/>
        <v>179.2</v>
      </c>
      <c r="O100" s="2">
        <f t="shared" si="103"/>
        <v>17.920000000000002</v>
      </c>
      <c r="P100" s="2">
        <f t="shared" si="104"/>
        <v>1097.1400000000001</v>
      </c>
      <c r="Q100" s="2">
        <f t="shared" si="105"/>
        <v>109.71</v>
      </c>
      <c r="R100" s="2">
        <f t="shared" si="106"/>
        <v>22.4</v>
      </c>
      <c r="S100" s="2">
        <f t="shared" si="107"/>
        <v>2.2400000000000002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4">
        <v>515001</v>
      </c>
      <c r="Z100" s="12" t="s">
        <v>452</v>
      </c>
      <c r="AA100" s="4">
        <v>1</v>
      </c>
      <c r="AB100" s="4">
        <v>0</v>
      </c>
      <c r="AC100" s="4"/>
      <c r="AD100" s="4">
        <f t="shared" si="96"/>
        <v>4995.6306892800003</v>
      </c>
      <c r="AF100" s="1" t="str">
        <f t="shared" si="97"/>
        <v>0</v>
      </c>
      <c r="AG100">
        <v>5</v>
      </c>
      <c r="AH100">
        <f t="shared" si="108"/>
        <v>179.19999999999996</v>
      </c>
      <c r="AI100">
        <f t="shared" si="109"/>
        <v>17.919999999999998</v>
      </c>
      <c r="AJ100">
        <f t="shared" si="110"/>
        <v>1097.1428571428573</v>
      </c>
      <c r="AK100">
        <f t="shared" si="111"/>
        <v>109.71428571428574</v>
      </c>
      <c r="AL100">
        <f t="shared" si="112"/>
        <v>22.399999999999995</v>
      </c>
      <c r="AM100">
        <f t="shared" si="113"/>
        <v>2.2399999999999998</v>
      </c>
      <c r="AN100">
        <f t="shared" si="114"/>
        <v>1.5</v>
      </c>
      <c r="AO100">
        <f t="shared" si="115"/>
        <v>1.5</v>
      </c>
      <c r="AP100">
        <f t="shared" si="116"/>
        <v>6</v>
      </c>
      <c r="AQ100">
        <v>500</v>
      </c>
      <c r="AR100">
        <v>5</v>
      </c>
      <c r="BO100" t="s">
        <v>178</v>
      </c>
      <c r="BP100" t="str">
        <f t="shared" si="94"/>
        <v>2</v>
      </c>
    </row>
    <row r="101" spans="1:68" x14ac:dyDescent="0.15">
      <c r="A101">
        <f t="shared" si="98"/>
        <v>5502051</v>
      </c>
      <c r="B101" t="s">
        <v>115</v>
      </c>
      <c r="C101">
        <v>5</v>
      </c>
      <c r="D101">
        <v>5</v>
      </c>
      <c r="E101">
        <v>1</v>
      </c>
      <c r="F101" t="s">
        <v>215</v>
      </c>
      <c r="G101" t="s">
        <v>215</v>
      </c>
      <c r="H101" s="2">
        <v>0</v>
      </c>
      <c r="I101" s="2" t="s">
        <v>113</v>
      </c>
      <c r="J101" s="2">
        <f t="shared" si="99"/>
        <v>6</v>
      </c>
      <c r="K101" s="2">
        <f t="shared" si="100"/>
        <v>1.4000000000000001</v>
      </c>
      <c r="L101" s="2">
        <f t="shared" si="101"/>
        <v>2</v>
      </c>
      <c r="M101" s="2">
        <v>10</v>
      </c>
      <c r="N101" s="2">
        <f t="shared" si="102"/>
        <v>167.25</v>
      </c>
      <c r="O101" s="2">
        <f t="shared" si="103"/>
        <v>16.73</v>
      </c>
      <c r="P101" s="2">
        <f t="shared" si="104"/>
        <v>1097.1400000000001</v>
      </c>
      <c r="Q101" s="2">
        <f t="shared" si="105"/>
        <v>109.71</v>
      </c>
      <c r="R101" s="2">
        <f t="shared" si="106"/>
        <v>20.91</v>
      </c>
      <c r="S101" s="2">
        <f t="shared" si="107"/>
        <v>2.09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4">
        <v>515021</v>
      </c>
      <c r="Z101" s="12" t="s">
        <v>453</v>
      </c>
      <c r="AA101" s="4">
        <v>1</v>
      </c>
      <c r="AB101" s="4">
        <v>0</v>
      </c>
      <c r="AC101" s="4"/>
      <c r="AD101" s="4">
        <f t="shared" si="96"/>
        <v>4996.8887928749991</v>
      </c>
      <c r="AF101" s="1" t="str">
        <f t="shared" si="97"/>
        <v>2</v>
      </c>
      <c r="AG101">
        <v>5</v>
      </c>
      <c r="AH101">
        <f t="shared" si="108"/>
        <v>167.25333333333333</v>
      </c>
      <c r="AI101">
        <f t="shared" si="109"/>
        <v>16.725333333333335</v>
      </c>
      <c r="AJ101">
        <f t="shared" si="110"/>
        <v>1097.1428571428573</v>
      </c>
      <c r="AK101">
        <f t="shared" si="111"/>
        <v>109.71428571428574</v>
      </c>
      <c r="AL101">
        <f t="shared" si="112"/>
        <v>20.906666666666666</v>
      </c>
      <c r="AM101">
        <f t="shared" si="113"/>
        <v>2.0906666666666669</v>
      </c>
      <c r="AN101">
        <f t="shared" si="114"/>
        <v>1.4</v>
      </c>
      <c r="AO101">
        <f t="shared" si="115"/>
        <v>2</v>
      </c>
      <c r="AP101">
        <f t="shared" si="116"/>
        <v>6</v>
      </c>
      <c r="AQ101">
        <v>502</v>
      </c>
      <c r="AR101">
        <v>5</v>
      </c>
      <c r="AU101" s="6" t="s">
        <v>203</v>
      </c>
      <c r="AV101">
        <v>3</v>
      </c>
      <c r="AW101">
        <v>4</v>
      </c>
      <c r="AX101">
        <v>5</v>
      </c>
      <c r="AY101">
        <v>6</v>
      </c>
      <c r="AZ101">
        <v>7</v>
      </c>
      <c r="BA101">
        <v>8</v>
      </c>
      <c r="BB101">
        <v>9</v>
      </c>
      <c r="BO101" t="s">
        <v>136</v>
      </c>
      <c r="BP101" t="str">
        <f t="shared" si="94"/>
        <v>1</v>
      </c>
    </row>
    <row r="102" spans="1:68" x14ac:dyDescent="0.15">
      <c r="A102">
        <f t="shared" si="98"/>
        <v>5601051</v>
      </c>
      <c r="B102" t="s">
        <v>412</v>
      </c>
      <c r="C102">
        <v>5</v>
      </c>
      <c r="D102">
        <v>6</v>
      </c>
      <c r="E102">
        <v>1</v>
      </c>
      <c r="F102" t="s">
        <v>216</v>
      </c>
      <c r="G102" t="s">
        <v>216</v>
      </c>
      <c r="H102">
        <v>0</v>
      </c>
      <c r="I102" s="2" t="s">
        <v>116</v>
      </c>
      <c r="J102" s="2">
        <f t="shared" si="99"/>
        <v>6</v>
      </c>
      <c r="K102" s="2">
        <f t="shared" si="100"/>
        <v>1.5</v>
      </c>
      <c r="L102" s="2">
        <f t="shared" si="101"/>
        <v>2</v>
      </c>
      <c r="M102" s="2">
        <v>10</v>
      </c>
      <c r="N102" s="2">
        <f t="shared" si="102"/>
        <v>198.4</v>
      </c>
      <c r="O102" s="2">
        <f t="shared" si="103"/>
        <v>19.84</v>
      </c>
      <c r="P102" s="2">
        <f t="shared" si="104"/>
        <v>990.97</v>
      </c>
      <c r="Q102" s="2">
        <f t="shared" si="105"/>
        <v>99.1</v>
      </c>
      <c r="R102" s="2">
        <f t="shared" si="106"/>
        <v>19.84</v>
      </c>
      <c r="S102" s="2">
        <f t="shared" si="107"/>
        <v>1.98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4">
        <v>516011</v>
      </c>
      <c r="Z102" s="12" t="s">
        <v>454</v>
      </c>
      <c r="AA102" s="4">
        <v>1</v>
      </c>
      <c r="AB102" s="4">
        <v>0</v>
      </c>
      <c r="AC102" s="4"/>
      <c r="AD102" s="4">
        <f t="shared" si="96"/>
        <v>4995.9581548799997</v>
      </c>
      <c r="AF102" s="1" t="str">
        <f t="shared" si="97"/>
        <v>1</v>
      </c>
      <c r="AG102">
        <v>5</v>
      </c>
      <c r="AH102">
        <f t="shared" si="108"/>
        <v>198.4</v>
      </c>
      <c r="AI102">
        <f t="shared" si="109"/>
        <v>19.840000000000003</v>
      </c>
      <c r="AJ102">
        <f t="shared" si="110"/>
        <v>990.9677419354839</v>
      </c>
      <c r="AK102">
        <f t="shared" si="111"/>
        <v>99.096774193548399</v>
      </c>
      <c r="AL102">
        <f t="shared" si="112"/>
        <v>19.84</v>
      </c>
      <c r="AM102">
        <f t="shared" si="113"/>
        <v>1.984</v>
      </c>
      <c r="AN102">
        <f t="shared" si="114"/>
        <v>1.5</v>
      </c>
      <c r="AO102">
        <f t="shared" si="115"/>
        <v>2</v>
      </c>
      <c r="AP102">
        <f t="shared" si="116"/>
        <v>6</v>
      </c>
      <c r="AQ102">
        <v>601</v>
      </c>
      <c r="AR102">
        <v>5</v>
      </c>
      <c r="AV102">
        <v>40</v>
      </c>
      <c r="AW102">
        <v>60</v>
      </c>
      <c r="AX102">
        <v>80</v>
      </c>
      <c r="AY102">
        <v>100</v>
      </c>
      <c r="AZ102">
        <v>140</v>
      </c>
      <c r="BA102">
        <v>160</v>
      </c>
      <c r="BB102">
        <v>180</v>
      </c>
      <c r="BO102" t="s">
        <v>136</v>
      </c>
      <c r="BP102" t="str">
        <f t="shared" si="94"/>
        <v>1</v>
      </c>
    </row>
    <row r="103" spans="1:68" x14ac:dyDescent="0.15">
      <c r="A103">
        <f t="shared" si="98"/>
        <v>5200052</v>
      </c>
      <c r="B103" t="s">
        <v>160</v>
      </c>
      <c r="C103">
        <v>5</v>
      </c>
      <c r="D103">
        <v>2</v>
      </c>
      <c r="E103">
        <v>2</v>
      </c>
      <c r="F103" t="s">
        <v>217</v>
      </c>
      <c r="G103" t="s">
        <v>217</v>
      </c>
      <c r="H103">
        <v>0</v>
      </c>
      <c r="I103" s="28" t="s">
        <v>715</v>
      </c>
      <c r="J103" s="2">
        <f t="shared" si="99"/>
        <v>3</v>
      </c>
      <c r="K103" s="2">
        <f t="shared" si="100"/>
        <v>1.5</v>
      </c>
      <c r="L103" s="2">
        <f t="shared" si="101"/>
        <v>1.2</v>
      </c>
      <c r="M103" s="2">
        <v>10</v>
      </c>
      <c r="N103" s="2">
        <f t="shared" si="102"/>
        <v>128</v>
      </c>
      <c r="O103" s="2">
        <f t="shared" si="103"/>
        <v>12.8</v>
      </c>
      <c r="P103" s="2">
        <f t="shared" si="104"/>
        <v>1536</v>
      </c>
      <c r="Q103" s="2">
        <f t="shared" si="105"/>
        <v>153.6</v>
      </c>
      <c r="R103" s="2">
        <f t="shared" si="106"/>
        <v>32</v>
      </c>
      <c r="S103" s="2">
        <f t="shared" si="107"/>
        <v>3.2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4">
        <v>522001</v>
      </c>
      <c r="Z103" s="12" t="s">
        <v>455</v>
      </c>
      <c r="AA103" s="4">
        <v>1</v>
      </c>
      <c r="AB103" s="4">
        <v>0</v>
      </c>
      <c r="AC103" s="4"/>
      <c r="AD103" s="4">
        <f t="shared" si="96"/>
        <v>4995.8092800000004</v>
      </c>
      <c r="AF103" s="1" t="str">
        <f t="shared" si="97"/>
        <v>0</v>
      </c>
      <c r="AG103">
        <v>5</v>
      </c>
      <c r="AH103">
        <f t="shared" si="108"/>
        <v>128</v>
      </c>
      <c r="AI103">
        <f t="shared" si="109"/>
        <v>12.8</v>
      </c>
      <c r="AJ103">
        <f t="shared" si="110"/>
        <v>1536</v>
      </c>
      <c r="AK103">
        <f t="shared" si="111"/>
        <v>153.60000000000002</v>
      </c>
      <c r="AL103">
        <f t="shared" si="112"/>
        <v>32</v>
      </c>
      <c r="AM103">
        <f t="shared" si="113"/>
        <v>3.2</v>
      </c>
      <c r="AN103">
        <f t="shared" si="114"/>
        <v>1.5</v>
      </c>
      <c r="AO103">
        <f t="shared" si="115"/>
        <v>1.2</v>
      </c>
      <c r="AP103">
        <f t="shared" si="116"/>
        <v>3</v>
      </c>
      <c r="AQ103">
        <v>200</v>
      </c>
      <c r="AR103">
        <v>5</v>
      </c>
      <c r="AV103">
        <v>1.2</v>
      </c>
      <c r="AW103">
        <v>1.4</v>
      </c>
      <c r="AX103">
        <v>1.6</v>
      </c>
      <c r="AY103">
        <v>1.8</v>
      </c>
      <c r="AZ103" s="6">
        <v>1.9</v>
      </c>
      <c r="BA103" s="6">
        <v>2</v>
      </c>
      <c r="BB103" s="6">
        <v>2.1</v>
      </c>
      <c r="BO103" t="s">
        <v>141</v>
      </c>
      <c r="BP103" t="str">
        <f t="shared" si="94"/>
        <v>1</v>
      </c>
    </row>
    <row r="104" spans="1:68" x14ac:dyDescent="0.15">
      <c r="A104">
        <f t="shared" si="98"/>
        <v>5201052</v>
      </c>
      <c r="B104" t="s">
        <v>407</v>
      </c>
      <c r="C104">
        <v>5</v>
      </c>
      <c r="D104">
        <v>2</v>
      </c>
      <c r="E104">
        <v>2</v>
      </c>
      <c r="F104" t="s">
        <v>218</v>
      </c>
      <c r="G104" t="s">
        <v>218</v>
      </c>
      <c r="H104">
        <v>0</v>
      </c>
      <c r="I104" s="28" t="s">
        <v>722</v>
      </c>
      <c r="J104" s="2">
        <f t="shared" si="99"/>
        <v>3</v>
      </c>
      <c r="K104" s="2">
        <f t="shared" si="100"/>
        <v>1.8</v>
      </c>
      <c r="L104" s="2">
        <f t="shared" si="101"/>
        <v>1.8</v>
      </c>
      <c r="M104" s="2">
        <v>10</v>
      </c>
      <c r="N104" s="2">
        <f t="shared" si="102"/>
        <v>122.88</v>
      </c>
      <c r="O104" s="2">
        <f t="shared" si="103"/>
        <v>12.29</v>
      </c>
      <c r="P104" s="2">
        <f t="shared" si="104"/>
        <v>1920</v>
      </c>
      <c r="Q104" s="2">
        <f t="shared" si="105"/>
        <v>192</v>
      </c>
      <c r="R104" s="2">
        <f t="shared" si="106"/>
        <v>40.96</v>
      </c>
      <c r="S104" s="2">
        <f t="shared" si="107"/>
        <v>4.0999999999999996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4">
        <v>522011</v>
      </c>
      <c r="Z104" s="12" t="s">
        <v>456</v>
      </c>
      <c r="AA104" s="4">
        <v>1</v>
      </c>
      <c r="AB104" s="4">
        <v>0</v>
      </c>
      <c r="AC104" s="4"/>
      <c r="AD104" s="4">
        <f t="shared" si="96"/>
        <v>4996.5484799999995</v>
      </c>
      <c r="AF104" s="1" t="str">
        <f t="shared" si="97"/>
        <v>1</v>
      </c>
      <c r="AG104">
        <v>5</v>
      </c>
      <c r="AH104">
        <f t="shared" si="108"/>
        <v>122.88000000000002</v>
      </c>
      <c r="AI104">
        <f t="shared" si="109"/>
        <v>12.288000000000004</v>
      </c>
      <c r="AJ104">
        <f t="shared" si="110"/>
        <v>1920</v>
      </c>
      <c r="AK104">
        <f t="shared" si="111"/>
        <v>192</v>
      </c>
      <c r="AL104">
        <f t="shared" si="112"/>
        <v>40.960000000000008</v>
      </c>
      <c r="AM104">
        <f t="shared" si="113"/>
        <v>4.096000000000001</v>
      </c>
      <c r="AN104">
        <f t="shared" si="114"/>
        <v>1.8</v>
      </c>
      <c r="AO104">
        <f t="shared" si="115"/>
        <v>1.8</v>
      </c>
      <c r="AP104">
        <f t="shared" si="116"/>
        <v>3</v>
      </c>
      <c r="AQ104">
        <v>201</v>
      </c>
      <c r="AR104">
        <v>5</v>
      </c>
      <c r="BO104" t="s">
        <v>167</v>
      </c>
      <c r="BP104" t="str">
        <f t="shared" si="94"/>
        <v>1</v>
      </c>
    </row>
    <row r="105" spans="1:68" x14ac:dyDescent="0.15">
      <c r="A105">
        <f t="shared" si="98"/>
        <v>5202052</v>
      </c>
      <c r="B105" t="s">
        <v>408</v>
      </c>
      <c r="C105">
        <v>5</v>
      </c>
      <c r="D105">
        <v>2</v>
      </c>
      <c r="E105">
        <v>2</v>
      </c>
      <c r="F105" t="s">
        <v>219</v>
      </c>
      <c r="G105" t="s">
        <v>219</v>
      </c>
      <c r="H105" s="2">
        <v>0</v>
      </c>
      <c r="I105" s="2" t="s">
        <v>96</v>
      </c>
      <c r="J105" s="2">
        <f t="shared" si="99"/>
        <v>3</v>
      </c>
      <c r="K105" s="2">
        <f t="shared" si="100"/>
        <v>1.8</v>
      </c>
      <c r="L105" s="2">
        <f t="shared" si="101"/>
        <v>2</v>
      </c>
      <c r="M105" s="2">
        <v>10</v>
      </c>
      <c r="N105" s="2">
        <f t="shared" si="102"/>
        <v>138.24</v>
      </c>
      <c r="O105" s="2">
        <f t="shared" si="103"/>
        <v>13.82</v>
      </c>
      <c r="P105" s="2">
        <f t="shared" si="104"/>
        <v>1706.67</v>
      </c>
      <c r="Q105" s="2">
        <f t="shared" si="105"/>
        <v>170.67</v>
      </c>
      <c r="R105" s="2">
        <f t="shared" si="106"/>
        <v>27.65</v>
      </c>
      <c r="S105" s="2">
        <f t="shared" si="107"/>
        <v>2.76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4">
        <v>522021</v>
      </c>
      <c r="Z105" s="12" t="s">
        <v>457</v>
      </c>
      <c r="AA105" s="4">
        <v>1</v>
      </c>
      <c r="AB105" s="4">
        <v>0</v>
      </c>
      <c r="AC105" s="4"/>
      <c r="AD105" s="4">
        <f t="shared" si="96"/>
        <v>4994.5847141399991</v>
      </c>
      <c r="AF105" s="1" t="str">
        <f t="shared" si="97"/>
        <v>2</v>
      </c>
      <c r="AG105">
        <v>5</v>
      </c>
      <c r="AH105">
        <f t="shared" si="108"/>
        <v>138.24</v>
      </c>
      <c r="AI105">
        <f t="shared" si="109"/>
        <v>13.824000000000002</v>
      </c>
      <c r="AJ105">
        <f t="shared" si="110"/>
        <v>1706.666666666667</v>
      </c>
      <c r="AK105">
        <f t="shared" si="111"/>
        <v>170.66666666666671</v>
      </c>
      <c r="AL105">
        <f t="shared" si="112"/>
        <v>27.648000000000003</v>
      </c>
      <c r="AM105">
        <f t="shared" si="113"/>
        <v>2.7648000000000006</v>
      </c>
      <c r="AN105">
        <f t="shared" si="114"/>
        <v>1.8</v>
      </c>
      <c r="AO105">
        <f t="shared" si="115"/>
        <v>2</v>
      </c>
      <c r="AP105">
        <f t="shared" si="116"/>
        <v>3</v>
      </c>
      <c r="AQ105">
        <v>202</v>
      </c>
      <c r="AR105">
        <v>5</v>
      </c>
      <c r="BO105" t="s">
        <v>169</v>
      </c>
      <c r="BP105" t="str">
        <f t="shared" si="94"/>
        <v>0</v>
      </c>
    </row>
    <row r="106" spans="1:68" x14ac:dyDescent="0.15">
      <c r="A106">
        <f t="shared" si="98"/>
        <v>5301052</v>
      </c>
      <c r="B106" t="s">
        <v>409</v>
      </c>
      <c r="C106">
        <v>5</v>
      </c>
      <c r="D106">
        <v>3</v>
      </c>
      <c r="E106">
        <v>2</v>
      </c>
      <c r="F106" t="s">
        <v>220</v>
      </c>
      <c r="G106" t="s">
        <v>220</v>
      </c>
      <c r="H106">
        <v>0</v>
      </c>
      <c r="I106" s="2" t="s">
        <v>100</v>
      </c>
      <c r="J106" s="2">
        <f t="shared" si="99"/>
        <v>3</v>
      </c>
      <c r="K106" s="2">
        <f t="shared" si="100"/>
        <v>1.2</v>
      </c>
      <c r="L106" s="2">
        <f t="shared" si="101"/>
        <v>2</v>
      </c>
      <c r="M106" s="2">
        <v>10</v>
      </c>
      <c r="N106" s="2">
        <f t="shared" si="102"/>
        <v>92.16</v>
      </c>
      <c r="O106" s="2">
        <f t="shared" si="103"/>
        <v>9.2200000000000006</v>
      </c>
      <c r="P106" s="2">
        <f t="shared" si="104"/>
        <v>1706.67</v>
      </c>
      <c r="Q106" s="2">
        <f t="shared" si="105"/>
        <v>170.67</v>
      </c>
      <c r="R106" s="2">
        <f t="shared" si="106"/>
        <v>18.43</v>
      </c>
      <c r="S106" s="2">
        <f t="shared" si="107"/>
        <v>1.84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4">
        <v>523011</v>
      </c>
      <c r="Z106" s="12" t="s">
        <v>458</v>
      </c>
      <c r="AA106" s="4">
        <v>1</v>
      </c>
      <c r="AB106" s="4">
        <v>0</v>
      </c>
      <c r="AC106" s="4"/>
      <c r="AD106" s="4">
        <f t="shared" si="96"/>
        <v>4997.8701063899998</v>
      </c>
      <c r="AF106" s="1" t="str">
        <f t="shared" si="97"/>
        <v>1</v>
      </c>
      <c r="AG106">
        <v>5</v>
      </c>
      <c r="AH106">
        <f t="shared" si="108"/>
        <v>92.160000000000025</v>
      </c>
      <c r="AI106">
        <f t="shared" si="109"/>
        <v>9.2160000000000029</v>
      </c>
      <c r="AJ106">
        <f t="shared" si="110"/>
        <v>1706.666666666667</v>
      </c>
      <c r="AK106">
        <f t="shared" si="111"/>
        <v>170.66666666666671</v>
      </c>
      <c r="AL106">
        <f t="shared" si="112"/>
        <v>18.432000000000006</v>
      </c>
      <c r="AM106">
        <f t="shared" si="113"/>
        <v>1.8432000000000006</v>
      </c>
      <c r="AN106">
        <f t="shared" si="114"/>
        <v>1.2</v>
      </c>
      <c r="AO106">
        <f t="shared" si="115"/>
        <v>2</v>
      </c>
      <c r="AP106">
        <f t="shared" si="116"/>
        <v>3</v>
      </c>
      <c r="AQ106">
        <v>301</v>
      </c>
      <c r="AR106">
        <v>5</v>
      </c>
      <c r="BO106" t="s">
        <v>171</v>
      </c>
      <c r="BP106" t="str">
        <f t="shared" si="94"/>
        <v>1</v>
      </c>
    </row>
    <row r="107" spans="1:68" x14ac:dyDescent="0.15">
      <c r="A107">
        <f t="shared" si="98"/>
        <v>5401052</v>
      </c>
      <c r="B107" t="s">
        <v>410</v>
      </c>
      <c r="C107">
        <v>5</v>
      </c>
      <c r="D107">
        <v>4</v>
      </c>
      <c r="E107">
        <v>2</v>
      </c>
      <c r="F107" t="s">
        <v>221</v>
      </c>
      <c r="G107" t="s">
        <v>221</v>
      </c>
      <c r="H107" s="2">
        <v>0</v>
      </c>
      <c r="I107" s="28" t="s">
        <v>716</v>
      </c>
      <c r="J107" s="2">
        <f t="shared" si="99"/>
        <v>6</v>
      </c>
      <c r="K107" s="2">
        <f t="shared" si="100"/>
        <v>1.6</v>
      </c>
      <c r="L107" s="2">
        <f t="shared" si="101"/>
        <v>2</v>
      </c>
      <c r="M107" s="2">
        <v>10</v>
      </c>
      <c r="N107" s="2">
        <f t="shared" si="102"/>
        <v>163.84</v>
      </c>
      <c r="O107" s="2">
        <f t="shared" si="103"/>
        <v>16.38</v>
      </c>
      <c r="P107" s="2">
        <f t="shared" si="104"/>
        <v>1280</v>
      </c>
      <c r="Q107" s="2">
        <f t="shared" si="105"/>
        <v>128</v>
      </c>
      <c r="R107" s="2">
        <f t="shared" si="106"/>
        <v>23.41</v>
      </c>
      <c r="S107" s="2">
        <f t="shared" si="107"/>
        <v>2.34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4">
        <v>524011</v>
      </c>
      <c r="Z107" s="12" t="s">
        <v>459</v>
      </c>
      <c r="AA107" s="4">
        <v>1</v>
      </c>
      <c r="AB107" s="4">
        <v>0</v>
      </c>
      <c r="AC107" s="4"/>
      <c r="AD107" s="4">
        <f t="shared" si="96"/>
        <v>4994.7004799999995</v>
      </c>
      <c r="AF107" s="1" t="str">
        <f t="shared" si="97"/>
        <v>1</v>
      </c>
      <c r="AG107">
        <v>5</v>
      </c>
      <c r="AH107">
        <f t="shared" si="108"/>
        <v>163.84000000000003</v>
      </c>
      <c r="AI107">
        <f t="shared" si="109"/>
        <v>16.384000000000004</v>
      </c>
      <c r="AJ107">
        <f t="shared" si="110"/>
        <v>1280</v>
      </c>
      <c r="AK107">
        <f t="shared" si="111"/>
        <v>128</v>
      </c>
      <c r="AL107">
        <f t="shared" si="112"/>
        <v>23.405714285714289</v>
      </c>
      <c r="AM107">
        <f t="shared" si="113"/>
        <v>2.3405714285714292</v>
      </c>
      <c r="AN107">
        <f t="shared" si="114"/>
        <v>1.6</v>
      </c>
      <c r="AO107">
        <f t="shared" si="115"/>
        <v>2</v>
      </c>
      <c r="AP107">
        <f t="shared" si="116"/>
        <v>6</v>
      </c>
      <c r="AQ107">
        <v>401</v>
      </c>
      <c r="AR107">
        <v>5</v>
      </c>
      <c r="AS107" s="6" t="s">
        <v>204</v>
      </c>
      <c r="AT107" s="6" t="s">
        <v>65</v>
      </c>
      <c r="AU107" s="6" t="s">
        <v>205</v>
      </c>
      <c r="AV107" s="6" t="s">
        <v>203</v>
      </c>
      <c r="AW107" s="6" t="s">
        <v>206</v>
      </c>
      <c r="BO107" t="s">
        <v>165</v>
      </c>
      <c r="BP107" t="str">
        <f t="shared" si="94"/>
        <v>2</v>
      </c>
    </row>
    <row r="108" spans="1:68" x14ac:dyDescent="0.15">
      <c r="A108">
        <f t="shared" si="98"/>
        <v>5402052</v>
      </c>
      <c r="B108" t="s">
        <v>102</v>
      </c>
      <c r="C108">
        <v>5</v>
      </c>
      <c r="D108">
        <v>4</v>
      </c>
      <c r="E108">
        <v>2</v>
      </c>
      <c r="F108" t="s">
        <v>222</v>
      </c>
      <c r="G108" t="s">
        <v>222</v>
      </c>
      <c r="H108">
        <v>0</v>
      </c>
      <c r="I108" s="2" t="s">
        <v>106</v>
      </c>
      <c r="J108" s="2">
        <f t="shared" si="99"/>
        <v>6</v>
      </c>
      <c r="K108" s="2">
        <f t="shared" si="100"/>
        <v>1.5</v>
      </c>
      <c r="L108" s="2">
        <f t="shared" si="101"/>
        <v>1.5</v>
      </c>
      <c r="M108" s="2">
        <v>10</v>
      </c>
      <c r="N108" s="2">
        <f t="shared" si="102"/>
        <v>153.6</v>
      </c>
      <c r="O108" s="2">
        <f t="shared" si="103"/>
        <v>15.36</v>
      </c>
      <c r="P108" s="2">
        <f t="shared" si="104"/>
        <v>1280</v>
      </c>
      <c r="Q108" s="2">
        <f t="shared" si="105"/>
        <v>128</v>
      </c>
      <c r="R108" s="2">
        <f t="shared" si="106"/>
        <v>21.94</v>
      </c>
      <c r="S108" s="2">
        <f t="shared" si="107"/>
        <v>2.19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4">
        <v>524021</v>
      </c>
      <c r="Z108" s="12" t="s">
        <v>460</v>
      </c>
      <c r="AA108" s="4">
        <v>1</v>
      </c>
      <c r="AB108" s="4">
        <v>0</v>
      </c>
      <c r="AC108" s="4"/>
      <c r="AD108" s="4">
        <f t="shared" si="96"/>
        <v>4995.8092800000004</v>
      </c>
      <c r="AF108" s="1" t="str">
        <f t="shared" si="97"/>
        <v>2</v>
      </c>
      <c r="AG108">
        <v>5</v>
      </c>
      <c r="AH108">
        <f t="shared" si="108"/>
        <v>153.60000000000002</v>
      </c>
      <c r="AI108">
        <f t="shared" si="109"/>
        <v>15.360000000000003</v>
      </c>
      <c r="AJ108">
        <f t="shared" si="110"/>
        <v>1280</v>
      </c>
      <c r="AK108">
        <f t="shared" si="111"/>
        <v>128</v>
      </c>
      <c r="AL108">
        <f t="shared" si="112"/>
        <v>21.942857142857147</v>
      </c>
      <c r="AM108">
        <f t="shared" si="113"/>
        <v>2.1942857142857148</v>
      </c>
      <c r="AN108">
        <f t="shared" si="114"/>
        <v>1.5</v>
      </c>
      <c r="AO108">
        <f t="shared" si="115"/>
        <v>1.5</v>
      </c>
      <c r="AP108">
        <f t="shared" si="116"/>
        <v>6</v>
      </c>
      <c r="AQ108">
        <v>402</v>
      </c>
      <c r="AR108">
        <v>5</v>
      </c>
      <c r="AS108">
        <v>4202055</v>
      </c>
      <c r="AT108">
        <v>2000</v>
      </c>
      <c r="AU108" t="e">
        <f>INDEX($AV$87:$BI$87,MATCH(INDEX(C:C,MATCH(AS108,A:A,0)),$AV$86:$BI$86))</f>
        <v>#N/A</v>
      </c>
      <c r="AV108">
        <v>1.2</v>
      </c>
      <c r="AW108" t="e">
        <f>(POWER((AT108/AV108/7.56),0.5)/AU108-1)*10</f>
        <v>#N/A</v>
      </c>
      <c r="BO108" t="s">
        <v>159</v>
      </c>
      <c r="BP108" t="str">
        <f t="shared" si="94"/>
        <v>1</v>
      </c>
    </row>
    <row r="109" spans="1:68" x14ac:dyDescent="0.15">
      <c r="A109">
        <f t="shared" si="98"/>
        <v>5500052</v>
      </c>
      <c r="B109" t="s">
        <v>411</v>
      </c>
      <c r="C109">
        <v>5</v>
      </c>
      <c r="D109">
        <v>5</v>
      </c>
      <c r="E109">
        <v>2</v>
      </c>
      <c r="F109" t="s">
        <v>223</v>
      </c>
      <c r="G109" t="s">
        <v>223</v>
      </c>
      <c r="H109" s="2">
        <v>0</v>
      </c>
      <c r="I109" s="2" t="s">
        <v>109</v>
      </c>
      <c r="J109" s="2">
        <f t="shared" si="99"/>
        <v>6</v>
      </c>
      <c r="K109" s="2">
        <f t="shared" si="100"/>
        <v>1.5</v>
      </c>
      <c r="L109" s="2">
        <f t="shared" si="101"/>
        <v>1.5</v>
      </c>
      <c r="M109" s="2">
        <v>10</v>
      </c>
      <c r="N109" s="2">
        <f t="shared" si="102"/>
        <v>179.2</v>
      </c>
      <c r="O109" s="2">
        <f t="shared" si="103"/>
        <v>17.920000000000002</v>
      </c>
      <c r="P109" s="2">
        <f t="shared" si="104"/>
        <v>1097.1400000000001</v>
      </c>
      <c r="Q109" s="2">
        <f t="shared" si="105"/>
        <v>109.71</v>
      </c>
      <c r="R109" s="2">
        <f t="shared" si="106"/>
        <v>22.4</v>
      </c>
      <c r="S109" s="2">
        <f t="shared" si="107"/>
        <v>2.2400000000000002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4">
        <v>525001</v>
      </c>
      <c r="Z109" s="12" t="s">
        <v>461</v>
      </c>
      <c r="AA109" s="4">
        <v>1</v>
      </c>
      <c r="AB109" s="4">
        <v>0</v>
      </c>
      <c r="AC109" s="4"/>
      <c r="AD109" s="4">
        <f t="shared" si="96"/>
        <v>4995.6306892800003</v>
      </c>
      <c r="AF109" s="1" t="str">
        <f t="shared" si="97"/>
        <v>0</v>
      </c>
      <c r="AG109">
        <v>5</v>
      </c>
      <c r="AH109">
        <f t="shared" si="108"/>
        <v>179.19999999999996</v>
      </c>
      <c r="AI109">
        <f t="shared" si="109"/>
        <v>17.919999999999998</v>
      </c>
      <c r="AJ109">
        <f t="shared" si="110"/>
        <v>1097.1428571428573</v>
      </c>
      <c r="AK109">
        <f t="shared" si="111"/>
        <v>109.71428571428574</v>
      </c>
      <c r="AL109">
        <f t="shared" si="112"/>
        <v>22.399999999999995</v>
      </c>
      <c r="AM109">
        <f t="shared" si="113"/>
        <v>2.2399999999999998</v>
      </c>
      <c r="AN109">
        <f t="shared" si="114"/>
        <v>1.5</v>
      </c>
      <c r="AO109">
        <f t="shared" si="115"/>
        <v>1.5</v>
      </c>
      <c r="AP109">
        <f t="shared" si="116"/>
        <v>6</v>
      </c>
      <c r="AQ109">
        <v>500</v>
      </c>
      <c r="AR109">
        <v>5</v>
      </c>
      <c r="BO109" t="s">
        <v>182</v>
      </c>
      <c r="BP109" t="str">
        <f t="shared" si="94"/>
        <v>2</v>
      </c>
    </row>
    <row r="110" spans="1:68" x14ac:dyDescent="0.15">
      <c r="A110">
        <f t="shared" si="98"/>
        <v>5502052</v>
      </c>
      <c r="B110" t="s">
        <v>115</v>
      </c>
      <c r="C110">
        <v>5</v>
      </c>
      <c r="D110">
        <v>5</v>
      </c>
      <c r="E110">
        <v>2</v>
      </c>
      <c r="F110" t="s">
        <v>224</v>
      </c>
      <c r="G110" t="s">
        <v>224</v>
      </c>
      <c r="H110" s="2">
        <v>0</v>
      </c>
      <c r="I110" s="2" t="s">
        <v>113</v>
      </c>
      <c r="J110" s="2">
        <f t="shared" si="99"/>
        <v>6</v>
      </c>
      <c r="K110" s="2">
        <f t="shared" si="100"/>
        <v>1.4000000000000001</v>
      </c>
      <c r="L110" s="2">
        <f t="shared" si="101"/>
        <v>2</v>
      </c>
      <c r="M110" s="2">
        <v>10</v>
      </c>
      <c r="N110" s="2">
        <f t="shared" si="102"/>
        <v>167.25</v>
      </c>
      <c r="O110" s="2">
        <f t="shared" si="103"/>
        <v>16.73</v>
      </c>
      <c r="P110" s="2">
        <f t="shared" si="104"/>
        <v>1097.1400000000001</v>
      </c>
      <c r="Q110" s="2">
        <f t="shared" si="105"/>
        <v>109.71</v>
      </c>
      <c r="R110" s="2">
        <f t="shared" si="106"/>
        <v>20.91</v>
      </c>
      <c r="S110" s="2">
        <f t="shared" si="107"/>
        <v>2.09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4">
        <v>525021</v>
      </c>
      <c r="Z110" s="12" t="s">
        <v>462</v>
      </c>
      <c r="AA110" s="4">
        <v>1</v>
      </c>
      <c r="AB110" s="4">
        <v>0</v>
      </c>
      <c r="AC110" s="4"/>
      <c r="AD110" s="4">
        <f t="shared" si="96"/>
        <v>4996.8887928749991</v>
      </c>
      <c r="AF110" s="1" t="str">
        <f t="shared" si="97"/>
        <v>2</v>
      </c>
      <c r="AG110">
        <v>5</v>
      </c>
      <c r="AH110">
        <f t="shared" si="108"/>
        <v>167.25333333333333</v>
      </c>
      <c r="AI110">
        <f t="shared" si="109"/>
        <v>16.725333333333335</v>
      </c>
      <c r="AJ110">
        <f t="shared" si="110"/>
        <v>1097.1428571428573</v>
      </c>
      <c r="AK110">
        <f t="shared" si="111"/>
        <v>109.71428571428574</v>
      </c>
      <c r="AL110">
        <f t="shared" si="112"/>
        <v>20.906666666666666</v>
      </c>
      <c r="AM110">
        <f t="shared" si="113"/>
        <v>2.0906666666666669</v>
      </c>
      <c r="AN110">
        <f t="shared" si="114"/>
        <v>1.4</v>
      </c>
      <c r="AO110">
        <f t="shared" si="115"/>
        <v>2</v>
      </c>
      <c r="AP110">
        <f t="shared" si="116"/>
        <v>6</v>
      </c>
      <c r="AQ110">
        <v>502</v>
      </c>
      <c r="AR110">
        <v>5</v>
      </c>
      <c r="BO110" t="s">
        <v>173</v>
      </c>
      <c r="BP110" t="str">
        <f t="shared" si="94"/>
        <v>0</v>
      </c>
    </row>
    <row r="111" spans="1:68" x14ac:dyDescent="0.15">
      <c r="A111">
        <f t="shared" si="98"/>
        <v>5601052</v>
      </c>
      <c r="B111" t="s">
        <v>412</v>
      </c>
      <c r="C111">
        <v>5</v>
      </c>
      <c r="D111">
        <v>6</v>
      </c>
      <c r="E111">
        <v>2</v>
      </c>
      <c r="F111" t="s">
        <v>225</v>
      </c>
      <c r="G111" t="s">
        <v>225</v>
      </c>
      <c r="H111" s="2">
        <v>0</v>
      </c>
      <c r="I111" s="2" t="s">
        <v>116</v>
      </c>
      <c r="J111" s="2">
        <f t="shared" si="99"/>
        <v>6</v>
      </c>
      <c r="K111" s="2">
        <f t="shared" si="100"/>
        <v>1.5</v>
      </c>
      <c r="L111" s="2">
        <f t="shared" si="101"/>
        <v>2</v>
      </c>
      <c r="M111" s="2">
        <v>10</v>
      </c>
      <c r="N111" s="2">
        <f t="shared" si="102"/>
        <v>198.4</v>
      </c>
      <c r="O111" s="2">
        <f t="shared" si="103"/>
        <v>19.84</v>
      </c>
      <c r="P111" s="2">
        <f t="shared" si="104"/>
        <v>990.97</v>
      </c>
      <c r="Q111" s="2">
        <f t="shared" si="105"/>
        <v>99.1</v>
      </c>
      <c r="R111" s="2">
        <f t="shared" si="106"/>
        <v>19.84</v>
      </c>
      <c r="S111" s="2">
        <f t="shared" si="107"/>
        <v>1.98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4">
        <v>526011</v>
      </c>
      <c r="Z111" s="12" t="s">
        <v>463</v>
      </c>
      <c r="AA111" s="4">
        <v>1</v>
      </c>
      <c r="AB111" s="4">
        <v>0</v>
      </c>
      <c r="AC111" s="4"/>
      <c r="AD111" s="4">
        <f t="shared" si="96"/>
        <v>4995.9581548799997</v>
      </c>
      <c r="AF111" s="1" t="str">
        <f t="shared" si="97"/>
        <v>1</v>
      </c>
      <c r="AG111">
        <v>5</v>
      </c>
      <c r="AH111">
        <f t="shared" si="108"/>
        <v>198.4</v>
      </c>
      <c r="AI111">
        <f t="shared" si="109"/>
        <v>19.840000000000003</v>
      </c>
      <c r="AJ111">
        <f t="shared" si="110"/>
        <v>990.9677419354839</v>
      </c>
      <c r="AK111">
        <f t="shared" si="111"/>
        <v>99.096774193548399</v>
      </c>
      <c r="AL111">
        <f t="shared" si="112"/>
        <v>19.84</v>
      </c>
      <c r="AM111">
        <f t="shared" si="113"/>
        <v>1.984</v>
      </c>
      <c r="AN111">
        <f t="shared" si="114"/>
        <v>1.5</v>
      </c>
      <c r="AO111">
        <f t="shared" si="115"/>
        <v>2</v>
      </c>
      <c r="AP111">
        <f t="shared" si="116"/>
        <v>6</v>
      </c>
      <c r="AQ111">
        <v>601</v>
      </c>
      <c r="AR111">
        <v>5</v>
      </c>
      <c r="BO111" t="s">
        <v>141</v>
      </c>
      <c r="BP111" t="str">
        <f t="shared" si="94"/>
        <v>1</v>
      </c>
    </row>
    <row r="112" spans="1:68" x14ac:dyDescent="0.15">
      <c r="A112">
        <f t="shared" si="98"/>
        <v>5200053</v>
      </c>
      <c r="B112" t="s">
        <v>160</v>
      </c>
      <c r="C112">
        <v>5</v>
      </c>
      <c r="D112">
        <v>2</v>
      </c>
      <c r="E112">
        <v>3</v>
      </c>
      <c r="F112" t="s">
        <v>226</v>
      </c>
      <c r="G112" t="s">
        <v>226</v>
      </c>
      <c r="H112">
        <v>0</v>
      </c>
      <c r="I112" s="2" t="s">
        <v>78</v>
      </c>
      <c r="J112" s="2">
        <f t="shared" si="99"/>
        <v>3</v>
      </c>
      <c r="K112" s="2">
        <f t="shared" si="100"/>
        <v>1.5</v>
      </c>
      <c r="L112" s="2">
        <f t="shared" si="101"/>
        <v>1.2</v>
      </c>
      <c r="M112" s="2">
        <v>10</v>
      </c>
      <c r="N112" s="2">
        <f t="shared" si="102"/>
        <v>128</v>
      </c>
      <c r="O112" s="2">
        <f t="shared" si="103"/>
        <v>12.8</v>
      </c>
      <c r="P112" s="2">
        <f t="shared" si="104"/>
        <v>1536</v>
      </c>
      <c r="Q112" s="2">
        <f t="shared" si="105"/>
        <v>153.6</v>
      </c>
      <c r="R112" s="2">
        <f t="shared" si="106"/>
        <v>32</v>
      </c>
      <c r="S112" s="2">
        <f t="shared" si="107"/>
        <v>3.2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4">
        <v>532001</v>
      </c>
      <c r="Z112" s="12" t="s">
        <v>464</v>
      </c>
      <c r="AA112" s="4">
        <v>1</v>
      </c>
      <c r="AB112" s="4">
        <v>0</v>
      </c>
      <c r="AC112" s="4"/>
      <c r="AD112" s="4">
        <f t="shared" si="96"/>
        <v>4995.8092800000004</v>
      </c>
      <c r="AF112" s="1" t="str">
        <f t="shared" si="97"/>
        <v>0</v>
      </c>
      <c r="AG112">
        <v>5</v>
      </c>
      <c r="AH112">
        <f t="shared" si="108"/>
        <v>128</v>
      </c>
      <c r="AI112">
        <f t="shared" si="109"/>
        <v>12.8</v>
      </c>
      <c r="AJ112">
        <f t="shared" si="110"/>
        <v>1536</v>
      </c>
      <c r="AK112">
        <f t="shared" si="111"/>
        <v>153.60000000000002</v>
      </c>
      <c r="AL112">
        <f t="shared" si="112"/>
        <v>32</v>
      </c>
      <c r="AM112">
        <f t="shared" si="113"/>
        <v>3.2</v>
      </c>
      <c r="AN112">
        <f t="shared" si="114"/>
        <v>1.5</v>
      </c>
      <c r="AO112">
        <f t="shared" si="115"/>
        <v>1.2</v>
      </c>
      <c r="AP112">
        <f t="shared" si="116"/>
        <v>3</v>
      </c>
      <c r="AQ112">
        <v>200</v>
      </c>
      <c r="AR112">
        <v>5</v>
      </c>
      <c r="BO112" t="s">
        <v>176</v>
      </c>
      <c r="BP112" t="str">
        <f t="shared" si="94"/>
        <v>2</v>
      </c>
    </row>
    <row r="113" spans="1:68" x14ac:dyDescent="0.15">
      <c r="A113">
        <f t="shared" si="98"/>
        <v>5201053</v>
      </c>
      <c r="B113" t="s">
        <v>407</v>
      </c>
      <c r="C113">
        <v>5</v>
      </c>
      <c r="D113">
        <v>2</v>
      </c>
      <c r="E113">
        <v>3</v>
      </c>
      <c r="F113" t="s">
        <v>227</v>
      </c>
      <c r="G113" t="s">
        <v>227</v>
      </c>
      <c r="H113" s="2">
        <v>0</v>
      </c>
      <c r="I113" s="28" t="s">
        <v>746</v>
      </c>
      <c r="J113" s="2">
        <f t="shared" si="99"/>
        <v>3</v>
      </c>
      <c r="K113" s="2">
        <f t="shared" si="100"/>
        <v>1.8</v>
      </c>
      <c r="L113" s="2">
        <f t="shared" si="101"/>
        <v>1.8</v>
      </c>
      <c r="M113" s="2">
        <v>10</v>
      </c>
      <c r="N113" s="2">
        <f t="shared" si="102"/>
        <v>122.88</v>
      </c>
      <c r="O113" s="2">
        <f t="shared" si="103"/>
        <v>12.29</v>
      </c>
      <c r="P113" s="2">
        <f t="shared" si="104"/>
        <v>1920</v>
      </c>
      <c r="Q113" s="2">
        <f t="shared" si="105"/>
        <v>192</v>
      </c>
      <c r="R113" s="2">
        <f t="shared" si="106"/>
        <v>40.96</v>
      </c>
      <c r="S113" s="2">
        <f t="shared" si="107"/>
        <v>4.0999999999999996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4">
        <v>532011</v>
      </c>
      <c r="Z113" s="12" t="s">
        <v>465</v>
      </c>
      <c r="AA113" s="4">
        <v>1</v>
      </c>
      <c r="AB113" s="4">
        <v>0</v>
      </c>
      <c r="AC113" s="4"/>
      <c r="AD113" s="4">
        <f t="shared" si="96"/>
        <v>4996.5484799999995</v>
      </c>
      <c r="AF113" s="1" t="str">
        <f t="shared" si="97"/>
        <v>1</v>
      </c>
      <c r="AG113">
        <v>5</v>
      </c>
      <c r="AH113">
        <f t="shared" si="108"/>
        <v>122.88000000000002</v>
      </c>
      <c r="AI113">
        <f t="shared" si="109"/>
        <v>12.288000000000004</v>
      </c>
      <c r="AJ113">
        <f t="shared" si="110"/>
        <v>1920</v>
      </c>
      <c r="AK113">
        <f t="shared" si="111"/>
        <v>192</v>
      </c>
      <c r="AL113">
        <f t="shared" si="112"/>
        <v>40.960000000000008</v>
      </c>
      <c r="AM113">
        <f t="shared" si="113"/>
        <v>4.096000000000001</v>
      </c>
      <c r="AN113">
        <f t="shared" si="114"/>
        <v>1.8</v>
      </c>
      <c r="AO113">
        <f t="shared" si="115"/>
        <v>1.8</v>
      </c>
      <c r="AP113">
        <f t="shared" si="116"/>
        <v>3</v>
      </c>
      <c r="AQ113">
        <v>201</v>
      </c>
      <c r="AR113">
        <v>5</v>
      </c>
      <c r="BO113" t="s">
        <v>178</v>
      </c>
      <c r="BP113" t="str">
        <f t="shared" si="94"/>
        <v>2</v>
      </c>
    </row>
    <row r="114" spans="1:68" x14ac:dyDescent="0.15">
      <c r="A114">
        <f t="shared" si="98"/>
        <v>5202053</v>
      </c>
      <c r="B114" t="s">
        <v>408</v>
      </c>
      <c r="C114">
        <v>5</v>
      </c>
      <c r="D114">
        <v>2</v>
      </c>
      <c r="E114">
        <v>3</v>
      </c>
      <c r="F114" t="s">
        <v>228</v>
      </c>
      <c r="G114" t="s">
        <v>228</v>
      </c>
      <c r="H114">
        <v>0</v>
      </c>
      <c r="I114" s="28" t="s">
        <v>717</v>
      </c>
      <c r="J114" s="2">
        <f t="shared" si="99"/>
        <v>3</v>
      </c>
      <c r="K114" s="2">
        <f t="shared" si="100"/>
        <v>1.8</v>
      </c>
      <c r="L114" s="2">
        <f t="shared" si="101"/>
        <v>2</v>
      </c>
      <c r="M114" s="2">
        <v>10</v>
      </c>
      <c r="N114" s="2">
        <f t="shared" si="102"/>
        <v>138.24</v>
      </c>
      <c r="O114" s="2">
        <f t="shared" si="103"/>
        <v>13.82</v>
      </c>
      <c r="P114" s="2">
        <f t="shared" si="104"/>
        <v>1706.67</v>
      </c>
      <c r="Q114" s="2">
        <f t="shared" si="105"/>
        <v>170.67</v>
      </c>
      <c r="R114" s="2">
        <f t="shared" si="106"/>
        <v>27.65</v>
      </c>
      <c r="S114" s="2">
        <f t="shared" si="107"/>
        <v>2.76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4">
        <v>532021</v>
      </c>
      <c r="Z114" s="12" t="s">
        <v>466</v>
      </c>
      <c r="AA114" s="4">
        <v>1</v>
      </c>
      <c r="AB114" s="4">
        <v>0</v>
      </c>
      <c r="AC114" s="4"/>
      <c r="AD114" s="4">
        <f t="shared" si="96"/>
        <v>4994.5847141399991</v>
      </c>
      <c r="AF114" s="1" t="str">
        <f t="shared" si="97"/>
        <v>2</v>
      </c>
      <c r="AG114">
        <v>5</v>
      </c>
      <c r="AH114">
        <f t="shared" si="108"/>
        <v>138.24</v>
      </c>
      <c r="AI114">
        <f t="shared" si="109"/>
        <v>13.824000000000002</v>
      </c>
      <c r="AJ114">
        <f t="shared" si="110"/>
        <v>1706.666666666667</v>
      </c>
      <c r="AK114">
        <f t="shared" si="111"/>
        <v>170.66666666666671</v>
      </c>
      <c r="AL114">
        <f t="shared" si="112"/>
        <v>27.648000000000003</v>
      </c>
      <c r="AM114">
        <f t="shared" si="113"/>
        <v>2.7648000000000006</v>
      </c>
      <c r="AN114">
        <f t="shared" si="114"/>
        <v>1.8</v>
      </c>
      <c r="AO114">
        <f t="shared" si="115"/>
        <v>2</v>
      </c>
      <c r="AP114">
        <f t="shared" si="116"/>
        <v>3</v>
      </c>
      <c r="AQ114">
        <v>202</v>
      </c>
      <c r="AR114">
        <v>5</v>
      </c>
      <c r="BO114" t="s">
        <v>180</v>
      </c>
      <c r="BP114" t="str">
        <f t="shared" si="94"/>
        <v>2</v>
      </c>
    </row>
    <row r="115" spans="1:68" x14ac:dyDescent="0.15">
      <c r="A115">
        <f t="shared" si="98"/>
        <v>5301053</v>
      </c>
      <c r="B115" t="s">
        <v>409</v>
      </c>
      <c r="C115">
        <v>5</v>
      </c>
      <c r="D115">
        <v>3</v>
      </c>
      <c r="E115">
        <v>3</v>
      </c>
      <c r="F115" t="s">
        <v>229</v>
      </c>
      <c r="G115" t="s">
        <v>229</v>
      </c>
      <c r="H115" s="2">
        <v>0</v>
      </c>
      <c r="I115" s="28" t="s">
        <v>717</v>
      </c>
      <c r="J115" s="2">
        <f t="shared" si="99"/>
        <v>3</v>
      </c>
      <c r="K115" s="2">
        <f t="shared" si="100"/>
        <v>1.2</v>
      </c>
      <c r="L115" s="2">
        <f t="shared" si="101"/>
        <v>2</v>
      </c>
      <c r="M115" s="2">
        <v>10</v>
      </c>
      <c r="N115" s="2">
        <f t="shared" si="102"/>
        <v>92.16</v>
      </c>
      <c r="O115" s="2">
        <f t="shared" si="103"/>
        <v>9.2200000000000006</v>
      </c>
      <c r="P115" s="2">
        <f t="shared" si="104"/>
        <v>1706.67</v>
      </c>
      <c r="Q115" s="2">
        <f t="shared" si="105"/>
        <v>170.67</v>
      </c>
      <c r="R115" s="2">
        <f t="shared" si="106"/>
        <v>18.43</v>
      </c>
      <c r="S115" s="2">
        <f t="shared" si="107"/>
        <v>1.84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4">
        <v>533011</v>
      </c>
      <c r="Z115" s="12" t="s">
        <v>467</v>
      </c>
      <c r="AA115" s="4">
        <v>1</v>
      </c>
      <c r="AB115" s="4">
        <v>0</v>
      </c>
      <c r="AC115" s="4"/>
      <c r="AD115" s="4">
        <f t="shared" si="96"/>
        <v>4997.8701063899998</v>
      </c>
      <c r="AF115" s="1" t="str">
        <f t="shared" si="97"/>
        <v>1</v>
      </c>
      <c r="AG115">
        <v>5</v>
      </c>
      <c r="AH115">
        <f t="shared" si="108"/>
        <v>92.160000000000025</v>
      </c>
      <c r="AI115">
        <f t="shared" si="109"/>
        <v>9.2160000000000029</v>
      </c>
      <c r="AJ115">
        <f t="shared" si="110"/>
        <v>1706.666666666667</v>
      </c>
      <c r="AK115">
        <f t="shared" si="111"/>
        <v>170.66666666666671</v>
      </c>
      <c r="AL115">
        <f t="shared" si="112"/>
        <v>18.432000000000006</v>
      </c>
      <c r="AM115">
        <f t="shared" si="113"/>
        <v>1.8432000000000006</v>
      </c>
      <c r="AN115">
        <f t="shared" si="114"/>
        <v>1.2</v>
      </c>
      <c r="AO115">
        <f t="shared" si="115"/>
        <v>2</v>
      </c>
      <c r="AP115">
        <f t="shared" si="116"/>
        <v>3</v>
      </c>
      <c r="AQ115">
        <v>301</v>
      </c>
      <c r="AR115">
        <v>5</v>
      </c>
      <c r="BO115" t="s">
        <v>171</v>
      </c>
      <c r="BP115" t="str">
        <f t="shared" si="94"/>
        <v>1</v>
      </c>
    </row>
    <row r="116" spans="1:68" x14ac:dyDescent="0.15">
      <c r="A116">
        <f t="shared" si="98"/>
        <v>5401053</v>
      </c>
      <c r="B116" t="s">
        <v>410</v>
      </c>
      <c r="C116">
        <v>5</v>
      </c>
      <c r="D116">
        <v>4</v>
      </c>
      <c r="E116">
        <v>3</v>
      </c>
      <c r="F116" t="s">
        <v>230</v>
      </c>
      <c r="G116" t="s">
        <v>230</v>
      </c>
      <c r="H116">
        <v>0</v>
      </c>
      <c r="I116" s="2" t="s">
        <v>103</v>
      </c>
      <c r="J116" s="2">
        <f t="shared" si="99"/>
        <v>6</v>
      </c>
      <c r="K116" s="2">
        <f t="shared" si="100"/>
        <v>1.6</v>
      </c>
      <c r="L116" s="2">
        <f t="shared" si="101"/>
        <v>2</v>
      </c>
      <c r="M116" s="2">
        <v>10</v>
      </c>
      <c r="N116" s="2">
        <f t="shared" si="102"/>
        <v>163.84</v>
      </c>
      <c r="O116" s="2">
        <f t="shared" si="103"/>
        <v>16.38</v>
      </c>
      <c r="P116" s="2">
        <f t="shared" si="104"/>
        <v>1280</v>
      </c>
      <c r="Q116" s="2">
        <f t="shared" si="105"/>
        <v>128</v>
      </c>
      <c r="R116" s="2">
        <f t="shared" si="106"/>
        <v>23.41</v>
      </c>
      <c r="S116" s="2">
        <f t="shared" si="107"/>
        <v>2.34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4">
        <v>534011</v>
      </c>
      <c r="Z116" s="12" t="s">
        <v>468</v>
      </c>
      <c r="AA116" s="4">
        <v>1</v>
      </c>
      <c r="AB116" s="4">
        <v>0</v>
      </c>
      <c r="AC116" s="4"/>
      <c r="AD116" s="4">
        <f t="shared" si="96"/>
        <v>4994.7004799999995</v>
      </c>
      <c r="AF116" s="1" t="str">
        <f t="shared" si="97"/>
        <v>1</v>
      </c>
      <c r="AG116">
        <v>5</v>
      </c>
      <c r="AH116">
        <f t="shared" si="108"/>
        <v>163.84000000000003</v>
      </c>
      <c r="AI116">
        <f t="shared" si="109"/>
        <v>16.384000000000004</v>
      </c>
      <c r="AJ116">
        <f t="shared" si="110"/>
        <v>1280</v>
      </c>
      <c r="AK116">
        <f t="shared" si="111"/>
        <v>128</v>
      </c>
      <c r="AL116">
        <f t="shared" si="112"/>
        <v>23.405714285714289</v>
      </c>
      <c r="AM116">
        <f t="shared" si="113"/>
        <v>2.3405714285714292</v>
      </c>
      <c r="AN116">
        <f t="shared" si="114"/>
        <v>1.6</v>
      </c>
      <c r="AO116">
        <f t="shared" si="115"/>
        <v>2</v>
      </c>
      <c r="AP116">
        <f t="shared" si="116"/>
        <v>6</v>
      </c>
      <c r="AQ116">
        <v>401</v>
      </c>
      <c r="AR116">
        <v>5</v>
      </c>
      <c r="BO116" t="s">
        <v>169</v>
      </c>
      <c r="BP116" t="str">
        <f t="shared" si="94"/>
        <v>0</v>
      </c>
    </row>
    <row r="117" spans="1:68" x14ac:dyDescent="0.15">
      <c r="A117">
        <f t="shared" si="98"/>
        <v>5402053</v>
      </c>
      <c r="B117" t="s">
        <v>102</v>
      </c>
      <c r="C117">
        <v>5</v>
      </c>
      <c r="D117">
        <v>4</v>
      </c>
      <c r="E117">
        <v>3</v>
      </c>
      <c r="F117" t="s">
        <v>231</v>
      </c>
      <c r="G117" t="s">
        <v>231</v>
      </c>
      <c r="H117" s="2">
        <v>0</v>
      </c>
      <c r="I117" s="28" t="s">
        <v>718</v>
      </c>
      <c r="J117" s="2">
        <f t="shared" si="99"/>
        <v>6</v>
      </c>
      <c r="K117" s="2">
        <f t="shared" si="100"/>
        <v>1.5</v>
      </c>
      <c r="L117" s="2">
        <f t="shared" si="101"/>
        <v>1.5</v>
      </c>
      <c r="M117" s="2">
        <v>10</v>
      </c>
      <c r="N117" s="2">
        <f t="shared" si="102"/>
        <v>153.6</v>
      </c>
      <c r="O117" s="2">
        <f t="shared" si="103"/>
        <v>15.36</v>
      </c>
      <c r="P117" s="2">
        <f t="shared" si="104"/>
        <v>1280</v>
      </c>
      <c r="Q117" s="2">
        <f t="shared" si="105"/>
        <v>128</v>
      </c>
      <c r="R117" s="2">
        <f t="shared" si="106"/>
        <v>21.94</v>
      </c>
      <c r="S117" s="2">
        <f t="shared" si="107"/>
        <v>2.19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4">
        <v>534021</v>
      </c>
      <c r="Z117" s="12" t="s">
        <v>469</v>
      </c>
      <c r="AA117" s="4">
        <v>1</v>
      </c>
      <c r="AB117" s="4">
        <v>0</v>
      </c>
      <c r="AC117" s="4"/>
      <c r="AD117" s="4">
        <f t="shared" si="96"/>
        <v>4995.8092800000004</v>
      </c>
      <c r="AF117" s="1" t="str">
        <f t="shared" si="97"/>
        <v>2</v>
      </c>
      <c r="AG117">
        <v>5</v>
      </c>
      <c r="AH117">
        <f t="shared" si="108"/>
        <v>153.60000000000002</v>
      </c>
      <c r="AI117">
        <f t="shared" si="109"/>
        <v>15.360000000000003</v>
      </c>
      <c r="AJ117">
        <f t="shared" si="110"/>
        <v>1280</v>
      </c>
      <c r="AK117">
        <f t="shared" si="111"/>
        <v>128</v>
      </c>
      <c r="AL117">
        <f t="shared" si="112"/>
        <v>21.942857142857147</v>
      </c>
      <c r="AM117">
        <f t="shared" si="113"/>
        <v>2.1942857142857148</v>
      </c>
      <c r="AN117">
        <f t="shared" si="114"/>
        <v>1.5</v>
      </c>
      <c r="AO117">
        <f t="shared" si="115"/>
        <v>1.5</v>
      </c>
      <c r="AP117">
        <f t="shared" si="116"/>
        <v>6</v>
      </c>
      <c r="AQ117">
        <v>402</v>
      </c>
      <c r="AR117">
        <v>5</v>
      </c>
      <c r="BO117" t="s">
        <v>141</v>
      </c>
      <c r="BP117" t="str">
        <f t="shared" si="94"/>
        <v>1</v>
      </c>
    </row>
    <row r="118" spans="1:68" x14ac:dyDescent="0.15">
      <c r="A118">
        <f t="shared" si="98"/>
        <v>5500053</v>
      </c>
      <c r="B118" t="s">
        <v>411</v>
      </c>
      <c r="C118">
        <v>5</v>
      </c>
      <c r="D118">
        <v>5</v>
      </c>
      <c r="E118">
        <v>3</v>
      </c>
      <c r="F118" t="s">
        <v>232</v>
      </c>
      <c r="G118" t="s">
        <v>232</v>
      </c>
      <c r="H118" s="2">
        <v>0</v>
      </c>
      <c r="I118" s="2" t="s">
        <v>109</v>
      </c>
      <c r="J118" s="2">
        <f t="shared" si="99"/>
        <v>6</v>
      </c>
      <c r="K118" s="2">
        <f t="shared" si="100"/>
        <v>1.5</v>
      </c>
      <c r="L118" s="2">
        <f t="shared" si="101"/>
        <v>1.5</v>
      </c>
      <c r="M118" s="2">
        <v>10</v>
      </c>
      <c r="N118" s="2">
        <f t="shared" si="102"/>
        <v>179.2</v>
      </c>
      <c r="O118" s="2">
        <f t="shared" si="103"/>
        <v>17.920000000000002</v>
      </c>
      <c r="P118" s="2">
        <f t="shared" si="104"/>
        <v>1097.1400000000001</v>
      </c>
      <c r="Q118" s="2">
        <f t="shared" si="105"/>
        <v>109.71</v>
      </c>
      <c r="R118" s="2">
        <f t="shared" si="106"/>
        <v>22.4</v>
      </c>
      <c r="S118" s="2">
        <f t="shared" si="107"/>
        <v>2.2400000000000002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4">
        <v>535001</v>
      </c>
      <c r="Z118" s="12" t="s">
        <v>470</v>
      </c>
      <c r="AA118" s="4">
        <v>1</v>
      </c>
      <c r="AB118" s="4">
        <v>0</v>
      </c>
      <c r="AC118" s="4"/>
      <c r="AD118" s="4">
        <f t="shared" si="96"/>
        <v>4995.6306892800003</v>
      </c>
      <c r="AF118" s="1" t="str">
        <f t="shared" si="97"/>
        <v>0</v>
      </c>
      <c r="AG118">
        <v>5</v>
      </c>
      <c r="AH118">
        <f t="shared" si="108"/>
        <v>179.19999999999996</v>
      </c>
      <c r="AI118">
        <f t="shared" si="109"/>
        <v>17.919999999999998</v>
      </c>
      <c r="AJ118">
        <f t="shared" si="110"/>
        <v>1097.1428571428573</v>
      </c>
      <c r="AK118">
        <f t="shared" si="111"/>
        <v>109.71428571428574</v>
      </c>
      <c r="AL118">
        <f t="shared" si="112"/>
        <v>22.399999999999995</v>
      </c>
      <c r="AM118">
        <f t="shared" si="113"/>
        <v>2.2399999999999998</v>
      </c>
      <c r="AN118">
        <f t="shared" si="114"/>
        <v>1.5</v>
      </c>
      <c r="AO118">
        <f t="shared" si="115"/>
        <v>1.5</v>
      </c>
      <c r="AP118">
        <f t="shared" si="116"/>
        <v>6</v>
      </c>
      <c r="AQ118">
        <v>500</v>
      </c>
      <c r="AR118">
        <v>5</v>
      </c>
      <c r="BO118" t="s">
        <v>182</v>
      </c>
      <c r="BP118" t="str">
        <f t="shared" si="94"/>
        <v>2</v>
      </c>
    </row>
    <row r="119" spans="1:68" x14ac:dyDescent="0.15">
      <c r="A119">
        <f t="shared" si="98"/>
        <v>5502053</v>
      </c>
      <c r="B119" t="s">
        <v>115</v>
      </c>
      <c r="C119">
        <v>5</v>
      </c>
      <c r="D119">
        <v>5</v>
      </c>
      <c r="E119">
        <v>3</v>
      </c>
      <c r="F119" t="s">
        <v>233</v>
      </c>
      <c r="G119" t="s">
        <v>233</v>
      </c>
      <c r="H119" s="2">
        <v>0</v>
      </c>
      <c r="I119" s="28" t="s">
        <v>719</v>
      </c>
      <c r="J119" s="2">
        <f t="shared" si="99"/>
        <v>6</v>
      </c>
      <c r="K119" s="2">
        <f t="shared" si="100"/>
        <v>1.4000000000000001</v>
      </c>
      <c r="L119" s="2">
        <f t="shared" si="101"/>
        <v>2</v>
      </c>
      <c r="M119" s="2">
        <v>10</v>
      </c>
      <c r="N119" s="2">
        <f t="shared" si="102"/>
        <v>167.25</v>
      </c>
      <c r="O119" s="2">
        <f t="shared" si="103"/>
        <v>16.73</v>
      </c>
      <c r="P119" s="2">
        <f t="shared" si="104"/>
        <v>1097.1400000000001</v>
      </c>
      <c r="Q119" s="2">
        <f t="shared" si="105"/>
        <v>109.71</v>
      </c>
      <c r="R119" s="2">
        <f t="shared" si="106"/>
        <v>20.91</v>
      </c>
      <c r="S119" s="2">
        <f t="shared" si="107"/>
        <v>2.09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4">
        <v>535021</v>
      </c>
      <c r="Z119" s="12" t="s">
        <v>471</v>
      </c>
      <c r="AA119" s="4">
        <v>1</v>
      </c>
      <c r="AB119" s="4">
        <v>0</v>
      </c>
      <c r="AC119" s="4"/>
      <c r="AD119" s="4">
        <f t="shared" si="96"/>
        <v>4996.8887928749991</v>
      </c>
      <c r="AF119" s="1" t="str">
        <f t="shared" si="97"/>
        <v>2</v>
      </c>
      <c r="AG119">
        <v>5</v>
      </c>
      <c r="AH119">
        <f t="shared" si="108"/>
        <v>167.25333333333333</v>
      </c>
      <c r="AI119">
        <f t="shared" si="109"/>
        <v>16.725333333333335</v>
      </c>
      <c r="AJ119">
        <f t="shared" si="110"/>
        <v>1097.1428571428573</v>
      </c>
      <c r="AK119">
        <f t="shared" si="111"/>
        <v>109.71428571428574</v>
      </c>
      <c r="AL119">
        <f t="shared" si="112"/>
        <v>20.906666666666666</v>
      </c>
      <c r="AM119">
        <f t="shared" si="113"/>
        <v>2.0906666666666669</v>
      </c>
      <c r="AN119">
        <f t="shared" si="114"/>
        <v>1.4</v>
      </c>
      <c r="AO119">
        <f t="shared" si="115"/>
        <v>2</v>
      </c>
      <c r="AP119">
        <f t="shared" si="116"/>
        <v>6</v>
      </c>
      <c r="AQ119">
        <v>502</v>
      </c>
      <c r="AR119">
        <v>5</v>
      </c>
      <c r="BO119" t="s">
        <v>184</v>
      </c>
      <c r="BP119" t="str">
        <f t="shared" si="94"/>
        <v>0</v>
      </c>
    </row>
    <row r="120" spans="1:68" x14ac:dyDescent="0.15">
      <c r="A120">
        <f t="shared" si="98"/>
        <v>5601053</v>
      </c>
      <c r="B120" t="s">
        <v>412</v>
      </c>
      <c r="C120">
        <v>5</v>
      </c>
      <c r="D120">
        <v>6</v>
      </c>
      <c r="E120">
        <v>3</v>
      </c>
      <c r="F120" t="s">
        <v>234</v>
      </c>
      <c r="G120" t="s">
        <v>234</v>
      </c>
      <c r="H120">
        <v>0</v>
      </c>
      <c r="I120" s="2" t="s">
        <v>116</v>
      </c>
      <c r="J120" s="2">
        <f t="shared" si="99"/>
        <v>6</v>
      </c>
      <c r="K120" s="2">
        <f t="shared" si="100"/>
        <v>1.5</v>
      </c>
      <c r="L120" s="2">
        <f t="shared" si="101"/>
        <v>2</v>
      </c>
      <c r="M120" s="2">
        <v>10</v>
      </c>
      <c r="N120" s="2">
        <f t="shared" si="102"/>
        <v>198.4</v>
      </c>
      <c r="O120" s="2">
        <f t="shared" si="103"/>
        <v>19.84</v>
      </c>
      <c r="P120" s="2">
        <f t="shared" si="104"/>
        <v>990.97</v>
      </c>
      <c r="Q120" s="2">
        <f t="shared" si="105"/>
        <v>99.1</v>
      </c>
      <c r="R120" s="2">
        <f t="shared" si="106"/>
        <v>19.84</v>
      </c>
      <c r="S120" s="2">
        <f t="shared" si="107"/>
        <v>1.98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4">
        <v>536011</v>
      </c>
      <c r="Z120" s="26" t="s">
        <v>516</v>
      </c>
      <c r="AA120" s="4">
        <v>1</v>
      </c>
      <c r="AB120" s="4">
        <v>0</v>
      </c>
      <c r="AC120" s="4"/>
      <c r="AD120" s="4">
        <f t="shared" si="96"/>
        <v>4995.9581548799997</v>
      </c>
      <c r="AF120" s="1" t="str">
        <f t="shared" si="97"/>
        <v>1</v>
      </c>
      <c r="AG120">
        <v>5</v>
      </c>
      <c r="AH120">
        <f t="shared" si="108"/>
        <v>198.4</v>
      </c>
      <c r="AI120">
        <f t="shared" si="109"/>
        <v>19.840000000000003</v>
      </c>
      <c r="AJ120">
        <f t="shared" si="110"/>
        <v>990.9677419354839</v>
      </c>
      <c r="AK120">
        <f t="shared" si="111"/>
        <v>99.096774193548399</v>
      </c>
      <c r="AL120">
        <f t="shared" si="112"/>
        <v>19.84</v>
      </c>
      <c r="AM120">
        <f t="shared" si="113"/>
        <v>1.984</v>
      </c>
      <c r="AN120">
        <f t="shared" si="114"/>
        <v>1.5</v>
      </c>
      <c r="AO120">
        <f t="shared" si="115"/>
        <v>2</v>
      </c>
      <c r="AP120">
        <f t="shared" si="116"/>
        <v>6</v>
      </c>
      <c r="AQ120">
        <v>601</v>
      </c>
      <c r="AR120">
        <v>5</v>
      </c>
      <c r="BO120" t="s">
        <v>186</v>
      </c>
      <c r="BP120" t="str">
        <f t="shared" si="94"/>
        <v>0</v>
      </c>
    </row>
    <row r="121" spans="1:68" x14ac:dyDescent="0.15">
      <c r="A121">
        <f t="shared" si="98"/>
        <v>5201054</v>
      </c>
      <c r="B121" t="s">
        <v>407</v>
      </c>
      <c r="C121">
        <v>5</v>
      </c>
      <c r="D121">
        <v>2</v>
      </c>
      <c r="E121">
        <v>4</v>
      </c>
      <c r="F121" t="s">
        <v>706</v>
      </c>
      <c r="G121" t="s">
        <v>706</v>
      </c>
      <c r="H121" s="23">
        <v>0</v>
      </c>
      <c r="I121" s="2" t="s">
        <v>92</v>
      </c>
      <c r="J121" s="2">
        <f t="shared" si="99"/>
        <v>3</v>
      </c>
      <c r="K121" s="2">
        <f t="shared" ref="K121:K122" si="126">FLOOR(AN121/1,0.01)</f>
        <v>1.8</v>
      </c>
      <c r="L121" s="2">
        <f t="shared" ref="L121:L122" si="127">FLOOR(AO121/1,0.01)</f>
        <v>1.8</v>
      </c>
      <c r="M121" s="2">
        <v>11</v>
      </c>
      <c r="N121" s="2">
        <f t="shared" ref="N121:N122" si="128">ROUND(AH121,2)</f>
        <v>122.88</v>
      </c>
      <c r="O121" s="2">
        <f t="shared" ref="O121:O122" si="129">ROUND(AI121,2)</f>
        <v>12.29</v>
      </c>
      <c r="P121" s="2">
        <f t="shared" ref="P121:P122" si="130">ROUND(AJ121,2)</f>
        <v>1920</v>
      </c>
      <c r="Q121" s="2">
        <f t="shared" ref="Q121:Q122" si="131">ROUND(AK121,2)</f>
        <v>192</v>
      </c>
      <c r="R121" s="2">
        <f t="shared" ref="R121:R122" si="132">ROUND(AL121,2)</f>
        <v>40.96</v>
      </c>
      <c r="S121" s="2">
        <f t="shared" ref="S121:S122" si="133">ROUND(AM121,2)</f>
        <v>4.0999999999999996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4">
        <v>542011</v>
      </c>
      <c r="Z121" s="26" t="s">
        <v>517</v>
      </c>
      <c r="AA121" s="4">
        <v>1</v>
      </c>
      <c r="AB121" s="4">
        <v>0</v>
      </c>
      <c r="AC121" s="4"/>
      <c r="AD121" s="4">
        <f t="shared" si="96"/>
        <v>4996.5484799999995</v>
      </c>
      <c r="AF121" s="1" t="str">
        <f t="shared" si="97"/>
        <v>1</v>
      </c>
      <c r="AG121">
        <v>5</v>
      </c>
      <c r="AH121">
        <f t="shared" si="108"/>
        <v>122.88000000000002</v>
      </c>
      <c r="AI121">
        <f t="shared" si="109"/>
        <v>12.288000000000004</v>
      </c>
      <c r="AJ121">
        <f t="shared" si="110"/>
        <v>1920</v>
      </c>
      <c r="AK121">
        <f t="shared" si="111"/>
        <v>192</v>
      </c>
      <c r="AL121">
        <f t="shared" si="112"/>
        <v>40.960000000000008</v>
      </c>
      <c r="AM121">
        <f t="shared" ref="AM121:AM122" si="134">AL121*0.1</f>
        <v>4.096000000000001</v>
      </c>
      <c r="AN121">
        <f t="shared" si="114"/>
        <v>1.8</v>
      </c>
      <c r="AO121">
        <f t="shared" si="115"/>
        <v>1.8</v>
      </c>
      <c r="AP121">
        <f t="shared" si="116"/>
        <v>3</v>
      </c>
      <c r="AQ121">
        <v>201</v>
      </c>
      <c r="AR121">
        <v>5</v>
      </c>
      <c r="BO121" t="s">
        <v>159</v>
      </c>
      <c r="BP121" t="str">
        <f t="shared" si="94"/>
        <v>1</v>
      </c>
    </row>
    <row r="122" spans="1:68" x14ac:dyDescent="0.15">
      <c r="A122">
        <f t="shared" si="98"/>
        <v>5302054</v>
      </c>
      <c r="B122" t="s">
        <v>143</v>
      </c>
      <c r="C122">
        <v>5</v>
      </c>
      <c r="D122">
        <v>3</v>
      </c>
      <c r="E122">
        <v>4</v>
      </c>
      <c r="F122" s="22" t="s">
        <v>707</v>
      </c>
      <c r="G122" s="22" t="s">
        <v>707</v>
      </c>
      <c r="H122" s="23">
        <v>0</v>
      </c>
      <c r="I122" s="2" t="s">
        <v>157</v>
      </c>
      <c r="J122" s="2">
        <f t="shared" si="99"/>
        <v>3</v>
      </c>
      <c r="K122" s="2">
        <f t="shared" si="126"/>
        <v>1.4000000000000001</v>
      </c>
      <c r="L122" s="2">
        <f t="shared" si="127"/>
        <v>1.7</v>
      </c>
      <c r="M122" s="2">
        <v>12</v>
      </c>
      <c r="N122" s="2">
        <f t="shared" si="128"/>
        <v>107.52</v>
      </c>
      <c r="O122" s="2">
        <f t="shared" si="129"/>
        <v>10.75</v>
      </c>
      <c r="P122" s="2">
        <f t="shared" si="130"/>
        <v>1706.67</v>
      </c>
      <c r="Q122" s="2">
        <f t="shared" si="131"/>
        <v>170.67</v>
      </c>
      <c r="R122" s="2">
        <f t="shared" si="132"/>
        <v>21.5</v>
      </c>
      <c r="S122" s="2">
        <f t="shared" si="133"/>
        <v>2.15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4">
        <v>543021</v>
      </c>
      <c r="Z122" s="26" t="s">
        <v>518</v>
      </c>
      <c r="AA122" s="4">
        <v>1</v>
      </c>
      <c r="AB122" s="4">
        <v>0</v>
      </c>
      <c r="AC122" s="4"/>
      <c r="AD122" s="4">
        <f t="shared" si="96"/>
        <v>4995.0540558899993</v>
      </c>
      <c r="AF122" s="1" t="str">
        <f t="shared" si="97"/>
        <v>2</v>
      </c>
      <c r="AG122">
        <v>5</v>
      </c>
      <c r="AH122">
        <f t="shared" si="108"/>
        <v>107.52000000000001</v>
      </c>
      <c r="AI122">
        <f t="shared" si="109"/>
        <v>10.752000000000002</v>
      </c>
      <c r="AJ122">
        <f t="shared" si="110"/>
        <v>1706.666666666667</v>
      </c>
      <c r="AK122">
        <f t="shared" si="111"/>
        <v>170.66666666666671</v>
      </c>
      <c r="AL122">
        <f t="shared" si="112"/>
        <v>21.504000000000001</v>
      </c>
      <c r="AM122">
        <f t="shared" si="134"/>
        <v>2.1504000000000003</v>
      </c>
      <c r="AN122">
        <f t="shared" si="114"/>
        <v>1.4</v>
      </c>
      <c r="AO122">
        <f t="shared" si="115"/>
        <v>1.7</v>
      </c>
      <c r="AP122">
        <f t="shared" si="116"/>
        <v>3</v>
      </c>
      <c r="AQ122">
        <v>302</v>
      </c>
      <c r="AR122">
        <v>5</v>
      </c>
      <c r="BO122" t="s">
        <v>188</v>
      </c>
      <c r="BP122" t="str">
        <f t="shared" si="94"/>
        <v>0</v>
      </c>
    </row>
    <row r="123" spans="1:68" x14ac:dyDescent="0.15">
      <c r="A123">
        <f t="shared" si="98"/>
        <v>5501054</v>
      </c>
      <c r="B123" t="s">
        <v>413</v>
      </c>
      <c r="C123">
        <v>5</v>
      </c>
      <c r="D123">
        <v>5</v>
      </c>
      <c r="E123">
        <v>4</v>
      </c>
      <c r="F123" t="s">
        <v>235</v>
      </c>
      <c r="G123" t="s">
        <v>235</v>
      </c>
      <c r="H123">
        <v>0</v>
      </c>
      <c r="I123" s="2" t="s">
        <v>144</v>
      </c>
      <c r="J123" s="2">
        <f t="shared" si="99"/>
        <v>6</v>
      </c>
      <c r="K123" s="2">
        <f t="shared" si="100"/>
        <v>1.6</v>
      </c>
      <c r="L123" s="2">
        <f t="shared" si="101"/>
        <v>2</v>
      </c>
      <c r="M123" s="2">
        <v>10</v>
      </c>
      <c r="N123" s="2">
        <f t="shared" si="102"/>
        <v>191.15</v>
      </c>
      <c r="O123" s="2">
        <f t="shared" si="103"/>
        <v>19.11</v>
      </c>
      <c r="P123" s="2">
        <f t="shared" si="104"/>
        <v>1097.1400000000001</v>
      </c>
      <c r="Q123" s="2">
        <f t="shared" si="105"/>
        <v>109.71</v>
      </c>
      <c r="R123" s="2">
        <f t="shared" si="106"/>
        <v>23.89</v>
      </c>
      <c r="S123" s="2">
        <f t="shared" si="107"/>
        <v>2.39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4">
        <v>545011</v>
      </c>
      <c r="Z123" s="12" t="s">
        <v>472</v>
      </c>
      <c r="AA123" s="4">
        <v>1</v>
      </c>
      <c r="AB123" s="4">
        <v>0</v>
      </c>
      <c r="AC123" s="4"/>
      <c r="AD123" s="4">
        <f t="shared" si="96"/>
        <v>4994.5298486343736</v>
      </c>
      <c r="AF123" s="1" t="str">
        <f t="shared" si="97"/>
        <v>1</v>
      </c>
      <c r="AG123">
        <v>5</v>
      </c>
      <c r="AH123">
        <f t="shared" si="108"/>
        <v>191.14666666666665</v>
      </c>
      <c r="AI123">
        <f t="shared" si="109"/>
        <v>19.114666666666665</v>
      </c>
      <c r="AJ123">
        <f t="shared" si="110"/>
        <v>1097.1428571428573</v>
      </c>
      <c r="AK123">
        <f t="shared" si="111"/>
        <v>109.71428571428574</v>
      </c>
      <c r="AL123">
        <f t="shared" si="112"/>
        <v>23.893333333333331</v>
      </c>
      <c r="AM123">
        <f t="shared" si="113"/>
        <v>2.3893333333333331</v>
      </c>
      <c r="AN123">
        <f t="shared" si="114"/>
        <v>1.6</v>
      </c>
      <c r="AO123">
        <f t="shared" si="115"/>
        <v>2</v>
      </c>
      <c r="AP123">
        <f t="shared" si="116"/>
        <v>6</v>
      </c>
      <c r="AQ123">
        <v>501</v>
      </c>
      <c r="AR123">
        <v>5</v>
      </c>
      <c r="BO123" t="s">
        <v>136</v>
      </c>
      <c r="BP123" t="str">
        <f t="shared" si="94"/>
        <v>1</v>
      </c>
    </row>
    <row r="124" spans="1:68" x14ac:dyDescent="0.15">
      <c r="A124">
        <f t="shared" si="98"/>
        <v>5600054</v>
      </c>
      <c r="B124" t="s">
        <v>209</v>
      </c>
      <c r="C124">
        <v>5</v>
      </c>
      <c r="D124">
        <v>6</v>
      </c>
      <c r="E124">
        <v>4</v>
      </c>
      <c r="F124" t="s">
        <v>236</v>
      </c>
      <c r="G124" t="s">
        <v>236</v>
      </c>
      <c r="H124" s="2">
        <v>0</v>
      </c>
      <c r="I124" s="2" t="s">
        <v>147</v>
      </c>
      <c r="J124" s="2">
        <f t="shared" si="99"/>
        <v>3</v>
      </c>
      <c r="K124" s="2">
        <f t="shared" si="100"/>
        <v>1.4000000000000001</v>
      </c>
      <c r="L124" s="2">
        <f t="shared" si="101"/>
        <v>1.9000000000000001</v>
      </c>
      <c r="M124" s="2">
        <v>10</v>
      </c>
      <c r="N124" s="2">
        <f t="shared" si="102"/>
        <v>185.17</v>
      </c>
      <c r="O124" s="2">
        <f t="shared" si="103"/>
        <v>18.52</v>
      </c>
      <c r="P124" s="2">
        <f t="shared" si="104"/>
        <v>990.97</v>
      </c>
      <c r="Q124" s="2">
        <f t="shared" si="105"/>
        <v>99.1</v>
      </c>
      <c r="R124" s="2">
        <f t="shared" si="106"/>
        <v>18.52</v>
      </c>
      <c r="S124" s="2">
        <f t="shared" si="107"/>
        <v>1.85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4">
        <v>546001</v>
      </c>
      <c r="Z124" s="12" t="s">
        <v>473</v>
      </c>
      <c r="AA124" s="4">
        <v>1</v>
      </c>
      <c r="AB124" s="4">
        <v>0</v>
      </c>
      <c r="AC124" s="4"/>
      <c r="AD124" s="4">
        <f t="shared" si="96"/>
        <v>4996.6040373524993</v>
      </c>
      <c r="AF124" s="1" t="str">
        <f t="shared" si="97"/>
        <v>0</v>
      </c>
      <c r="AG124">
        <v>5</v>
      </c>
      <c r="AH124">
        <f t="shared" si="108"/>
        <v>185.17333333333332</v>
      </c>
      <c r="AI124">
        <f t="shared" si="109"/>
        <v>18.517333333333333</v>
      </c>
      <c r="AJ124">
        <f t="shared" si="110"/>
        <v>990.9677419354839</v>
      </c>
      <c r="AK124">
        <f t="shared" si="111"/>
        <v>99.096774193548399</v>
      </c>
      <c r="AL124">
        <f t="shared" si="112"/>
        <v>18.517333333333333</v>
      </c>
      <c r="AM124">
        <f t="shared" si="113"/>
        <v>1.8517333333333335</v>
      </c>
      <c r="AN124">
        <f t="shared" si="114"/>
        <v>1.4</v>
      </c>
      <c r="AO124">
        <f t="shared" si="115"/>
        <v>1.9</v>
      </c>
      <c r="AP124">
        <f t="shared" si="116"/>
        <v>3</v>
      </c>
      <c r="AQ124">
        <v>600</v>
      </c>
      <c r="AR124">
        <v>5</v>
      </c>
      <c r="BO124" t="s">
        <v>178</v>
      </c>
      <c r="BP124" t="str">
        <f t="shared" si="94"/>
        <v>2</v>
      </c>
    </row>
    <row r="125" spans="1:68" x14ac:dyDescent="0.15">
      <c r="A125">
        <f t="shared" si="98"/>
        <v>5602054</v>
      </c>
      <c r="B125" t="s">
        <v>414</v>
      </c>
      <c r="C125">
        <v>5</v>
      </c>
      <c r="D125">
        <v>6</v>
      </c>
      <c r="E125">
        <v>4</v>
      </c>
      <c r="F125" t="s">
        <v>237</v>
      </c>
      <c r="G125" t="s">
        <v>237</v>
      </c>
      <c r="H125" t="s">
        <v>150</v>
      </c>
      <c r="I125" s="2" t="s">
        <v>151</v>
      </c>
      <c r="J125" s="2">
        <f t="shared" si="99"/>
        <v>6</v>
      </c>
      <c r="K125" s="2">
        <f t="shared" si="100"/>
        <v>1.8</v>
      </c>
      <c r="L125" s="2">
        <f t="shared" si="101"/>
        <v>2</v>
      </c>
      <c r="M125" s="2">
        <v>10</v>
      </c>
      <c r="N125" s="2">
        <f t="shared" si="102"/>
        <v>238.08</v>
      </c>
      <c r="O125" s="2">
        <f t="shared" si="103"/>
        <v>23.81</v>
      </c>
      <c r="P125" s="2">
        <f t="shared" si="104"/>
        <v>990.97</v>
      </c>
      <c r="Q125" s="2">
        <f t="shared" si="105"/>
        <v>99.1</v>
      </c>
      <c r="R125" s="2">
        <f t="shared" si="106"/>
        <v>23.81</v>
      </c>
      <c r="S125" s="2">
        <f t="shared" si="107"/>
        <v>2.38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4">
        <v>546021</v>
      </c>
      <c r="Z125" s="12" t="s">
        <v>474</v>
      </c>
      <c r="AA125" s="4">
        <v>1</v>
      </c>
      <c r="AB125" s="4">
        <v>0</v>
      </c>
      <c r="AC125" s="4"/>
      <c r="AD125" s="4">
        <f t="shared" si="96"/>
        <v>4996.3396888299994</v>
      </c>
      <c r="AF125" s="1" t="str">
        <f t="shared" si="97"/>
        <v>2</v>
      </c>
      <c r="AG125">
        <v>5</v>
      </c>
      <c r="AH125">
        <f t="shared" si="108"/>
        <v>238.08000000000004</v>
      </c>
      <c r="AI125">
        <f t="shared" si="109"/>
        <v>23.808000000000007</v>
      </c>
      <c r="AJ125">
        <f t="shared" si="110"/>
        <v>990.9677419354839</v>
      </c>
      <c r="AK125">
        <f t="shared" si="111"/>
        <v>99.096774193548399</v>
      </c>
      <c r="AL125">
        <f t="shared" si="112"/>
        <v>23.808000000000003</v>
      </c>
      <c r="AM125">
        <f t="shared" si="113"/>
        <v>2.3808000000000002</v>
      </c>
      <c r="AN125">
        <f t="shared" si="114"/>
        <v>1.8</v>
      </c>
      <c r="AO125">
        <f t="shared" si="115"/>
        <v>2</v>
      </c>
      <c r="AP125">
        <f t="shared" si="116"/>
        <v>6</v>
      </c>
      <c r="AQ125">
        <v>602</v>
      </c>
      <c r="AR125">
        <v>5</v>
      </c>
      <c r="BO125" t="s">
        <v>167</v>
      </c>
      <c r="BP125" t="str">
        <f t="shared" si="94"/>
        <v>1</v>
      </c>
    </row>
    <row r="126" spans="1:68" x14ac:dyDescent="0.15">
      <c r="A126">
        <f t="shared" si="98"/>
        <v>5202055</v>
      </c>
      <c r="B126" t="s">
        <v>408</v>
      </c>
      <c r="C126">
        <v>5</v>
      </c>
      <c r="D126">
        <v>2</v>
      </c>
      <c r="E126">
        <v>5</v>
      </c>
      <c r="F126" t="s">
        <v>708</v>
      </c>
      <c r="G126" t="s">
        <v>708</v>
      </c>
      <c r="H126" s="22">
        <v>0</v>
      </c>
      <c r="I126" s="2" t="s">
        <v>96</v>
      </c>
      <c r="J126" s="2">
        <f t="shared" si="99"/>
        <v>3</v>
      </c>
      <c r="K126" s="2">
        <f t="shared" ref="K126:K162" si="135">FLOOR(AN126/1,0.01)</f>
        <v>1.8</v>
      </c>
      <c r="L126" s="2">
        <f t="shared" ref="L126:L162" si="136">FLOOR(AO126/1,0.01)</f>
        <v>2</v>
      </c>
      <c r="M126" s="2">
        <v>11</v>
      </c>
      <c r="N126" s="2">
        <f t="shared" ref="N126:N162" si="137">ROUND(AH126,2)</f>
        <v>138.24</v>
      </c>
      <c r="O126" s="2">
        <f t="shared" ref="O126:O162" si="138">ROUND(AI126,2)</f>
        <v>13.82</v>
      </c>
      <c r="P126" s="2">
        <f t="shared" ref="P126:P162" si="139">ROUND(AJ126,2)</f>
        <v>1706.67</v>
      </c>
      <c r="Q126" s="2">
        <f t="shared" ref="Q126:Q162" si="140">ROUND(AK126,2)</f>
        <v>170.67</v>
      </c>
      <c r="R126" s="2">
        <f t="shared" ref="R126:R162" si="141">ROUND(AL126,2)</f>
        <v>27.65</v>
      </c>
      <c r="S126" s="2">
        <f t="shared" ref="S126:S162" si="142">ROUND(AM126,2)</f>
        <v>2.76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4">
        <v>552021</v>
      </c>
      <c r="Z126" s="26" t="s">
        <v>519</v>
      </c>
      <c r="AA126" s="4">
        <v>1</v>
      </c>
      <c r="AB126" s="4">
        <v>0</v>
      </c>
      <c r="AC126" s="4"/>
      <c r="AD126" s="4">
        <f t="shared" si="96"/>
        <v>4994.5847141399991</v>
      </c>
      <c r="AF126" s="1" t="str">
        <f t="shared" si="97"/>
        <v>2</v>
      </c>
      <c r="AG126">
        <v>5</v>
      </c>
      <c r="AH126">
        <f t="shared" si="108"/>
        <v>138.24</v>
      </c>
      <c r="AI126">
        <f t="shared" si="109"/>
        <v>13.824000000000002</v>
      </c>
      <c r="AJ126">
        <f t="shared" si="110"/>
        <v>1706.666666666667</v>
      </c>
      <c r="AK126">
        <f t="shared" si="111"/>
        <v>170.66666666666671</v>
      </c>
      <c r="AL126">
        <f t="shared" si="112"/>
        <v>27.648000000000003</v>
      </c>
      <c r="AM126">
        <f t="shared" ref="AM126:AM162" si="143">AL126*0.1</f>
        <v>2.7648000000000006</v>
      </c>
      <c r="AN126">
        <f t="shared" si="114"/>
        <v>1.8</v>
      </c>
      <c r="AO126">
        <f t="shared" si="115"/>
        <v>2</v>
      </c>
      <c r="AP126">
        <f t="shared" si="116"/>
        <v>3</v>
      </c>
      <c r="AQ126">
        <v>202</v>
      </c>
      <c r="AR126">
        <v>5</v>
      </c>
      <c r="BO126" t="s">
        <v>136</v>
      </c>
      <c r="BP126" t="str">
        <f t="shared" si="94"/>
        <v>1</v>
      </c>
    </row>
    <row r="127" spans="1:68" x14ac:dyDescent="0.15">
      <c r="A127">
        <f t="shared" si="98"/>
        <v>5300055</v>
      </c>
      <c r="B127" t="s">
        <v>415</v>
      </c>
      <c r="C127">
        <v>5</v>
      </c>
      <c r="D127">
        <v>3</v>
      </c>
      <c r="E127">
        <v>5</v>
      </c>
      <c r="F127" t="s">
        <v>238</v>
      </c>
      <c r="G127" t="s">
        <v>238</v>
      </c>
      <c r="H127" s="2">
        <v>0</v>
      </c>
      <c r="I127" s="28" t="s">
        <v>720</v>
      </c>
      <c r="J127" s="2">
        <f t="shared" si="99"/>
        <v>3</v>
      </c>
      <c r="K127" s="2">
        <f t="shared" si="135"/>
        <v>1.3</v>
      </c>
      <c r="L127" s="2">
        <f t="shared" si="136"/>
        <v>1.9000000000000001</v>
      </c>
      <c r="M127" s="2">
        <v>12</v>
      </c>
      <c r="N127" s="2">
        <f t="shared" si="137"/>
        <v>99.84</v>
      </c>
      <c r="O127" s="2">
        <f t="shared" si="138"/>
        <v>9.98</v>
      </c>
      <c r="P127" s="2">
        <f t="shared" si="139"/>
        <v>1706.67</v>
      </c>
      <c r="Q127" s="2">
        <f t="shared" si="140"/>
        <v>170.67</v>
      </c>
      <c r="R127" s="2">
        <f t="shared" si="141"/>
        <v>19.97</v>
      </c>
      <c r="S127" s="2">
        <f t="shared" si="142"/>
        <v>2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4">
        <v>553001</v>
      </c>
      <c r="Z127" s="12" t="s">
        <v>475</v>
      </c>
      <c r="AA127" s="4">
        <v>1</v>
      </c>
      <c r="AB127" s="4">
        <v>0</v>
      </c>
      <c r="AC127" s="4"/>
      <c r="AD127" s="4">
        <f t="shared" si="96"/>
        <v>4994.07926917846</v>
      </c>
      <c r="AF127" s="1" t="str">
        <f t="shared" si="97"/>
        <v>0</v>
      </c>
      <c r="AG127">
        <v>5</v>
      </c>
      <c r="AH127">
        <f t="shared" si="108"/>
        <v>99.840000000000032</v>
      </c>
      <c r="AI127">
        <f t="shared" si="109"/>
        <v>9.9840000000000035</v>
      </c>
      <c r="AJ127">
        <f t="shared" si="110"/>
        <v>1706.666666666667</v>
      </c>
      <c r="AK127">
        <f t="shared" si="111"/>
        <v>170.66666666666671</v>
      </c>
      <c r="AL127">
        <f t="shared" si="112"/>
        <v>19.968000000000007</v>
      </c>
      <c r="AM127">
        <f t="shared" si="143"/>
        <v>1.9968000000000008</v>
      </c>
      <c r="AN127">
        <f t="shared" si="114"/>
        <v>1.3</v>
      </c>
      <c r="AO127">
        <f t="shared" si="115"/>
        <v>1.9</v>
      </c>
      <c r="AP127">
        <f t="shared" si="116"/>
        <v>3</v>
      </c>
      <c r="AQ127">
        <v>300</v>
      </c>
      <c r="AR127">
        <v>5</v>
      </c>
      <c r="BO127" t="s">
        <v>165</v>
      </c>
      <c r="BP127" t="str">
        <f t="shared" si="94"/>
        <v>2</v>
      </c>
    </row>
    <row r="128" spans="1:68" x14ac:dyDescent="0.15">
      <c r="A128">
        <f t="shared" si="98"/>
        <v>5302055</v>
      </c>
      <c r="B128" t="s">
        <v>143</v>
      </c>
      <c r="C128">
        <v>5</v>
      </c>
      <c r="D128">
        <v>3</v>
      </c>
      <c r="E128">
        <v>5</v>
      </c>
      <c r="F128" t="s">
        <v>239</v>
      </c>
      <c r="G128" t="s">
        <v>239</v>
      </c>
      <c r="H128" s="2">
        <v>0</v>
      </c>
      <c r="I128" s="2" t="s">
        <v>157</v>
      </c>
      <c r="J128" s="2">
        <f t="shared" si="99"/>
        <v>3</v>
      </c>
      <c r="K128" s="2">
        <f t="shared" si="135"/>
        <v>1.4000000000000001</v>
      </c>
      <c r="L128" s="2">
        <f t="shared" si="136"/>
        <v>1.7</v>
      </c>
      <c r="M128" s="2">
        <v>13</v>
      </c>
      <c r="N128" s="2">
        <f t="shared" si="137"/>
        <v>107.52</v>
      </c>
      <c r="O128" s="2">
        <f t="shared" si="138"/>
        <v>10.75</v>
      </c>
      <c r="P128" s="2">
        <f t="shared" si="139"/>
        <v>1706.67</v>
      </c>
      <c r="Q128" s="2">
        <f t="shared" si="140"/>
        <v>170.67</v>
      </c>
      <c r="R128" s="2">
        <f t="shared" si="141"/>
        <v>21.5</v>
      </c>
      <c r="S128" s="2">
        <f t="shared" si="142"/>
        <v>2.15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4">
        <v>553021</v>
      </c>
      <c r="Z128" s="12" t="s">
        <v>476</v>
      </c>
      <c r="AA128" s="4">
        <v>1</v>
      </c>
      <c r="AB128" s="4">
        <v>0</v>
      </c>
      <c r="AC128" s="4"/>
      <c r="AD128" s="4">
        <f t="shared" si="96"/>
        <v>4995.0540558899993</v>
      </c>
      <c r="AF128" s="1" t="str">
        <f t="shared" si="97"/>
        <v>2</v>
      </c>
      <c r="AG128">
        <v>5</v>
      </c>
      <c r="AH128">
        <f t="shared" si="108"/>
        <v>107.52000000000001</v>
      </c>
      <c r="AI128">
        <f t="shared" si="109"/>
        <v>10.752000000000002</v>
      </c>
      <c r="AJ128">
        <f t="shared" si="110"/>
        <v>1706.666666666667</v>
      </c>
      <c r="AK128">
        <f t="shared" si="111"/>
        <v>170.66666666666671</v>
      </c>
      <c r="AL128">
        <f t="shared" si="112"/>
        <v>21.504000000000001</v>
      </c>
      <c r="AM128">
        <f t="shared" si="143"/>
        <v>2.1504000000000003</v>
      </c>
      <c r="AN128">
        <f t="shared" si="114"/>
        <v>1.4</v>
      </c>
      <c r="AO128">
        <f t="shared" si="115"/>
        <v>1.7</v>
      </c>
      <c r="AP128">
        <f t="shared" si="116"/>
        <v>3</v>
      </c>
      <c r="AQ128">
        <v>302</v>
      </c>
      <c r="AR128">
        <v>5</v>
      </c>
      <c r="BO128" t="s">
        <v>167</v>
      </c>
      <c r="BP128" t="str">
        <f t="shared" si="94"/>
        <v>1</v>
      </c>
    </row>
    <row r="129" spans="1:68" x14ac:dyDescent="0.15">
      <c r="A129">
        <f t="shared" si="98"/>
        <v>5400055</v>
      </c>
      <c r="B129" t="s">
        <v>149</v>
      </c>
      <c r="C129">
        <v>5</v>
      </c>
      <c r="D129">
        <v>4</v>
      </c>
      <c r="E129">
        <v>5</v>
      </c>
      <c r="F129" t="s">
        <v>240</v>
      </c>
      <c r="G129" t="s">
        <v>240</v>
      </c>
      <c r="H129">
        <v>0</v>
      </c>
      <c r="I129" s="2" t="s">
        <v>161</v>
      </c>
      <c r="J129" s="2">
        <f t="shared" si="99"/>
        <v>6</v>
      </c>
      <c r="K129" s="2">
        <f t="shared" si="135"/>
        <v>1.4000000000000001</v>
      </c>
      <c r="L129" s="2">
        <f t="shared" si="136"/>
        <v>1.4000000000000001</v>
      </c>
      <c r="M129" s="2">
        <v>14</v>
      </c>
      <c r="N129" s="2">
        <f t="shared" si="137"/>
        <v>143.36000000000001</v>
      </c>
      <c r="O129" s="2">
        <f t="shared" si="138"/>
        <v>14.34</v>
      </c>
      <c r="P129" s="2">
        <f t="shared" si="139"/>
        <v>1280</v>
      </c>
      <c r="Q129" s="2">
        <f t="shared" si="140"/>
        <v>128</v>
      </c>
      <c r="R129" s="2">
        <f t="shared" si="141"/>
        <v>20.48</v>
      </c>
      <c r="S129" s="2">
        <f t="shared" si="142"/>
        <v>2.0499999999999998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4">
        <v>554001</v>
      </c>
      <c r="Z129" s="12" t="s">
        <v>477</v>
      </c>
      <c r="AA129" s="4">
        <v>1</v>
      </c>
      <c r="AB129" s="4">
        <v>0</v>
      </c>
      <c r="AC129" s="4"/>
      <c r="AD129" s="4">
        <f t="shared" si="96"/>
        <v>4997.0764799999988</v>
      </c>
      <c r="AF129" s="1" t="str">
        <f t="shared" si="97"/>
        <v>0</v>
      </c>
      <c r="AG129">
        <v>5</v>
      </c>
      <c r="AH129">
        <f t="shared" si="108"/>
        <v>143.35999999999999</v>
      </c>
      <c r="AI129">
        <f t="shared" si="109"/>
        <v>14.335999999999999</v>
      </c>
      <c r="AJ129">
        <f t="shared" si="110"/>
        <v>1280</v>
      </c>
      <c r="AK129">
        <f t="shared" si="111"/>
        <v>128</v>
      </c>
      <c r="AL129">
        <f t="shared" si="112"/>
        <v>20.479999999999997</v>
      </c>
      <c r="AM129">
        <f t="shared" si="143"/>
        <v>2.0479999999999996</v>
      </c>
      <c r="AN129">
        <f t="shared" si="114"/>
        <v>1.4</v>
      </c>
      <c r="AO129">
        <f t="shared" si="115"/>
        <v>1.4</v>
      </c>
      <c r="AP129">
        <f t="shared" si="116"/>
        <v>6</v>
      </c>
      <c r="AQ129">
        <v>400</v>
      </c>
      <c r="AR129">
        <v>5</v>
      </c>
      <c r="BO129" t="s">
        <v>159</v>
      </c>
      <c r="BP129" t="str">
        <f t="shared" si="94"/>
        <v>1</v>
      </c>
    </row>
    <row r="130" spans="1:68" x14ac:dyDescent="0.15">
      <c r="A130">
        <f t="shared" si="98"/>
        <v>5501055</v>
      </c>
      <c r="B130" t="s">
        <v>413</v>
      </c>
      <c r="C130">
        <v>5</v>
      </c>
      <c r="D130">
        <v>5</v>
      </c>
      <c r="E130">
        <v>5</v>
      </c>
      <c r="F130" t="s">
        <v>709</v>
      </c>
      <c r="G130" t="s">
        <v>709</v>
      </c>
      <c r="H130" s="22">
        <v>0</v>
      </c>
      <c r="I130" s="28" t="s">
        <v>721</v>
      </c>
      <c r="J130" s="2">
        <f t="shared" si="99"/>
        <v>6</v>
      </c>
      <c r="K130" s="2">
        <f t="shared" si="135"/>
        <v>1.6</v>
      </c>
      <c r="L130" s="2">
        <f t="shared" si="136"/>
        <v>2</v>
      </c>
      <c r="M130" s="2">
        <v>15</v>
      </c>
      <c r="N130" s="2">
        <f t="shared" si="137"/>
        <v>191.15</v>
      </c>
      <c r="O130" s="2">
        <f t="shared" si="138"/>
        <v>19.11</v>
      </c>
      <c r="P130" s="2">
        <f t="shared" si="139"/>
        <v>1097.1400000000001</v>
      </c>
      <c r="Q130" s="2">
        <f t="shared" si="140"/>
        <v>109.71</v>
      </c>
      <c r="R130" s="2">
        <f t="shared" si="141"/>
        <v>23.89</v>
      </c>
      <c r="S130" s="2">
        <f t="shared" si="142"/>
        <v>2.39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4">
        <v>555011</v>
      </c>
      <c r="Z130" s="26" t="s">
        <v>520</v>
      </c>
      <c r="AA130" s="4">
        <v>1</v>
      </c>
      <c r="AB130" s="4">
        <v>0</v>
      </c>
      <c r="AC130" s="4"/>
      <c r="AD130" s="4">
        <f t="shared" si="96"/>
        <v>4994.5298486343736</v>
      </c>
      <c r="AF130" s="1" t="str">
        <f t="shared" si="97"/>
        <v>1</v>
      </c>
      <c r="AG130">
        <v>5</v>
      </c>
      <c r="AH130">
        <f t="shared" si="108"/>
        <v>191.14666666666665</v>
      </c>
      <c r="AI130">
        <f t="shared" si="109"/>
        <v>19.114666666666665</v>
      </c>
      <c r="AJ130">
        <f t="shared" si="110"/>
        <v>1097.1428571428573</v>
      </c>
      <c r="AK130">
        <f t="shared" si="111"/>
        <v>109.71428571428574</v>
      </c>
      <c r="AL130">
        <f t="shared" si="112"/>
        <v>23.893333333333331</v>
      </c>
      <c r="AM130">
        <f t="shared" si="143"/>
        <v>2.3893333333333331</v>
      </c>
      <c r="AN130">
        <f t="shared" si="114"/>
        <v>1.6</v>
      </c>
      <c r="AO130">
        <f t="shared" si="115"/>
        <v>2</v>
      </c>
      <c r="AP130">
        <f t="shared" si="116"/>
        <v>6</v>
      </c>
      <c r="AQ130">
        <v>501</v>
      </c>
      <c r="AR130">
        <v>5</v>
      </c>
      <c r="BO130" t="s">
        <v>171</v>
      </c>
      <c r="BP130" t="str">
        <f t="shared" si="94"/>
        <v>1</v>
      </c>
    </row>
    <row r="131" spans="1:68" x14ac:dyDescent="0.15">
      <c r="A131">
        <f t="shared" si="98"/>
        <v>5200061</v>
      </c>
      <c r="B131" t="s">
        <v>160</v>
      </c>
      <c r="C131">
        <v>6</v>
      </c>
      <c r="D131">
        <v>2</v>
      </c>
      <c r="E131">
        <v>1</v>
      </c>
      <c r="F131" t="s">
        <v>207</v>
      </c>
      <c r="G131" t="s">
        <v>207</v>
      </c>
      <c r="H131" s="2">
        <v>0</v>
      </c>
      <c r="I131" s="28" t="s">
        <v>711</v>
      </c>
      <c r="J131" s="2">
        <f t="shared" ref="J131:J194" si="144">AP131</f>
        <v>3</v>
      </c>
      <c r="K131" s="2">
        <f t="shared" si="135"/>
        <v>1.5</v>
      </c>
      <c r="L131" s="2">
        <f t="shared" si="136"/>
        <v>1.2</v>
      </c>
      <c r="M131" s="2">
        <v>10</v>
      </c>
      <c r="N131" s="2">
        <f t="shared" si="137"/>
        <v>144</v>
      </c>
      <c r="O131" s="2">
        <f t="shared" si="138"/>
        <v>14.4</v>
      </c>
      <c r="P131" s="2">
        <f t="shared" si="139"/>
        <v>1728</v>
      </c>
      <c r="Q131" s="2">
        <f t="shared" si="140"/>
        <v>172.8</v>
      </c>
      <c r="R131" s="2">
        <f t="shared" si="141"/>
        <v>36</v>
      </c>
      <c r="S131" s="2">
        <f t="shared" si="142"/>
        <v>3.6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11">
        <v>512002</v>
      </c>
      <c r="Z131" s="12" t="s">
        <v>446</v>
      </c>
      <c r="AA131" s="4">
        <v>1</v>
      </c>
      <c r="AB131" s="4">
        <v>0</v>
      </c>
      <c r="AC131" s="4"/>
      <c r="AD131" s="4">
        <f t="shared" ref="AD131:AD194" si="145">(N131+O131*$AD$2)*(P131+Q131*$AD$2)/K131*0.945/3000</f>
        <v>6322.8211199999996</v>
      </c>
      <c r="AF131" s="1" t="str">
        <f t="shared" si="97"/>
        <v>0</v>
      </c>
      <c r="AG131">
        <v>6</v>
      </c>
      <c r="AH131">
        <f t="shared" si="108"/>
        <v>144</v>
      </c>
      <c r="AI131">
        <f t="shared" si="109"/>
        <v>14.4</v>
      </c>
      <c r="AJ131">
        <f t="shared" si="110"/>
        <v>1728</v>
      </c>
      <c r="AK131">
        <f t="shared" si="111"/>
        <v>172.8</v>
      </c>
      <c r="AL131">
        <f t="shared" si="112"/>
        <v>36</v>
      </c>
      <c r="AM131">
        <f t="shared" si="143"/>
        <v>3.6</v>
      </c>
      <c r="AN131">
        <f t="shared" si="114"/>
        <v>1.5</v>
      </c>
      <c r="AO131">
        <f t="shared" si="115"/>
        <v>1.2</v>
      </c>
      <c r="AP131">
        <f t="shared" si="116"/>
        <v>3</v>
      </c>
      <c r="AQ131">
        <v>200</v>
      </c>
      <c r="AR131">
        <v>5</v>
      </c>
      <c r="BO131" t="s">
        <v>178</v>
      </c>
      <c r="BP131" t="str">
        <f t="shared" si="94"/>
        <v>2</v>
      </c>
    </row>
    <row r="132" spans="1:68" x14ac:dyDescent="0.15">
      <c r="A132">
        <f t="shared" si="98"/>
        <v>5201061</v>
      </c>
      <c r="B132" t="s">
        <v>407</v>
      </c>
      <c r="C132">
        <v>6</v>
      </c>
      <c r="D132">
        <v>2</v>
      </c>
      <c r="E132">
        <v>1</v>
      </c>
      <c r="F132" t="s">
        <v>208</v>
      </c>
      <c r="G132" t="s">
        <v>208</v>
      </c>
      <c r="H132" s="2">
        <v>0</v>
      </c>
      <c r="I132" s="2" t="s">
        <v>92</v>
      </c>
      <c r="J132" s="2">
        <f t="shared" si="144"/>
        <v>3</v>
      </c>
      <c r="K132" s="2">
        <f t="shared" si="135"/>
        <v>1.8</v>
      </c>
      <c r="L132" s="2">
        <f t="shared" si="136"/>
        <v>1.8</v>
      </c>
      <c r="M132" s="2">
        <v>10</v>
      </c>
      <c r="N132" s="2">
        <f t="shared" si="137"/>
        <v>138.24</v>
      </c>
      <c r="O132" s="2">
        <f t="shared" si="138"/>
        <v>13.82</v>
      </c>
      <c r="P132" s="2">
        <f t="shared" si="139"/>
        <v>2160</v>
      </c>
      <c r="Q132" s="2">
        <f t="shared" si="140"/>
        <v>216</v>
      </c>
      <c r="R132" s="2">
        <f t="shared" si="141"/>
        <v>46.08</v>
      </c>
      <c r="S132" s="2">
        <f t="shared" si="142"/>
        <v>4.6100000000000003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11">
        <v>512012</v>
      </c>
      <c r="Z132" s="12" t="s">
        <v>447</v>
      </c>
      <c r="AA132" s="4">
        <v>1</v>
      </c>
      <c r="AB132" s="4">
        <v>0</v>
      </c>
      <c r="AC132" s="4"/>
      <c r="AD132" s="4">
        <f t="shared" si="145"/>
        <v>6321.1579199999996</v>
      </c>
      <c r="AF132" s="1" t="str">
        <f t="shared" si="97"/>
        <v>1</v>
      </c>
      <c r="AG132">
        <v>6</v>
      </c>
      <c r="AH132">
        <f t="shared" si="108"/>
        <v>138.24000000000004</v>
      </c>
      <c r="AI132">
        <f t="shared" si="109"/>
        <v>13.824000000000005</v>
      </c>
      <c r="AJ132">
        <f t="shared" si="110"/>
        <v>2160</v>
      </c>
      <c r="AK132">
        <f t="shared" si="111"/>
        <v>216</v>
      </c>
      <c r="AL132">
        <f t="shared" si="112"/>
        <v>46.080000000000013</v>
      </c>
      <c r="AM132">
        <f t="shared" si="143"/>
        <v>4.6080000000000014</v>
      </c>
      <c r="AN132">
        <f t="shared" si="114"/>
        <v>1.8</v>
      </c>
      <c r="AO132">
        <f t="shared" si="115"/>
        <v>1.8</v>
      </c>
      <c r="AP132">
        <f t="shared" si="116"/>
        <v>3</v>
      </c>
      <c r="AQ132">
        <v>201</v>
      </c>
      <c r="AR132">
        <v>5</v>
      </c>
      <c r="BO132" t="s">
        <v>188</v>
      </c>
      <c r="BP132" t="str">
        <f t="shared" si="94"/>
        <v>0</v>
      </c>
    </row>
    <row r="133" spans="1:68" x14ac:dyDescent="0.15">
      <c r="A133">
        <f t="shared" si="98"/>
        <v>5202061</v>
      </c>
      <c r="B133" t="s">
        <v>408</v>
      </c>
      <c r="C133">
        <v>6</v>
      </c>
      <c r="D133">
        <v>2</v>
      </c>
      <c r="E133">
        <v>1</v>
      </c>
      <c r="F133" t="s">
        <v>210</v>
      </c>
      <c r="G133" t="s">
        <v>210</v>
      </c>
      <c r="H133">
        <v>0</v>
      </c>
      <c r="I133" s="28" t="s">
        <v>712</v>
      </c>
      <c r="J133" s="2">
        <f t="shared" si="144"/>
        <v>3</v>
      </c>
      <c r="K133" s="2">
        <f t="shared" si="135"/>
        <v>1.8</v>
      </c>
      <c r="L133" s="2">
        <f t="shared" si="136"/>
        <v>2</v>
      </c>
      <c r="M133" s="2">
        <v>10</v>
      </c>
      <c r="N133" s="2">
        <f t="shared" si="137"/>
        <v>155.52000000000001</v>
      </c>
      <c r="O133" s="2">
        <f t="shared" si="138"/>
        <v>15.55</v>
      </c>
      <c r="P133" s="2">
        <f t="shared" si="139"/>
        <v>1920</v>
      </c>
      <c r="Q133" s="2">
        <f t="shared" si="140"/>
        <v>192</v>
      </c>
      <c r="R133" s="2">
        <f t="shared" si="141"/>
        <v>31.1</v>
      </c>
      <c r="S133" s="2">
        <f t="shared" si="142"/>
        <v>3.11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11">
        <v>512022</v>
      </c>
      <c r="Z133" s="12" t="s">
        <v>448</v>
      </c>
      <c r="AA133" s="4">
        <v>1</v>
      </c>
      <c r="AB133" s="4">
        <v>0</v>
      </c>
      <c r="AC133" s="4"/>
      <c r="AD133" s="4">
        <f t="shared" si="145"/>
        <v>6322.0819199999996</v>
      </c>
      <c r="AF133" s="1" t="str">
        <f t="shared" si="97"/>
        <v>2</v>
      </c>
      <c r="AG133">
        <v>6</v>
      </c>
      <c r="AH133">
        <f t="shared" si="108"/>
        <v>155.52000000000001</v>
      </c>
      <c r="AI133">
        <f t="shared" si="109"/>
        <v>15.552000000000001</v>
      </c>
      <c r="AJ133">
        <f t="shared" si="110"/>
        <v>1920.0000000000002</v>
      </c>
      <c r="AK133">
        <f t="shared" si="111"/>
        <v>192.00000000000003</v>
      </c>
      <c r="AL133">
        <f t="shared" si="112"/>
        <v>31.104000000000003</v>
      </c>
      <c r="AM133">
        <f t="shared" si="143"/>
        <v>3.1104000000000003</v>
      </c>
      <c r="AN133">
        <f t="shared" si="114"/>
        <v>1.8</v>
      </c>
      <c r="AO133">
        <f t="shared" si="115"/>
        <v>2</v>
      </c>
      <c r="AP133">
        <f t="shared" si="116"/>
        <v>3</v>
      </c>
      <c r="AQ133">
        <v>202</v>
      </c>
      <c r="AR133">
        <v>5</v>
      </c>
      <c r="BO133" t="s">
        <v>173</v>
      </c>
      <c r="BP133" t="str">
        <f t="shared" ref="BP133:BP196" si="146">RIGHT(BO133,1)</f>
        <v>0</v>
      </c>
    </row>
    <row r="134" spans="1:68" x14ac:dyDescent="0.15">
      <c r="A134">
        <f t="shared" si="98"/>
        <v>5301061</v>
      </c>
      <c r="B134" t="s">
        <v>409</v>
      </c>
      <c r="C134">
        <v>6</v>
      </c>
      <c r="D134">
        <v>3</v>
      </c>
      <c r="E134">
        <v>1</v>
      </c>
      <c r="F134" t="s">
        <v>211</v>
      </c>
      <c r="G134" t="s">
        <v>211</v>
      </c>
      <c r="H134" s="2">
        <v>0</v>
      </c>
      <c r="I134" s="28" t="s">
        <v>713</v>
      </c>
      <c r="J134" s="2">
        <f t="shared" si="144"/>
        <v>3</v>
      </c>
      <c r="K134" s="2">
        <f t="shared" si="135"/>
        <v>1.2</v>
      </c>
      <c r="L134" s="2">
        <f t="shared" si="136"/>
        <v>2</v>
      </c>
      <c r="M134" s="2">
        <v>10</v>
      </c>
      <c r="N134" s="2">
        <f t="shared" si="137"/>
        <v>103.68</v>
      </c>
      <c r="O134" s="2">
        <f t="shared" si="138"/>
        <v>10.37</v>
      </c>
      <c r="P134" s="2">
        <f t="shared" si="139"/>
        <v>1920</v>
      </c>
      <c r="Q134" s="2">
        <f t="shared" si="140"/>
        <v>192</v>
      </c>
      <c r="R134" s="2">
        <f t="shared" si="141"/>
        <v>20.74</v>
      </c>
      <c r="S134" s="2">
        <f t="shared" si="142"/>
        <v>2.0699999999999998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11">
        <v>513012</v>
      </c>
      <c r="Z134" s="12" t="s">
        <v>449</v>
      </c>
      <c r="AA134" s="4">
        <v>1</v>
      </c>
      <c r="AB134" s="4">
        <v>0</v>
      </c>
      <c r="AC134" s="4"/>
      <c r="AD134" s="4">
        <f t="shared" si="145"/>
        <v>6323.9299200000005</v>
      </c>
      <c r="AF134" s="1" t="str">
        <f t="shared" si="97"/>
        <v>1</v>
      </c>
      <c r="AG134">
        <v>6</v>
      </c>
      <c r="AH134">
        <f t="shared" si="108"/>
        <v>103.68000000000002</v>
      </c>
      <c r="AI134">
        <f t="shared" si="109"/>
        <v>10.368000000000002</v>
      </c>
      <c r="AJ134">
        <f t="shared" si="110"/>
        <v>1920.0000000000002</v>
      </c>
      <c r="AK134">
        <f t="shared" si="111"/>
        <v>192.00000000000003</v>
      </c>
      <c r="AL134">
        <f t="shared" si="112"/>
        <v>20.736000000000004</v>
      </c>
      <c r="AM134">
        <f t="shared" si="143"/>
        <v>2.0736000000000003</v>
      </c>
      <c r="AN134">
        <f t="shared" si="114"/>
        <v>1.2</v>
      </c>
      <c r="AO134">
        <f t="shared" si="115"/>
        <v>2</v>
      </c>
      <c r="AP134">
        <f t="shared" si="116"/>
        <v>3</v>
      </c>
      <c r="AQ134">
        <v>301</v>
      </c>
      <c r="AR134">
        <v>5</v>
      </c>
      <c r="BO134" t="s">
        <v>182</v>
      </c>
      <c r="BP134" t="str">
        <f t="shared" si="146"/>
        <v>2</v>
      </c>
    </row>
    <row r="135" spans="1:68" x14ac:dyDescent="0.15">
      <c r="A135">
        <f t="shared" si="98"/>
        <v>5401061</v>
      </c>
      <c r="B135" t="s">
        <v>410</v>
      </c>
      <c r="C135">
        <v>6</v>
      </c>
      <c r="D135">
        <v>4</v>
      </c>
      <c r="E135">
        <v>1</v>
      </c>
      <c r="F135" t="s">
        <v>212</v>
      </c>
      <c r="G135" t="s">
        <v>212</v>
      </c>
      <c r="H135" s="2">
        <v>0</v>
      </c>
      <c r="I135" s="2" t="s">
        <v>103</v>
      </c>
      <c r="J135" s="2">
        <f t="shared" si="144"/>
        <v>6</v>
      </c>
      <c r="K135" s="2">
        <f t="shared" si="135"/>
        <v>1.6</v>
      </c>
      <c r="L135" s="2">
        <f t="shared" si="136"/>
        <v>2</v>
      </c>
      <c r="M135" s="2">
        <v>10</v>
      </c>
      <c r="N135" s="2">
        <f t="shared" si="137"/>
        <v>184.32</v>
      </c>
      <c r="O135" s="2">
        <f t="shared" si="138"/>
        <v>18.43</v>
      </c>
      <c r="P135" s="2">
        <f t="shared" si="139"/>
        <v>1440</v>
      </c>
      <c r="Q135" s="2">
        <f t="shared" si="140"/>
        <v>144</v>
      </c>
      <c r="R135" s="2">
        <f t="shared" si="141"/>
        <v>26.33</v>
      </c>
      <c r="S135" s="2">
        <f t="shared" si="142"/>
        <v>2.63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11">
        <v>514012</v>
      </c>
      <c r="Z135" s="12" t="s">
        <v>450</v>
      </c>
      <c r="AA135" s="4">
        <v>1</v>
      </c>
      <c r="AB135" s="4">
        <v>0</v>
      </c>
      <c r="AC135" s="4"/>
      <c r="AD135" s="4">
        <f t="shared" si="145"/>
        <v>6322.1974199999995</v>
      </c>
      <c r="AF135" s="1" t="str">
        <f t="shared" si="97"/>
        <v>1</v>
      </c>
      <c r="AG135">
        <v>6</v>
      </c>
      <c r="AH135">
        <f t="shared" si="108"/>
        <v>184.32000000000002</v>
      </c>
      <c r="AI135">
        <f t="shared" si="109"/>
        <v>18.432000000000002</v>
      </c>
      <c r="AJ135">
        <f t="shared" si="110"/>
        <v>1440</v>
      </c>
      <c r="AK135">
        <f t="shared" si="111"/>
        <v>144</v>
      </c>
      <c r="AL135">
        <f t="shared" si="112"/>
        <v>26.331428571428575</v>
      </c>
      <c r="AM135">
        <f t="shared" si="143"/>
        <v>2.6331428571428575</v>
      </c>
      <c r="AN135">
        <f t="shared" si="114"/>
        <v>1.6</v>
      </c>
      <c r="AO135">
        <f t="shared" si="115"/>
        <v>2</v>
      </c>
      <c r="AP135">
        <f t="shared" si="116"/>
        <v>6</v>
      </c>
      <c r="AQ135">
        <v>401</v>
      </c>
      <c r="AR135">
        <v>5</v>
      </c>
      <c r="BO135" t="s">
        <v>184</v>
      </c>
      <c r="BP135" t="str">
        <f t="shared" si="146"/>
        <v>0</v>
      </c>
    </row>
    <row r="136" spans="1:68" x14ac:dyDescent="0.15">
      <c r="A136">
        <f t="shared" si="98"/>
        <v>5402061</v>
      </c>
      <c r="B136" t="s">
        <v>102</v>
      </c>
      <c r="C136">
        <v>6</v>
      </c>
      <c r="D136">
        <v>4</v>
      </c>
      <c r="E136">
        <v>1</v>
      </c>
      <c r="F136" t="s">
        <v>213</v>
      </c>
      <c r="G136" t="s">
        <v>213</v>
      </c>
      <c r="H136">
        <v>0</v>
      </c>
      <c r="I136" s="28" t="s">
        <v>714</v>
      </c>
      <c r="J136" s="2">
        <f t="shared" si="144"/>
        <v>6</v>
      </c>
      <c r="K136" s="2">
        <f t="shared" si="135"/>
        <v>1.5</v>
      </c>
      <c r="L136" s="2">
        <f t="shared" si="136"/>
        <v>1.5</v>
      </c>
      <c r="M136" s="2">
        <v>10</v>
      </c>
      <c r="N136" s="2">
        <f t="shared" si="137"/>
        <v>172.8</v>
      </c>
      <c r="O136" s="2">
        <f t="shared" si="138"/>
        <v>17.28</v>
      </c>
      <c r="P136" s="2">
        <f t="shared" si="139"/>
        <v>1440</v>
      </c>
      <c r="Q136" s="2">
        <f t="shared" si="140"/>
        <v>144</v>
      </c>
      <c r="R136" s="2">
        <f t="shared" si="141"/>
        <v>24.69</v>
      </c>
      <c r="S136" s="2">
        <f t="shared" si="142"/>
        <v>2.4700000000000002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11">
        <v>514022</v>
      </c>
      <c r="Z136" s="12" t="s">
        <v>451</v>
      </c>
      <c r="AA136" s="4">
        <v>1</v>
      </c>
      <c r="AB136" s="4">
        <v>0</v>
      </c>
      <c r="AC136" s="4"/>
      <c r="AD136" s="4">
        <f t="shared" si="145"/>
        <v>6322.8211199999996</v>
      </c>
      <c r="AF136" s="1" t="str">
        <f t="shared" si="97"/>
        <v>2</v>
      </c>
      <c r="AG136">
        <v>6</v>
      </c>
      <c r="AH136">
        <f t="shared" si="108"/>
        <v>172.8</v>
      </c>
      <c r="AI136">
        <f t="shared" si="109"/>
        <v>17.28</v>
      </c>
      <c r="AJ136">
        <f t="shared" si="110"/>
        <v>1440</v>
      </c>
      <c r="AK136">
        <f t="shared" si="111"/>
        <v>144</v>
      </c>
      <c r="AL136">
        <f t="shared" si="112"/>
        <v>24.685714285714287</v>
      </c>
      <c r="AM136">
        <f t="shared" si="143"/>
        <v>2.4685714285714289</v>
      </c>
      <c r="AN136">
        <f t="shared" si="114"/>
        <v>1.5</v>
      </c>
      <c r="AO136">
        <f t="shared" si="115"/>
        <v>1.5</v>
      </c>
      <c r="AP136">
        <f t="shared" si="116"/>
        <v>6</v>
      </c>
      <c r="AQ136">
        <v>402</v>
      </c>
      <c r="AR136">
        <v>5</v>
      </c>
      <c r="BO136" t="s">
        <v>186</v>
      </c>
      <c r="BP136" t="str">
        <f t="shared" si="146"/>
        <v>0</v>
      </c>
    </row>
    <row r="137" spans="1:68" x14ac:dyDescent="0.15">
      <c r="A137">
        <f t="shared" si="98"/>
        <v>5500061</v>
      </c>
      <c r="B137" t="s">
        <v>411</v>
      </c>
      <c r="C137">
        <v>6</v>
      </c>
      <c r="D137">
        <v>5</v>
      </c>
      <c r="E137">
        <v>1</v>
      </c>
      <c r="F137" t="s">
        <v>214</v>
      </c>
      <c r="G137" t="s">
        <v>214</v>
      </c>
      <c r="H137">
        <v>0</v>
      </c>
      <c r="I137" s="2" t="s">
        <v>109</v>
      </c>
      <c r="J137" s="2">
        <f t="shared" si="144"/>
        <v>6</v>
      </c>
      <c r="K137" s="2">
        <f t="shared" si="135"/>
        <v>1.5</v>
      </c>
      <c r="L137" s="2">
        <f t="shared" si="136"/>
        <v>1.5</v>
      </c>
      <c r="M137" s="2">
        <v>10</v>
      </c>
      <c r="N137" s="2">
        <f t="shared" si="137"/>
        <v>201.6</v>
      </c>
      <c r="O137" s="2">
        <f t="shared" si="138"/>
        <v>20.16</v>
      </c>
      <c r="P137" s="2">
        <f t="shared" si="139"/>
        <v>1234.29</v>
      </c>
      <c r="Q137" s="2">
        <f t="shared" si="140"/>
        <v>123.43</v>
      </c>
      <c r="R137" s="2">
        <f t="shared" si="141"/>
        <v>25.2</v>
      </c>
      <c r="S137" s="2">
        <f t="shared" si="142"/>
        <v>2.52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11">
        <v>515002</v>
      </c>
      <c r="Z137" s="12" t="s">
        <v>452</v>
      </c>
      <c r="AA137" s="4">
        <v>1</v>
      </c>
      <c r="AB137" s="4">
        <v>0</v>
      </c>
      <c r="AC137" s="4"/>
      <c r="AD137" s="4">
        <f t="shared" si="145"/>
        <v>6322.8896438399997</v>
      </c>
      <c r="AF137" s="1" t="str">
        <f t="shared" si="97"/>
        <v>0</v>
      </c>
      <c r="AG137">
        <v>6</v>
      </c>
      <c r="AH137">
        <f t="shared" si="108"/>
        <v>201.59999999999997</v>
      </c>
      <c r="AI137">
        <f t="shared" si="109"/>
        <v>20.159999999999997</v>
      </c>
      <c r="AJ137">
        <f t="shared" si="110"/>
        <v>1234.2857142857144</v>
      </c>
      <c r="AK137">
        <f t="shared" si="111"/>
        <v>123.42857142857144</v>
      </c>
      <c r="AL137">
        <f t="shared" si="112"/>
        <v>25.199999999999996</v>
      </c>
      <c r="AM137">
        <f t="shared" si="143"/>
        <v>2.5199999999999996</v>
      </c>
      <c r="AN137">
        <f t="shared" si="114"/>
        <v>1.5</v>
      </c>
      <c r="AO137">
        <f t="shared" si="115"/>
        <v>1.5</v>
      </c>
      <c r="AP137">
        <f t="shared" si="116"/>
        <v>6</v>
      </c>
      <c r="AQ137">
        <v>500</v>
      </c>
      <c r="AR137">
        <v>5</v>
      </c>
      <c r="BO137" t="s">
        <v>169</v>
      </c>
      <c r="BP137" t="str">
        <f t="shared" si="146"/>
        <v>0</v>
      </c>
    </row>
    <row r="138" spans="1:68" x14ac:dyDescent="0.15">
      <c r="A138">
        <f t="shared" si="98"/>
        <v>5502061</v>
      </c>
      <c r="B138" t="s">
        <v>115</v>
      </c>
      <c r="C138">
        <v>6</v>
      </c>
      <c r="D138">
        <v>5</v>
      </c>
      <c r="E138">
        <v>1</v>
      </c>
      <c r="F138" t="s">
        <v>215</v>
      </c>
      <c r="G138" t="s">
        <v>215</v>
      </c>
      <c r="H138" s="2">
        <v>0</v>
      </c>
      <c r="I138" s="2" t="s">
        <v>113</v>
      </c>
      <c r="J138" s="2">
        <f t="shared" si="144"/>
        <v>6</v>
      </c>
      <c r="K138" s="2">
        <f t="shared" si="135"/>
        <v>1.4000000000000001</v>
      </c>
      <c r="L138" s="2">
        <f t="shared" si="136"/>
        <v>2</v>
      </c>
      <c r="M138" s="2">
        <v>10</v>
      </c>
      <c r="N138" s="2">
        <f t="shared" si="137"/>
        <v>188.16</v>
      </c>
      <c r="O138" s="2">
        <f t="shared" si="138"/>
        <v>18.82</v>
      </c>
      <c r="P138" s="2">
        <f t="shared" si="139"/>
        <v>1234.29</v>
      </c>
      <c r="Q138" s="2">
        <f t="shared" si="140"/>
        <v>123.43</v>
      </c>
      <c r="R138" s="2">
        <f t="shared" si="141"/>
        <v>23.52</v>
      </c>
      <c r="S138" s="2">
        <f t="shared" si="142"/>
        <v>2.35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11">
        <v>515022</v>
      </c>
      <c r="Z138" s="12" t="s">
        <v>453</v>
      </c>
      <c r="AA138" s="4">
        <v>1</v>
      </c>
      <c r="AB138" s="4">
        <v>0</v>
      </c>
      <c r="AC138" s="4"/>
      <c r="AD138" s="4">
        <f t="shared" si="145"/>
        <v>6324.1115999399999</v>
      </c>
      <c r="AF138" s="1" t="str">
        <f t="shared" si="97"/>
        <v>2</v>
      </c>
      <c r="AG138">
        <v>6</v>
      </c>
      <c r="AH138">
        <f t="shared" si="108"/>
        <v>188.15999999999997</v>
      </c>
      <c r="AI138">
        <f t="shared" si="109"/>
        <v>18.815999999999999</v>
      </c>
      <c r="AJ138">
        <f t="shared" si="110"/>
        <v>1234.2857142857144</v>
      </c>
      <c r="AK138">
        <f t="shared" si="111"/>
        <v>123.42857142857144</v>
      </c>
      <c r="AL138">
        <f t="shared" si="112"/>
        <v>23.519999999999996</v>
      </c>
      <c r="AM138">
        <f t="shared" si="143"/>
        <v>2.3519999999999999</v>
      </c>
      <c r="AN138">
        <f t="shared" si="114"/>
        <v>1.4</v>
      </c>
      <c r="AO138">
        <f t="shared" si="115"/>
        <v>2</v>
      </c>
      <c r="AP138">
        <f t="shared" si="116"/>
        <v>6</v>
      </c>
      <c r="AQ138">
        <v>502</v>
      </c>
      <c r="AR138">
        <v>5</v>
      </c>
      <c r="BO138" t="s">
        <v>180</v>
      </c>
      <c r="BP138" t="str">
        <f t="shared" si="146"/>
        <v>2</v>
      </c>
    </row>
    <row r="139" spans="1:68" x14ac:dyDescent="0.15">
      <c r="A139">
        <f t="shared" si="98"/>
        <v>5601061</v>
      </c>
      <c r="B139" t="s">
        <v>412</v>
      </c>
      <c r="C139">
        <v>6</v>
      </c>
      <c r="D139">
        <v>6</v>
      </c>
      <c r="E139">
        <v>1</v>
      </c>
      <c r="F139" t="s">
        <v>216</v>
      </c>
      <c r="G139" t="s">
        <v>216</v>
      </c>
      <c r="H139">
        <v>0</v>
      </c>
      <c r="I139" s="2" t="s">
        <v>116</v>
      </c>
      <c r="J139" s="2">
        <f t="shared" si="144"/>
        <v>6</v>
      </c>
      <c r="K139" s="2">
        <f t="shared" si="135"/>
        <v>1.5</v>
      </c>
      <c r="L139" s="2">
        <f t="shared" si="136"/>
        <v>2</v>
      </c>
      <c r="M139" s="2">
        <v>10</v>
      </c>
      <c r="N139" s="2">
        <f t="shared" si="137"/>
        <v>223.2</v>
      </c>
      <c r="O139" s="2">
        <f t="shared" si="138"/>
        <v>22.32</v>
      </c>
      <c r="P139" s="2">
        <f t="shared" si="139"/>
        <v>1114.8399999999999</v>
      </c>
      <c r="Q139" s="2">
        <f t="shared" si="140"/>
        <v>111.48</v>
      </c>
      <c r="R139" s="2">
        <f t="shared" si="141"/>
        <v>22.32</v>
      </c>
      <c r="S139" s="2">
        <f t="shared" si="142"/>
        <v>2.23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11">
        <v>516012</v>
      </c>
      <c r="Z139" s="12" t="s">
        <v>454</v>
      </c>
      <c r="AA139" s="4">
        <v>1</v>
      </c>
      <c r="AB139" s="4">
        <v>0</v>
      </c>
      <c r="AC139" s="4"/>
      <c r="AD139" s="4">
        <f t="shared" si="145"/>
        <v>6322.622201279999</v>
      </c>
      <c r="AF139" s="1" t="str">
        <f t="shared" si="97"/>
        <v>1</v>
      </c>
      <c r="AG139">
        <v>6</v>
      </c>
      <c r="AH139">
        <f t="shared" si="108"/>
        <v>223.20000000000002</v>
      </c>
      <c r="AI139">
        <f t="shared" si="109"/>
        <v>22.320000000000004</v>
      </c>
      <c r="AJ139">
        <f t="shared" si="110"/>
        <v>1114.8387096774195</v>
      </c>
      <c r="AK139">
        <f t="shared" si="111"/>
        <v>111.48387096774195</v>
      </c>
      <c r="AL139">
        <f t="shared" si="112"/>
        <v>22.32</v>
      </c>
      <c r="AM139">
        <f t="shared" si="143"/>
        <v>2.2320000000000002</v>
      </c>
      <c r="AN139">
        <f t="shared" si="114"/>
        <v>1.5</v>
      </c>
      <c r="AO139">
        <f t="shared" si="115"/>
        <v>2</v>
      </c>
      <c r="AP139">
        <f t="shared" si="116"/>
        <v>6</v>
      </c>
      <c r="AQ139">
        <v>601</v>
      </c>
      <c r="AR139">
        <v>5</v>
      </c>
      <c r="BO139" t="s">
        <v>165</v>
      </c>
      <c r="BP139" t="str">
        <f t="shared" si="146"/>
        <v>2</v>
      </c>
    </row>
    <row r="140" spans="1:68" x14ac:dyDescent="0.15">
      <c r="A140">
        <f t="shared" si="98"/>
        <v>5200062</v>
      </c>
      <c r="B140" t="s">
        <v>160</v>
      </c>
      <c r="C140">
        <v>6</v>
      </c>
      <c r="D140">
        <v>2</v>
      </c>
      <c r="E140">
        <v>2</v>
      </c>
      <c r="F140" t="s">
        <v>217</v>
      </c>
      <c r="G140" t="s">
        <v>217</v>
      </c>
      <c r="H140">
        <v>0</v>
      </c>
      <c r="I140" s="28" t="s">
        <v>715</v>
      </c>
      <c r="J140" s="2">
        <f t="shared" si="144"/>
        <v>3</v>
      </c>
      <c r="K140" s="2">
        <f t="shared" si="135"/>
        <v>1.5</v>
      </c>
      <c r="L140" s="2">
        <f t="shared" si="136"/>
        <v>1.2</v>
      </c>
      <c r="M140" s="2">
        <v>10</v>
      </c>
      <c r="N140" s="2">
        <f t="shared" si="137"/>
        <v>144</v>
      </c>
      <c r="O140" s="2">
        <f t="shared" si="138"/>
        <v>14.4</v>
      </c>
      <c r="P140" s="2">
        <f t="shared" si="139"/>
        <v>1728</v>
      </c>
      <c r="Q140" s="2">
        <f t="shared" si="140"/>
        <v>172.8</v>
      </c>
      <c r="R140" s="2">
        <f t="shared" si="141"/>
        <v>36</v>
      </c>
      <c r="S140" s="2">
        <f t="shared" si="142"/>
        <v>3.6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11">
        <v>522002</v>
      </c>
      <c r="Z140" s="12" t="s">
        <v>455</v>
      </c>
      <c r="AA140" s="4">
        <v>1</v>
      </c>
      <c r="AB140" s="4">
        <v>0</v>
      </c>
      <c r="AC140" s="4"/>
      <c r="AD140" s="4">
        <f t="shared" si="145"/>
        <v>6322.8211199999996</v>
      </c>
      <c r="AF140" s="1" t="str">
        <f t="shared" si="97"/>
        <v>0</v>
      </c>
      <c r="AG140">
        <v>6</v>
      </c>
      <c r="AH140">
        <f t="shared" si="108"/>
        <v>144</v>
      </c>
      <c r="AI140">
        <f t="shared" si="109"/>
        <v>14.4</v>
      </c>
      <c r="AJ140">
        <f t="shared" si="110"/>
        <v>1728</v>
      </c>
      <c r="AK140">
        <f t="shared" si="111"/>
        <v>172.8</v>
      </c>
      <c r="AL140">
        <f t="shared" si="112"/>
        <v>36</v>
      </c>
      <c r="AM140">
        <f t="shared" si="143"/>
        <v>3.6</v>
      </c>
      <c r="AN140">
        <f t="shared" si="114"/>
        <v>1.5</v>
      </c>
      <c r="AO140">
        <f t="shared" si="115"/>
        <v>1.2</v>
      </c>
      <c r="AP140">
        <f t="shared" si="116"/>
        <v>3</v>
      </c>
      <c r="AQ140">
        <v>200</v>
      </c>
      <c r="AR140">
        <v>5</v>
      </c>
      <c r="BO140" t="s">
        <v>178</v>
      </c>
      <c r="BP140" t="str">
        <f t="shared" si="146"/>
        <v>2</v>
      </c>
    </row>
    <row r="141" spans="1:68" x14ac:dyDescent="0.15">
      <c r="A141">
        <f t="shared" si="98"/>
        <v>5201062</v>
      </c>
      <c r="B141" t="s">
        <v>407</v>
      </c>
      <c r="C141">
        <v>6</v>
      </c>
      <c r="D141">
        <v>2</v>
      </c>
      <c r="E141">
        <v>2</v>
      </c>
      <c r="F141" t="s">
        <v>218</v>
      </c>
      <c r="G141" t="s">
        <v>218</v>
      </c>
      <c r="H141">
        <v>0</v>
      </c>
      <c r="I141" s="28" t="s">
        <v>722</v>
      </c>
      <c r="J141" s="2">
        <f t="shared" si="144"/>
        <v>3</v>
      </c>
      <c r="K141" s="2">
        <f t="shared" si="135"/>
        <v>1.8</v>
      </c>
      <c r="L141" s="2">
        <f t="shared" si="136"/>
        <v>1.8</v>
      </c>
      <c r="M141" s="2">
        <v>10</v>
      </c>
      <c r="N141" s="2">
        <f t="shared" si="137"/>
        <v>138.24</v>
      </c>
      <c r="O141" s="2">
        <f t="shared" si="138"/>
        <v>13.82</v>
      </c>
      <c r="P141" s="2">
        <f t="shared" si="139"/>
        <v>2160</v>
      </c>
      <c r="Q141" s="2">
        <f t="shared" si="140"/>
        <v>216</v>
      </c>
      <c r="R141" s="2">
        <f t="shared" si="141"/>
        <v>46.08</v>
      </c>
      <c r="S141" s="2">
        <f t="shared" si="142"/>
        <v>4.6100000000000003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11">
        <v>522012</v>
      </c>
      <c r="Z141" s="12" t="s">
        <v>456</v>
      </c>
      <c r="AA141" s="4">
        <v>1</v>
      </c>
      <c r="AB141" s="4">
        <v>0</v>
      </c>
      <c r="AC141" s="4"/>
      <c r="AD141" s="4">
        <f t="shared" si="145"/>
        <v>6321.1579199999996</v>
      </c>
      <c r="AF141" s="1" t="str">
        <f t="shared" si="97"/>
        <v>1</v>
      </c>
      <c r="AG141">
        <v>6</v>
      </c>
      <c r="AH141">
        <f t="shared" si="108"/>
        <v>138.24000000000004</v>
      </c>
      <c r="AI141">
        <f t="shared" si="109"/>
        <v>13.824000000000005</v>
      </c>
      <c r="AJ141">
        <f t="shared" si="110"/>
        <v>2160</v>
      </c>
      <c r="AK141">
        <f t="shared" si="111"/>
        <v>216</v>
      </c>
      <c r="AL141">
        <f t="shared" si="112"/>
        <v>46.080000000000013</v>
      </c>
      <c r="AM141">
        <f t="shared" si="143"/>
        <v>4.6080000000000014</v>
      </c>
      <c r="AN141">
        <f t="shared" si="114"/>
        <v>1.8</v>
      </c>
      <c r="AO141">
        <f t="shared" si="115"/>
        <v>1.8</v>
      </c>
      <c r="AP141">
        <f t="shared" si="116"/>
        <v>3</v>
      </c>
      <c r="AQ141">
        <v>201</v>
      </c>
      <c r="AR141">
        <v>5</v>
      </c>
      <c r="BO141" t="s">
        <v>136</v>
      </c>
      <c r="BP141" t="str">
        <f t="shared" si="146"/>
        <v>1</v>
      </c>
    </row>
    <row r="142" spans="1:68" x14ac:dyDescent="0.15">
      <c r="A142">
        <f t="shared" si="98"/>
        <v>5202062</v>
      </c>
      <c r="B142" t="s">
        <v>408</v>
      </c>
      <c r="C142">
        <v>6</v>
      </c>
      <c r="D142">
        <v>2</v>
      </c>
      <c r="E142">
        <v>2</v>
      </c>
      <c r="F142" t="s">
        <v>219</v>
      </c>
      <c r="G142" t="s">
        <v>219</v>
      </c>
      <c r="H142" s="2">
        <v>0</v>
      </c>
      <c r="I142" s="2" t="s">
        <v>96</v>
      </c>
      <c r="J142" s="2">
        <f t="shared" si="144"/>
        <v>3</v>
      </c>
      <c r="K142" s="2">
        <f t="shared" si="135"/>
        <v>1.8</v>
      </c>
      <c r="L142" s="2">
        <f t="shared" si="136"/>
        <v>2</v>
      </c>
      <c r="M142" s="2">
        <v>10</v>
      </c>
      <c r="N142" s="2">
        <f t="shared" si="137"/>
        <v>155.52000000000001</v>
      </c>
      <c r="O142" s="2">
        <f t="shared" si="138"/>
        <v>15.55</v>
      </c>
      <c r="P142" s="2">
        <f t="shared" si="139"/>
        <v>1920</v>
      </c>
      <c r="Q142" s="2">
        <f t="shared" si="140"/>
        <v>192</v>
      </c>
      <c r="R142" s="2">
        <f t="shared" si="141"/>
        <v>31.1</v>
      </c>
      <c r="S142" s="2">
        <f t="shared" si="142"/>
        <v>3.11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11">
        <v>522022</v>
      </c>
      <c r="Z142" s="12" t="s">
        <v>457</v>
      </c>
      <c r="AA142" s="4">
        <v>1</v>
      </c>
      <c r="AB142" s="4">
        <v>0</v>
      </c>
      <c r="AC142" s="4"/>
      <c r="AD142" s="4">
        <f t="shared" si="145"/>
        <v>6322.0819199999996</v>
      </c>
      <c r="AF142" s="1" t="str">
        <f t="shared" si="97"/>
        <v>2</v>
      </c>
      <c r="AG142">
        <v>6</v>
      </c>
      <c r="AH142">
        <f t="shared" si="108"/>
        <v>155.52000000000001</v>
      </c>
      <c r="AI142">
        <f t="shared" si="109"/>
        <v>15.552000000000001</v>
      </c>
      <c r="AJ142">
        <f t="shared" si="110"/>
        <v>1920.0000000000002</v>
      </c>
      <c r="AK142">
        <f t="shared" si="111"/>
        <v>192.00000000000003</v>
      </c>
      <c r="AL142">
        <f t="shared" si="112"/>
        <v>31.104000000000003</v>
      </c>
      <c r="AM142">
        <f t="shared" si="143"/>
        <v>3.1104000000000003</v>
      </c>
      <c r="AN142">
        <f t="shared" si="114"/>
        <v>1.8</v>
      </c>
      <c r="AO142">
        <f t="shared" si="115"/>
        <v>2</v>
      </c>
      <c r="AP142">
        <f t="shared" si="116"/>
        <v>3</v>
      </c>
      <c r="AQ142">
        <v>202</v>
      </c>
      <c r="AR142">
        <v>5</v>
      </c>
      <c r="BO142" t="s">
        <v>173</v>
      </c>
      <c r="BP142" t="str">
        <f t="shared" si="146"/>
        <v>0</v>
      </c>
    </row>
    <row r="143" spans="1:68" x14ac:dyDescent="0.15">
      <c r="A143">
        <f t="shared" si="98"/>
        <v>5301062</v>
      </c>
      <c r="B143" t="s">
        <v>409</v>
      </c>
      <c r="C143">
        <v>6</v>
      </c>
      <c r="D143">
        <v>3</v>
      </c>
      <c r="E143">
        <v>2</v>
      </c>
      <c r="F143" t="s">
        <v>220</v>
      </c>
      <c r="G143" t="s">
        <v>220</v>
      </c>
      <c r="H143">
        <v>0</v>
      </c>
      <c r="I143" s="2" t="s">
        <v>100</v>
      </c>
      <c r="J143" s="2">
        <f t="shared" si="144"/>
        <v>3</v>
      </c>
      <c r="K143" s="2">
        <f t="shared" si="135"/>
        <v>1.2</v>
      </c>
      <c r="L143" s="2">
        <f t="shared" si="136"/>
        <v>2</v>
      </c>
      <c r="M143" s="2">
        <v>10</v>
      </c>
      <c r="N143" s="2">
        <f t="shared" si="137"/>
        <v>103.68</v>
      </c>
      <c r="O143" s="2">
        <f t="shared" si="138"/>
        <v>10.37</v>
      </c>
      <c r="P143" s="2">
        <f t="shared" si="139"/>
        <v>1920</v>
      </c>
      <c r="Q143" s="2">
        <f t="shared" si="140"/>
        <v>192</v>
      </c>
      <c r="R143" s="2">
        <f t="shared" si="141"/>
        <v>20.74</v>
      </c>
      <c r="S143" s="2">
        <f t="shared" si="142"/>
        <v>2.0699999999999998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11">
        <v>523012</v>
      </c>
      <c r="Z143" s="12" t="s">
        <v>458</v>
      </c>
      <c r="AA143" s="4">
        <v>1</v>
      </c>
      <c r="AB143" s="4">
        <v>0</v>
      </c>
      <c r="AC143" s="4"/>
      <c r="AD143" s="4">
        <f t="shared" si="145"/>
        <v>6323.9299200000005</v>
      </c>
      <c r="AF143" s="1" t="str">
        <f t="shared" si="97"/>
        <v>1</v>
      </c>
      <c r="AG143">
        <v>6</v>
      </c>
      <c r="AH143">
        <f t="shared" si="108"/>
        <v>103.68000000000002</v>
      </c>
      <c r="AI143">
        <f t="shared" si="109"/>
        <v>10.368000000000002</v>
      </c>
      <c r="AJ143">
        <f t="shared" si="110"/>
        <v>1920.0000000000002</v>
      </c>
      <c r="AK143">
        <f t="shared" si="111"/>
        <v>192.00000000000003</v>
      </c>
      <c r="AL143">
        <f t="shared" si="112"/>
        <v>20.736000000000004</v>
      </c>
      <c r="AM143">
        <f t="shared" si="143"/>
        <v>2.0736000000000003</v>
      </c>
      <c r="AN143">
        <f t="shared" si="114"/>
        <v>1.2</v>
      </c>
      <c r="AO143">
        <f t="shared" si="115"/>
        <v>2</v>
      </c>
      <c r="AP143">
        <f t="shared" si="116"/>
        <v>3</v>
      </c>
      <c r="AQ143">
        <v>301</v>
      </c>
      <c r="AR143">
        <v>5</v>
      </c>
      <c r="BO143" t="s">
        <v>136</v>
      </c>
      <c r="BP143" t="str">
        <f t="shared" si="146"/>
        <v>1</v>
      </c>
    </row>
    <row r="144" spans="1:68" x14ac:dyDescent="0.15">
      <c r="A144">
        <f t="shared" si="98"/>
        <v>5401062</v>
      </c>
      <c r="B144" t="s">
        <v>410</v>
      </c>
      <c r="C144">
        <v>6</v>
      </c>
      <c r="D144">
        <v>4</v>
      </c>
      <c r="E144">
        <v>2</v>
      </c>
      <c r="F144" t="s">
        <v>221</v>
      </c>
      <c r="G144" t="s">
        <v>221</v>
      </c>
      <c r="H144" s="2">
        <v>0</v>
      </c>
      <c r="I144" s="28" t="s">
        <v>716</v>
      </c>
      <c r="J144" s="2">
        <f t="shared" si="144"/>
        <v>6</v>
      </c>
      <c r="K144" s="2">
        <f t="shared" si="135"/>
        <v>1.6</v>
      </c>
      <c r="L144" s="2">
        <f t="shared" si="136"/>
        <v>2</v>
      </c>
      <c r="M144" s="2">
        <v>10</v>
      </c>
      <c r="N144" s="2">
        <f t="shared" si="137"/>
        <v>184.32</v>
      </c>
      <c r="O144" s="2">
        <f t="shared" si="138"/>
        <v>18.43</v>
      </c>
      <c r="P144" s="2">
        <f t="shared" si="139"/>
        <v>1440</v>
      </c>
      <c r="Q144" s="2">
        <f t="shared" si="140"/>
        <v>144</v>
      </c>
      <c r="R144" s="2">
        <f t="shared" si="141"/>
        <v>26.33</v>
      </c>
      <c r="S144" s="2">
        <f t="shared" si="142"/>
        <v>2.63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11">
        <v>524012</v>
      </c>
      <c r="Z144" s="12" t="s">
        <v>459</v>
      </c>
      <c r="AA144" s="4">
        <v>1</v>
      </c>
      <c r="AB144" s="4">
        <v>0</v>
      </c>
      <c r="AC144" s="4"/>
      <c r="AD144" s="4">
        <f t="shared" si="145"/>
        <v>6322.1974199999995</v>
      </c>
      <c r="AF144" s="1" t="str">
        <f t="shared" si="97"/>
        <v>1</v>
      </c>
      <c r="AG144">
        <v>6</v>
      </c>
      <c r="AH144">
        <f t="shared" si="108"/>
        <v>184.32000000000002</v>
      </c>
      <c r="AI144">
        <f t="shared" si="109"/>
        <v>18.432000000000002</v>
      </c>
      <c r="AJ144">
        <f t="shared" si="110"/>
        <v>1440</v>
      </c>
      <c r="AK144">
        <f t="shared" si="111"/>
        <v>144</v>
      </c>
      <c r="AL144">
        <f t="shared" si="112"/>
        <v>26.331428571428575</v>
      </c>
      <c r="AM144">
        <f t="shared" si="143"/>
        <v>2.6331428571428575</v>
      </c>
      <c r="AN144">
        <f t="shared" si="114"/>
        <v>1.6</v>
      </c>
      <c r="AO144">
        <f t="shared" si="115"/>
        <v>2</v>
      </c>
      <c r="AP144">
        <f t="shared" si="116"/>
        <v>6</v>
      </c>
      <c r="AQ144">
        <v>401</v>
      </c>
      <c r="AR144">
        <v>5</v>
      </c>
      <c r="BO144" t="s">
        <v>141</v>
      </c>
      <c r="BP144" t="str">
        <f t="shared" si="146"/>
        <v>1</v>
      </c>
    </row>
    <row r="145" spans="1:68" x14ac:dyDescent="0.15">
      <c r="A145">
        <f t="shared" si="98"/>
        <v>5402062</v>
      </c>
      <c r="B145" t="s">
        <v>102</v>
      </c>
      <c r="C145">
        <v>6</v>
      </c>
      <c r="D145">
        <v>4</v>
      </c>
      <c r="E145">
        <v>2</v>
      </c>
      <c r="F145" t="s">
        <v>222</v>
      </c>
      <c r="G145" t="s">
        <v>222</v>
      </c>
      <c r="H145">
        <v>0</v>
      </c>
      <c r="I145" s="2" t="s">
        <v>106</v>
      </c>
      <c r="J145" s="2">
        <f t="shared" si="144"/>
        <v>6</v>
      </c>
      <c r="K145" s="2">
        <f t="shared" si="135"/>
        <v>1.5</v>
      </c>
      <c r="L145" s="2">
        <f t="shared" si="136"/>
        <v>1.5</v>
      </c>
      <c r="M145" s="2">
        <v>10</v>
      </c>
      <c r="N145" s="2">
        <f t="shared" si="137"/>
        <v>172.8</v>
      </c>
      <c r="O145" s="2">
        <f t="shared" si="138"/>
        <v>17.28</v>
      </c>
      <c r="P145" s="2">
        <f t="shared" si="139"/>
        <v>1440</v>
      </c>
      <c r="Q145" s="2">
        <f t="shared" si="140"/>
        <v>144</v>
      </c>
      <c r="R145" s="2">
        <f t="shared" si="141"/>
        <v>24.69</v>
      </c>
      <c r="S145" s="2">
        <f t="shared" si="142"/>
        <v>2.4700000000000002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11">
        <v>524022</v>
      </c>
      <c r="Z145" s="12" t="s">
        <v>460</v>
      </c>
      <c r="AA145" s="4">
        <v>1</v>
      </c>
      <c r="AB145" s="4">
        <v>0</v>
      </c>
      <c r="AC145" s="4"/>
      <c r="AD145" s="4">
        <f t="shared" si="145"/>
        <v>6322.8211199999996</v>
      </c>
      <c r="AF145" s="1" t="str">
        <f t="shared" si="97"/>
        <v>2</v>
      </c>
      <c r="AG145">
        <v>6</v>
      </c>
      <c r="AH145">
        <f t="shared" si="108"/>
        <v>172.8</v>
      </c>
      <c r="AI145">
        <f t="shared" si="109"/>
        <v>17.28</v>
      </c>
      <c r="AJ145">
        <f t="shared" si="110"/>
        <v>1440</v>
      </c>
      <c r="AK145">
        <f t="shared" si="111"/>
        <v>144</v>
      </c>
      <c r="AL145">
        <f t="shared" si="112"/>
        <v>24.685714285714287</v>
      </c>
      <c r="AM145">
        <f t="shared" si="143"/>
        <v>2.4685714285714289</v>
      </c>
      <c r="AN145">
        <f t="shared" si="114"/>
        <v>1.5</v>
      </c>
      <c r="AO145">
        <f t="shared" si="115"/>
        <v>1.5</v>
      </c>
      <c r="AP145">
        <f t="shared" si="116"/>
        <v>6</v>
      </c>
      <c r="AQ145">
        <v>402</v>
      </c>
      <c r="AR145">
        <v>5</v>
      </c>
      <c r="BO145" t="s">
        <v>165</v>
      </c>
      <c r="BP145" t="str">
        <f t="shared" si="146"/>
        <v>2</v>
      </c>
    </row>
    <row r="146" spans="1:68" x14ac:dyDescent="0.15">
      <c r="A146">
        <f t="shared" si="98"/>
        <v>5500062</v>
      </c>
      <c r="B146" t="s">
        <v>411</v>
      </c>
      <c r="C146">
        <v>6</v>
      </c>
      <c r="D146">
        <v>5</v>
      </c>
      <c r="E146">
        <v>2</v>
      </c>
      <c r="F146" t="s">
        <v>223</v>
      </c>
      <c r="G146" t="s">
        <v>223</v>
      </c>
      <c r="H146" s="2">
        <v>0</v>
      </c>
      <c r="I146" s="2" t="s">
        <v>109</v>
      </c>
      <c r="J146" s="2">
        <f t="shared" si="144"/>
        <v>6</v>
      </c>
      <c r="K146" s="2">
        <f t="shared" si="135"/>
        <v>1.5</v>
      </c>
      <c r="L146" s="2">
        <f t="shared" si="136"/>
        <v>1.5</v>
      </c>
      <c r="M146" s="2">
        <v>10</v>
      </c>
      <c r="N146" s="2">
        <f t="shared" si="137"/>
        <v>201.6</v>
      </c>
      <c r="O146" s="2">
        <f t="shared" si="138"/>
        <v>20.16</v>
      </c>
      <c r="P146" s="2">
        <f t="shared" si="139"/>
        <v>1234.29</v>
      </c>
      <c r="Q146" s="2">
        <f t="shared" si="140"/>
        <v>123.43</v>
      </c>
      <c r="R146" s="2">
        <f t="shared" si="141"/>
        <v>25.2</v>
      </c>
      <c r="S146" s="2">
        <f t="shared" si="142"/>
        <v>2.52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11">
        <v>525002</v>
      </c>
      <c r="Z146" s="12" t="s">
        <v>461</v>
      </c>
      <c r="AA146" s="4">
        <v>1</v>
      </c>
      <c r="AB146" s="4">
        <v>0</v>
      </c>
      <c r="AC146" s="4"/>
      <c r="AD146" s="4">
        <f t="shared" si="145"/>
        <v>6322.8896438399997</v>
      </c>
      <c r="AF146" s="1" t="str">
        <f t="shared" si="97"/>
        <v>0</v>
      </c>
      <c r="AG146">
        <v>6</v>
      </c>
      <c r="AH146">
        <f t="shared" si="108"/>
        <v>201.59999999999997</v>
      </c>
      <c r="AI146">
        <f t="shared" si="109"/>
        <v>20.159999999999997</v>
      </c>
      <c r="AJ146">
        <f t="shared" si="110"/>
        <v>1234.2857142857144</v>
      </c>
      <c r="AK146">
        <f t="shared" si="111"/>
        <v>123.42857142857144</v>
      </c>
      <c r="AL146">
        <f t="shared" si="112"/>
        <v>25.199999999999996</v>
      </c>
      <c r="AM146">
        <f t="shared" si="143"/>
        <v>2.5199999999999996</v>
      </c>
      <c r="AN146">
        <f t="shared" si="114"/>
        <v>1.5</v>
      </c>
      <c r="AO146">
        <f t="shared" si="115"/>
        <v>1.5</v>
      </c>
      <c r="AP146">
        <f t="shared" si="116"/>
        <v>6</v>
      </c>
      <c r="AQ146">
        <v>500</v>
      </c>
      <c r="AR146">
        <v>5</v>
      </c>
      <c r="BO146" t="s">
        <v>167</v>
      </c>
      <c r="BP146" t="str">
        <f t="shared" si="146"/>
        <v>1</v>
      </c>
    </row>
    <row r="147" spans="1:68" x14ac:dyDescent="0.15">
      <c r="A147">
        <f t="shared" si="98"/>
        <v>5502062</v>
      </c>
      <c r="B147" t="s">
        <v>115</v>
      </c>
      <c r="C147">
        <v>6</v>
      </c>
      <c r="D147">
        <v>5</v>
      </c>
      <c r="E147">
        <v>2</v>
      </c>
      <c r="F147" t="s">
        <v>224</v>
      </c>
      <c r="G147" t="s">
        <v>224</v>
      </c>
      <c r="H147" s="2">
        <v>0</v>
      </c>
      <c r="I147" s="2" t="s">
        <v>113</v>
      </c>
      <c r="J147" s="2">
        <f t="shared" si="144"/>
        <v>6</v>
      </c>
      <c r="K147" s="2">
        <f t="shared" si="135"/>
        <v>1.4000000000000001</v>
      </c>
      <c r="L147" s="2">
        <f t="shared" si="136"/>
        <v>2</v>
      </c>
      <c r="M147" s="2">
        <v>10</v>
      </c>
      <c r="N147" s="2">
        <f t="shared" si="137"/>
        <v>188.16</v>
      </c>
      <c r="O147" s="2">
        <f t="shared" si="138"/>
        <v>18.82</v>
      </c>
      <c r="P147" s="2">
        <f t="shared" si="139"/>
        <v>1234.29</v>
      </c>
      <c r="Q147" s="2">
        <f t="shared" si="140"/>
        <v>123.43</v>
      </c>
      <c r="R147" s="2">
        <f t="shared" si="141"/>
        <v>23.52</v>
      </c>
      <c r="S147" s="2">
        <f t="shared" si="142"/>
        <v>2.35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11">
        <v>525022</v>
      </c>
      <c r="Z147" s="12" t="s">
        <v>462</v>
      </c>
      <c r="AA147" s="4">
        <v>1</v>
      </c>
      <c r="AB147" s="4">
        <v>0</v>
      </c>
      <c r="AC147" s="4"/>
      <c r="AD147" s="4">
        <f t="shared" si="145"/>
        <v>6324.1115999399999</v>
      </c>
      <c r="AF147" s="1" t="str">
        <f t="shared" si="97"/>
        <v>2</v>
      </c>
      <c r="AG147">
        <v>6</v>
      </c>
      <c r="AH147">
        <f t="shared" si="108"/>
        <v>188.15999999999997</v>
      </c>
      <c r="AI147">
        <f t="shared" si="109"/>
        <v>18.815999999999999</v>
      </c>
      <c r="AJ147">
        <f t="shared" si="110"/>
        <v>1234.2857142857144</v>
      </c>
      <c r="AK147">
        <f t="shared" si="111"/>
        <v>123.42857142857144</v>
      </c>
      <c r="AL147">
        <f t="shared" si="112"/>
        <v>23.519999999999996</v>
      </c>
      <c r="AM147">
        <f t="shared" si="143"/>
        <v>2.3519999999999999</v>
      </c>
      <c r="AN147">
        <f t="shared" si="114"/>
        <v>1.4</v>
      </c>
      <c r="AO147">
        <f t="shared" si="115"/>
        <v>2</v>
      </c>
      <c r="AP147">
        <f t="shared" si="116"/>
        <v>6</v>
      </c>
      <c r="AQ147">
        <v>502</v>
      </c>
      <c r="AR147">
        <v>5</v>
      </c>
      <c r="BO147" t="s">
        <v>176</v>
      </c>
      <c r="BP147" t="str">
        <f t="shared" si="146"/>
        <v>2</v>
      </c>
    </row>
    <row r="148" spans="1:68" x14ac:dyDescent="0.15">
      <c r="A148">
        <f t="shared" si="98"/>
        <v>5601062</v>
      </c>
      <c r="B148" t="s">
        <v>412</v>
      </c>
      <c r="C148">
        <v>6</v>
      </c>
      <c r="D148">
        <v>6</v>
      </c>
      <c r="E148">
        <v>2</v>
      </c>
      <c r="F148" t="s">
        <v>225</v>
      </c>
      <c r="G148" t="s">
        <v>225</v>
      </c>
      <c r="H148" s="2">
        <v>0</v>
      </c>
      <c r="I148" s="2" t="s">
        <v>116</v>
      </c>
      <c r="J148" s="2">
        <f t="shared" si="144"/>
        <v>6</v>
      </c>
      <c r="K148" s="2">
        <f t="shared" si="135"/>
        <v>1.5</v>
      </c>
      <c r="L148" s="2">
        <f t="shared" si="136"/>
        <v>2</v>
      </c>
      <c r="M148" s="2">
        <v>10</v>
      </c>
      <c r="N148" s="2">
        <f t="shared" si="137"/>
        <v>223.2</v>
      </c>
      <c r="O148" s="2">
        <f t="shared" si="138"/>
        <v>22.32</v>
      </c>
      <c r="P148" s="2">
        <f t="shared" si="139"/>
        <v>1114.8399999999999</v>
      </c>
      <c r="Q148" s="2">
        <f t="shared" si="140"/>
        <v>111.48</v>
      </c>
      <c r="R148" s="2">
        <f t="shared" si="141"/>
        <v>22.32</v>
      </c>
      <c r="S148" s="2">
        <f t="shared" si="142"/>
        <v>2.23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11">
        <v>526012</v>
      </c>
      <c r="Z148" s="12" t="s">
        <v>463</v>
      </c>
      <c r="AA148" s="4">
        <v>1</v>
      </c>
      <c r="AB148" s="4">
        <v>0</v>
      </c>
      <c r="AC148" s="4"/>
      <c r="AD148" s="4">
        <f t="shared" si="145"/>
        <v>6322.622201279999</v>
      </c>
      <c r="AF148" s="1" t="str">
        <f t="shared" si="97"/>
        <v>1</v>
      </c>
      <c r="AG148">
        <v>6</v>
      </c>
      <c r="AH148">
        <f t="shared" si="108"/>
        <v>223.20000000000002</v>
      </c>
      <c r="AI148">
        <f t="shared" si="109"/>
        <v>22.320000000000004</v>
      </c>
      <c r="AJ148">
        <f t="shared" si="110"/>
        <v>1114.8387096774195</v>
      </c>
      <c r="AK148">
        <f t="shared" si="111"/>
        <v>111.48387096774195</v>
      </c>
      <c r="AL148">
        <f t="shared" si="112"/>
        <v>22.32</v>
      </c>
      <c r="AM148">
        <f t="shared" si="143"/>
        <v>2.2320000000000002</v>
      </c>
      <c r="AN148">
        <f t="shared" si="114"/>
        <v>1.5</v>
      </c>
      <c r="AO148">
        <f t="shared" si="115"/>
        <v>2</v>
      </c>
      <c r="AP148">
        <f t="shared" si="116"/>
        <v>6</v>
      </c>
      <c r="AQ148">
        <v>601</v>
      </c>
      <c r="AR148">
        <v>5</v>
      </c>
      <c r="BO148" t="s">
        <v>169</v>
      </c>
      <c r="BP148" t="str">
        <f t="shared" si="146"/>
        <v>0</v>
      </c>
    </row>
    <row r="149" spans="1:68" x14ac:dyDescent="0.15">
      <c r="A149">
        <f t="shared" si="98"/>
        <v>5200063</v>
      </c>
      <c r="B149" t="s">
        <v>160</v>
      </c>
      <c r="C149">
        <v>6</v>
      </c>
      <c r="D149">
        <v>2</v>
      </c>
      <c r="E149">
        <v>3</v>
      </c>
      <c r="F149" t="s">
        <v>226</v>
      </c>
      <c r="G149" t="s">
        <v>226</v>
      </c>
      <c r="H149">
        <v>0</v>
      </c>
      <c r="I149" s="2" t="s">
        <v>78</v>
      </c>
      <c r="J149" s="2">
        <f t="shared" si="144"/>
        <v>3</v>
      </c>
      <c r="K149" s="2">
        <f t="shared" si="135"/>
        <v>1.5</v>
      </c>
      <c r="L149" s="2">
        <f t="shared" si="136"/>
        <v>1.2</v>
      </c>
      <c r="M149" s="2">
        <v>10</v>
      </c>
      <c r="N149" s="2">
        <f t="shared" si="137"/>
        <v>144</v>
      </c>
      <c r="O149" s="2">
        <f t="shared" si="138"/>
        <v>14.4</v>
      </c>
      <c r="P149" s="2">
        <f t="shared" si="139"/>
        <v>1728</v>
      </c>
      <c r="Q149" s="2">
        <f t="shared" si="140"/>
        <v>172.8</v>
      </c>
      <c r="R149" s="2">
        <f t="shared" si="141"/>
        <v>36</v>
      </c>
      <c r="S149" s="2">
        <f t="shared" si="142"/>
        <v>3.6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11">
        <v>532002</v>
      </c>
      <c r="Z149" s="12" t="s">
        <v>464</v>
      </c>
      <c r="AA149" s="4">
        <v>1</v>
      </c>
      <c r="AB149" s="4">
        <v>0</v>
      </c>
      <c r="AC149" s="4"/>
      <c r="AD149" s="4">
        <f t="shared" si="145"/>
        <v>6322.8211199999996</v>
      </c>
      <c r="AF149" s="1" t="str">
        <f t="shared" si="97"/>
        <v>0</v>
      </c>
      <c r="AG149">
        <v>6</v>
      </c>
      <c r="AH149">
        <f t="shared" si="108"/>
        <v>144</v>
      </c>
      <c r="AI149">
        <f t="shared" si="109"/>
        <v>14.4</v>
      </c>
      <c r="AJ149">
        <f t="shared" si="110"/>
        <v>1728</v>
      </c>
      <c r="AK149">
        <f t="shared" si="111"/>
        <v>172.8</v>
      </c>
      <c r="AL149">
        <f t="shared" si="112"/>
        <v>36</v>
      </c>
      <c r="AM149">
        <f t="shared" si="143"/>
        <v>3.6</v>
      </c>
      <c r="AN149">
        <f t="shared" si="114"/>
        <v>1.5</v>
      </c>
      <c r="AO149">
        <f t="shared" si="115"/>
        <v>1.2</v>
      </c>
      <c r="AP149">
        <f t="shared" si="116"/>
        <v>3</v>
      </c>
      <c r="AQ149">
        <v>200</v>
      </c>
      <c r="AR149">
        <v>5</v>
      </c>
      <c r="BO149" t="s">
        <v>159</v>
      </c>
      <c r="BP149" t="str">
        <f t="shared" si="146"/>
        <v>1</v>
      </c>
    </row>
    <row r="150" spans="1:68" x14ac:dyDescent="0.15">
      <c r="A150">
        <f t="shared" si="98"/>
        <v>5201063</v>
      </c>
      <c r="B150" t="s">
        <v>407</v>
      </c>
      <c r="C150">
        <v>6</v>
      </c>
      <c r="D150">
        <v>2</v>
      </c>
      <c r="E150">
        <v>3</v>
      </c>
      <c r="F150" t="s">
        <v>227</v>
      </c>
      <c r="G150" t="s">
        <v>227</v>
      </c>
      <c r="H150" s="2">
        <v>0</v>
      </c>
      <c r="I150" s="28" t="s">
        <v>746</v>
      </c>
      <c r="J150" s="2">
        <f t="shared" si="144"/>
        <v>3</v>
      </c>
      <c r="K150" s="2">
        <f t="shared" si="135"/>
        <v>1.8</v>
      </c>
      <c r="L150" s="2">
        <f t="shared" si="136"/>
        <v>1.8</v>
      </c>
      <c r="M150" s="2">
        <v>10</v>
      </c>
      <c r="N150" s="2">
        <f t="shared" si="137"/>
        <v>138.24</v>
      </c>
      <c r="O150" s="2">
        <f t="shared" si="138"/>
        <v>13.82</v>
      </c>
      <c r="P150" s="2">
        <f t="shared" si="139"/>
        <v>2160</v>
      </c>
      <c r="Q150" s="2">
        <f t="shared" si="140"/>
        <v>216</v>
      </c>
      <c r="R150" s="2">
        <f t="shared" si="141"/>
        <v>46.08</v>
      </c>
      <c r="S150" s="2">
        <f t="shared" si="142"/>
        <v>4.6100000000000003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11">
        <v>532012</v>
      </c>
      <c r="Z150" s="12" t="s">
        <v>465</v>
      </c>
      <c r="AA150" s="4">
        <v>1</v>
      </c>
      <c r="AB150" s="4">
        <v>0</v>
      </c>
      <c r="AC150" s="4"/>
      <c r="AD150" s="4">
        <f t="shared" si="145"/>
        <v>6321.1579199999996</v>
      </c>
      <c r="AF150" s="1" t="str">
        <f t="shared" si="97"/>
        <v>1</v>
      </c>
      <c r="AG150">
        <v>6</v>
      </c>
      <c r="AH150">
        <f t="shared" si="108"/>
        <v>138.24000000000004</v>
      </c>
      <c r="AI150">
        <f t="shared" si="109"/>
        <v>13.824000000000005</v>
      </c>
      <c r="AJ150">
        <f t="shared" si="110"/>
        <v>2160</v>
      </c>
      <c r="AK150">
        <f t="shared" si="111"/>
        <v>216</v>
      </c>
      <c r="AL150">
        <f t="shared" si="112"/>
        <v>46.080000000000013</v>
      </c>
      <c r="AM150">
        <f t="shared" si="143"/>
        <v>4.6080000000000014</v>
      </c>
      <c r="AN150">
        <f t="shared" si="114"/>
        <v>1.8</v>
      </c>
      <c r="AO150">
        <f t="shared" si="115"/>
        <v>1.8</v>
      </c>
      <c r="AP150">
        <f t="shared" si="116"/>
        <v>3</v>
      </c>
      <c r="AQ150">
        <v>201</v>
      </c>
      <c r="AR150">
        <v>5</v>
      </c>
      <c r="BO150" t="s">
        <v>188</v>
      </c>
      <c r="BP150" t="str">
        <f t="shared" si="146"/>
        <v>0</v>
      </c>
    </row>
    <row r="151" spans="1:68" x14ac:dyDescent="0.15">
      <c r="A151">
        <f t="shared" si="98"/>
        <v>5202063</v>
      </c>
      <c r="B151" t="s">
        <v>408</v>
      </c>
      <c r="C151">
        <v>6</v>
      </c>
      <c r="D151">
        <v>2</v>
      </c>
      <c r="E151">
        <v>3</v>
      </c>
      <c r="F151" t="s">
        <v>228</v>
      </c>
      <c r="G151" t="s">
        <v>228</v>
      </c>
      <c r="H151">
        <v>0</v>
      </c>
      <c r="I151" s="28" t="s">
        <v>717</v>
      </c>
      <c r="J151" s="2">
        <f t="shared" si="144"/>
        <v>3</v>
      </c>
      <c r="K151" s="2">
        <f t="shared" si="135"/>
        <v>1.8</v>
      </c>
      <c r="L151" s="2">
        <f t="shared" si="136"/>
        <v>2</v>
      </c>
      <c r="M151" s="2">
        <v>10</v>
      </c>
      <c r="N151" s="2">
        <f t="shared" si="137"/>
        <v>155.52000000000001</v>
      </c>
      <c r="O151" s="2">
        <f t="shared" si="138"/>
        <v>15.55</v>
      </c>
      <c r="P151" s="2">
        <f t="shared" si="139"/>
        <v>1920</v>
      </c>
      <c r="Q151" s="2">
        <f t="shared" si="140"/>
        <v>192</v>
      </c>
      <c r="R151" s="2">
        <f t="shared" si="141"/>
        <v>31.1</v>
      </c>
      <c r="S151" s="2">
        <f t="shared" si="142"/>
        <v>3.11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11">
        <v>532022</v>
      </c>
      <c r="Z151" s="12" t="s">
        <v>466</v>
      </c>
      <c r="AA151" s="4">
        <v>1</v>
      </c>
      <c r="AB151" s="4">
        <v>0</v>
      </c>
      <c r="AC151" s="4"/>
      <c r="AD151" s="4">
        <f t="shared" si="145"/>
        <v>6322.0819199999996</v>
      </c>
      <c r="AF151" s="1" t="str">
        <f t="shared" si="97"/>
        <v>2</v>
      </c>
      <c r="AG151">
        <v>6</v>
      </c>
      <c r="AH151">
        <f t="shared" si="108"/>
        <v>155.52000000000001</v>
      </c>
      <c r="AI151">
        <f t="shared" si="109"/>
        <v>15.552000000000001</v>
      </c>
      <c r="AJ151">
        <f t="shared" si="110"/>
        <v>1920.0000000000002</v>
      </c>
      <c r="AK151">
        <f t="shared" si="111"/>
        <v>192.00000000000003</v>
      </c>
      <c r="AL151">
        <f t="shared" si="112"/>
        <v>31.104000000000003</v>
      </c>
      <c r="AM151">
        <f t="shared" si="143"/>
        <v>3.1104000000000003</v>
      </c>
      <c r="AN151">
        <f t="shared" si="114"/>
        <v>1.8</v>
      </c>
      <c r="AO151">
        <f t="shared" si="115"/>
        <v>2</v>
      </c>
      <c r="AP151">
        <f t="shared" si="116"/>
        <v>3</v>
      </c>
      <c r="AQ151">
        <v>202</v>
      </c>
      <c r="AR151">
        <v>5</v>
      </c>
      <c r="BO151" t="s">
        <v>171</v>
      </c>
      <c r="BP151" t="str">
        <f t="shared" si="146"/>
        <v>1</v>
      </c>
    </row>
    <row r="152" spans="1:68" x14ac:dyDescent="0.15">
      <c r="A152">
        <f t="shared" si="98"/>
        <v>5301063</v>
      </c>
      <c r="B152" t="s">
        <v>409</v>
      </c>
      <c r="C152">
        <v>6</v>
      </c>
      <c r="D152">
        <v>3</v>
      </c>
      <c r="E152">
        <v>3</v>
      </c>
      <c r="F152" t="s">
        <v>229</v>
      </c>
      <c r="G152" t="s">
        <v>229</v>
      </c>
      <c r="H152" s="2">
        <v>0</v>
      </c>
      <c r="I152" s="28" t="s">
        <v>717</v>
      </c>
      <c r="J152" s="2">
        <f t="shared" si="144"/>
        <v>3</v>
      </c>
      <c r="K152" s="2">
        <f t="shared" si="135"/>
        <v>1.2</v>
      </c>
      <c r="L152" s="2">
        <f t="shared" si="136"/>
        <v>2</v>
      </c>
      <c r="M152" s="2">
        <v>10</v>
      </c>
      <c r="N152" s="2">
        <f t="shared" si="137"/>
        <v>103.68</v>
      </c>
      <c r="O152" s="2">
        <f t="shared" si="138"/>
        <v>10.37</v>
      </c>
      <c r="P152" s="2">
        <f t="shared" si="139"/>
        <v>1920</v>
      </c>
      <c r="Q152" s="2">
        <f t="shared" si="140"/>
        <v>192</v>
      </c>
      <c r="R152" s="2">
        <f t="shared" si="141"/>
        <v>20.74</v>
      </c>
      <c r="S152" s="2">
        <f t="shared" si="142"/>
        <v>2.0699999999999998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11">
        <v>533012</v>
      </c>
      <c r="Z152" s="12" t="s">
        <v>467</v>
      </c>
      <c r="AA152" s="4">
        <v>1</v>
      </c>
      <c r="AB152" s="4">
        <v>0</v>
      </c>
      <c r="AC152" s="4"/>
      <c r="AD152" s="4">
        <f t="shared" si="145"/>
        <v>6323.9299200000005</v>
      </c>
      <c r="AF152" s="1" t="str">
        <f t="shared" ref="AF152:AF215" si="147">RIGHT(AQ152,1)</f>
        <v>1</v>
      </c>
      <c r="AG152">
        <v>6</v>
      </c>
      <c r="AH152">
        <f t="shared" si="108"/>
        <v>103.68000000000002</v>
      </c>
      <c r="AI152">
        <f t="shared" si="109"/>
        <v>10.368000000000002</v>
      </c>
      <c r="AJ152">
        <f t="shared" si="110"/>
        <v>1920.0000000000002</v>
      </c>
      <c r="AK152">
        <f t="shared" si="111"/>
        <v>192.00000000000003</v>
      </c>
      <c r="AL152">
        <f t="shared" si="112"/>
        <v>20.736000000000004</v>
      </c>
      <c r="AM152">
        <f t="shared" si="143"/>
        <v>2.0736000000000003</v>
      </c>
      <c r="AN152">
        <f t="shared" si="114"/>
        <v>1.2</v>
      </c>
      <c r="AO152">
        <f t="shared" si="115"/>
        <v>2</v>
      </c>
      <c r="AP152">
        <f t="shared" si="116"/>
        <v>3</v>
      </c>
      <c r="AQ152">
        <v>301</v>
      </c>
      <c r="AR152">
        <v>5</v>
      </c>
      <c r="BO152" t="s">
        <v>173</v>
      </c>
      <c r="BP152" t="str">
        <f t="shared" si="146"/>
        <v>0</v>
      </c>
    </row>
    <row r="153" spans="1:68" x14ac:dyDescent="0.15">
      <c r="A153">
        <f t="shared" si="98"/>
        <v>5401063</v>
      </c>
      <c r="B153" t="s">
        <v>410</v>
      </c>
      <c r="C153">
        <v>6</v>
      </c>
      <c r="D153">
        <v>4</v>
      </c>
      <c r="E153">
        <v>3</v>
      </c>
      <c r="F153" t="s">
        <v>230</v>
      </c>
      <c r="G153" t="s">
        <v>230</v>
      </c>
      <c r="H153">
        <v>0</v>
      </c>
      <c r="I153" s="2" t="s">
        <v>103</v>
      </c>
      <c r="J153" s="2">
        <f t="shared" si="144"/>
        <v>6</v>
      </c>
      <c r="K153" s="2">
        <f t="shared" si="135"/>
        <v>1.6</v>
      </c>
      <c r="L153" s="2">
        <f t="shared" si="136"/>
        <v>2</v>
      </c>
      <c r="M153" s="2">
        <v>10</v>
      </c>
      <c r="N153" s="2">
        <f t="shared" si="137"/>
        <v>184.32</v>
      </c>
      <c r="O153" s="2">
        <f t="shared" si="138"/>
        <v>18.43</v>
      </c>
      <c r="P153" s="2">
        <f t="shared" si="139"/>
        <v>1440</v>
      </c>
      <c r="Q153" s="2">
        <f t="shared" si="140"/>
        <v>144</v>
      </c>
      <c r="R153" s="2">
        <f t="shared" si="141"/>
        <v>26.33</v>
      </c>
      <c r="S153" s="2">
        <f t="shared" si="142"/>
        <v>2.63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11">
        <v>534012</v>
      </c>
      <c r="Z153" s="12" t="s">
        <v>468</v>
      </c>
      <c r="AA153" s="4">
        <v>1</v>
      </c>
      <c r="AB153" s="4">
        <v>0</v>
      </c>
      <c r="AC153" s="4"/>
      <c r="AD153" s="4">
        <f t="shared" si="145"/>
        <v>6322.1974199999995</v>
      </c>
      <c r="AF153" s="1" t="str">
        <f t="shared" si="147"/>
        <v>1</v>
      </c>
      <c r="AG153">
        <v>6</v>
      </c>
      <c r="AH153">
        <f t="shared" si="108"/>
        <v>184.32000000000002</v>
      </c>
      <c r="AI153">
        <f t="shared" si="109"/>
        <v>18.432000000000002</v>
      </c>
      <c r="AJ153">
        <f t="shared" si="110"/>
        <v>1440</v>
      </c>
      <c r="AK153">
        <f t="shared" si="111"/>
        <v>144</v>
      </c>
      <c r="AL153">
        <f t="shared" si="112"/>
        <v>26.331428571428575</v>
      </c>
      <c r="AM153">
        <f t="shared" si="143"/>
        <v>2.6331428571428575</v>
      </c>
      <c r="AN153">
        <f t="shared" si="114"/>
        <v>1.6</v>
      </c>
      <c r="AO153">
        <f t="shared" si="115"/>
        <v>2</v>
      </c>
      <c r="AP153">
        <f t="shared" si="116"/>
        <v>6</v>
      </c>
      <c r="AQ153">
        <v>401</v>
      </c>
      <c r="AR153">
        <v>5</v>
      </c>
      <c r="BO153" t="s">
        <v>182</v>
      </c>
      <c r="BP153" t="str">
        <f t="shared" si="146"/>
        <v>2</v>
      </c>
    </row>
    <row r="154" spans="1:68" x14ac:dyDescent="0.15">
      <c r="A154">
        <f t="shared" si="98"/>
        <v>5402063</v>
      </c>
      <c r="B154" t="s">
        <v>102</v>
      </c>
      <c r="C154">
        <v>6</v>
      </c>
      <c r="D154">
        <v>4</v>
      </c>
      <c r="E154">
        <v>3</v>
      </c>
      <c r="F154" t="s">
        <v>231</v>
      </c>
      <c r="G154" t="s">
        <v>231</v>
      </c>
      <c r="H154" s="2">
        <v>0</v>
      </c>
      <c r="I154" s="28" t="s">
        <v>718</v>
      </c>
      <c r="J154" s="2">
        <f t="shared" si="144"/>
        <v>6</v>
      </c>
      <c r="K154" s="2">
        <f t="shared" si="135"/>
        <v>1.5</v>
      </c>
      <c r="L154" s="2">
        <f t="shared" si="136"/>
        <v>1.5</v>
      </c>
      <c r="M154" s="2">
        <v>10</v>
      </c>
      <c r="N154" s="2">
        <f t="shared" si="137"/>
        <v>172.8</v>
      </c>
      <c r="O154" s="2">
        <f t="shared" si="138"/>
        <v>17.28</v>
      </c>
      <c r="P154" s="2">
        <f t="shared" si="139"/>
        <v>1440</v>
      </c>
      <c r="Q154" s="2">
        <f t="shared" si="140"/>
        <v>144</v>
      </c>
      <c r="R154" s="2">
        <f t="shared" si="141"/>
        <v>24.69</v>
      </c>
      <c r="S154" s="2">
        <f t="shared" si="142"/>
        <v>2.4700000000000002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11">
        <v>534022</v>
      </c>
      <c r="Z154" s="12" t="s">
        <v>469</v>
      </c>
      <c r="AA154" s="4">
        <v>1</v>
      </c>
      <c r="AB154" s="4">
        <v>0</v>
      </c>
      <c r="AC154" s="4"/>
      <c r="AD154" s="4">
        <f t="shared" si="145"/>
        <v>6322.8211199999996</v>
      </c>
      <c r="AF154" s="1" t="str">
        <f t="shared" si="147"/>
        <v>2</v>
      </c>
      <c r="AG154">
        <v>6</v>
      </c>
      <c r="AH154">
        <f t="shared" si="108"/>
        <v>172.8</v>
      </c>
      <c r="AI154">
        <f t="shared" si="109"/>
        <v>17.28</v>
      </c>
      <c r="AJ154">
        <f t="shared" si="110"/>
        <v>1440</v>
      </c>
      <c r="AK154">
        <f t="shared" si="111"/>
        <v>144</v>
      </c>
      <c r="AL154">
        <f t="shared" si="112"/>
        <v>24.685714285714287</v>
      </c>
      <c r="AM154">
        <f t="shared" si="143"/>
        <v>2.4685714285714289</v>
      </c>
      <c r="AN154">
        <f t="shared" si="114"/>
        <v>1.5</v>
      </c>
      <c r="AO154">
        <f t="shared" si="115"/>
        <v>1.5</v>
      </c>
      <c r="AP154">
        <f t="shared" si="116"/>
        <v>6</v>
      </c>
      <c r="AQ154">
        <v>402</v>
      </c>
      <c r="AR154">
        <v>5</v>
      </c>
      <c r="BO154" t="s">
        <v>184</v>
      </c>
      <c r="BP154" t="str">
        <f t="shared" si="146"/>
        <v>0</v>
      </c>
    </row>
    <row r="155" spans="1:68" x14ac:dyDescent="0.15">
      <c r="A155">
        <f t="shared" si="98"/>
        <v>5500063</v>
      </c>
      <c r="B155" t="s">
        <v>411</v>
      </c>
      <c r="C155">
        <v>6</v>
      </c>
      <c r="D155">
        <v>5</v>
      </c>
      <c r="E155">
        <v>3</v>
      </c>
      <c r="F155" t="s">
        <v>232</v>
      </c>
      <c r="G155" t="s">
        <v>232</v>
      </c>
      <c r="H155" s="2">
        <v>0</v>
      </c>
      <c r="I155" s="2" t="s">
        <v>109</v>
      </c>
      <c r="J155" s="2">
        <f t="shared" si="144"/>
        <v>6</v>
      </c>
      <c r="K155" s="2">
        <f t="shared" si="135"/>
        <v>1.5</v>
      </c>
      <c r="L155" s="2">
        <f t="shared" si="136"/>
        <v>1.5</v>
      </c>
      <c r="M155" s="2">
        <v>10</v>
      </c>
      <c r="N155" s="2">
        <f t="shared" si="137"/>
        <v>201.6</v>
      </c>
      <c r="O155" s="2">
        <f t="shared" si="138"/>
        <v>20.16</v>
      </c>
      <c r="P155" s="2">
        <f t="shared" si="139"/>
        <v>1234.29</v>
      </c>
      <c r="Q155" s="2">
        <f t="shared" si="140"/>
        <v>123.43</v>
      </c>
      <c r="R155" s="2">
        <f t="shared" si="141"/>
        <v>25.2</v>
      </c>
      <c r="S155" s="2">
        <f t="shared" si="142"/>
        <v>2.52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11">
        <v>535002</v>
      </c>
      <c r="Z155" s="12" t="s">
        <v>470</v>
      </c>
      <c r="AA155" s="4">
        <v>1</v>
      </c>
      <c r="AB155" s="4">
        <v>0</v>
      </c>
      <c r="AC155" s="4"/>
      <c r="AD155" s="4">
        <f t="shared" si="145"/>
        <v>6322.8896438399997</v>
      </c>
      <c r="AF155" s="1" t="str">
        <f t="shared" si="147"/>
        <v>0</v>
      </c>
      <c r="AG155">
        <v>6</v>
      </c>
      <c r="AH155">
        <f t="shared" si="108"/>
        <v>201.59999999999997</v>
      </c>
      <c r="AI155">
        <f t="shared" si="109"/>
        <v>20.159999999999997</v>
      </c>
      <c r="AJ155">
        <f t="shared" si="110"/>
        <v>1234.2857142857144</v>
      </c>
      <c r="AK155">
        <f t="shared" si="111"/>
        <v>123.42857142857144</v>
      </c>
      <c r="AL155">
        <f t="shared" si="112"/>
        <v>25.199999999999996</v>
      </c>
      <c r="AM155">
        <f t="shared" si="143"/>
        <v>2.5199999999999996</v>
      </c>
      <c r="AN155">
        <f t="shared" si="114"/>
        <v>1.5</v>
      </c>
      <c r="AO155">
        <f t="shared" si="115"/>
        <v>1.5</v>
      </c>
      <c r="AP155">
        <f t="shared" si="116"/>
        <v>6</v>
      </c>
      <c r="AQ155">
        <v>500</v>
      </c>
      <c r="AR155">
        <v>5</v>
      </c>
      <c r="BO155" t="s">
        <v>141</v>
      </c>
      <c r="BP155" t="str">
        <f t="shared" si="146"/>
        <v>1</v>
      </c>
    </row>
    <row r="156" spans="1:68" x14ac:dyDescent="0.15">
      <c r="A156">
        <f t="shared" si="98"/>
        <v>5502063</v>
      </c>
      <c r="B156" t="s">
        <v>115</v>
      </c>
      <c r="C156">
        <v>6</v>
      </c>
      <c r="D156">
        <v>5</v>
      </c>
      <c r="E156">
        <v>3</v>
      </c>
      <c r="F156" t="s">
        <v>233</v>
      </c>
      <c r="G156" t="s">
        <v>233</v>
      </c>
      <c r="H156" s="2">
        <v>0</v>
      </c>
      <c r="I156" s="28" t="s">
        <v>719</v>
      </c>
      <c r="J156" s="2">
        <f t="shared" si="144"/>
        <v>6</v>
      </c>
      <c r="K156" s="2">
        <f t="shared" si="135"/>
        <v>1.4000000000000001</v>
      </c>
      <c r="L156" s="2">
        <f t="shared" si="136"/>
        <v>2</v>
      </c>
      <c r="M156" s="2">
        <v>10</v>
      </c>
      <c r="N156" s="2">
        <f t="shared" si="137"/>
        <v>188.16</v>
      </c>
      <c r="O156" s="2">
        <f t="shared" si="138"/>
        <v>18.82</v>
      </c>
      <c r="P156" s="2">
        <f t="shared" si="139"/>
        <v>1234.29</v>
      </c>
      <c r="Q156" s="2">
        <f t="shared" si="140"/>
        <v>123.43</v>
      </c>
      <c r="R156" s="2">
        <f t="shared" si="141"/>
        <v>23.52</v>
      </c>
      <c r="S156" s="2">
        <f t="shared" si="142"/>
        <v>2.35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11">
        <v>535022</v>
      </c>
      <c r="Z156" s="12" t="s">
        <v>471</v>
      </c>
      <c r="AA156" s="4">
        <v>1</v>
      </c>
      <c r="AB156" s="4">
        <v>0</v>
      </c>
      <c r="AC156" s="4"/>
      <c r="AD156" s="4">
        <f t="shared" si="145"/>
        <v>6324.1115999399999</v>
      </c>
      <c r="AF156" s="1" t="str">
        <f t="shared" si="147"/>
        <v>2</v>
      </c>
      <c r="AG156">
        <v>6</v>
      </c>
      <c r="AH156">
        <f t="shared" si="108"/>
        <v>188.15999999999997</v>
      </c>
      <c r="AI156">
        <f t="shared" si="109"/>
        <v>18.815999999999999</v>
      </c>
      <c r="AJ156">
        <f t="shared" si="110"/>
        <v>1234.2857142857144</v>
      </c>
      <c r="AK156">
        <f t="shared" si="111"/>
        <v>123.42857142857144</v>
      </c>
      <c r="AL156">
        <f t="shared" si="112"/>
        <v>23.519999999999996</v>
      </c>
      <c r="AM156">
        <f t="shared" si="143"/>
        <v>2.3519999999999999</v>
      </c>
      <c r="AN156">
        <f t="shared" si="114"/>
        <v>1.4</v>
      </c>
      <c r="AO156">
        <f t="shared" si="115"/>
        <v>2</v>
      </c>
      <c r="AP156">
        <f t="shared" si="116"/>
        <v>6</v>
      </c>
      <c r="AQ156">
        <v>502</v>
      </c>
      <c r="AR156">
        <v>5</v>
      </c>
      <c r="BO156" t="s">
        <v>186</v>
      </c>
      <c r="BP156" t="str">
        <f t="shared" si="146"/>
        <v>0</v>
      </c>
    </row>
    <row r="157" spans="1:68" x14ac:dyDescent="0.15">
      <c r="A157">
        <f t="shared" ref="A157:A204" si="148">AR157*1000000+AQ157*1000+C157*10+E157</f>
        <v>5601063</v>
      </c>
      <c r="B157" t="s">
        <v>412</v>
      </c>
      <c r="C157">
        <v>6</v>
      </c>
      <c r="D157">
        <v>6</v>
      </c>
      <c r="E157">
        <v>3</v>
      </c>
      <c r="F157" t="s">
        <v>234</v>
      </c>
      <c r="G157" t="s">
        <v>234</v>
      </c>
      <c r="H157">
        <v>0</v>
      </c>
      <c r="I157" s="2" t="s">
        <v>116</v>
      </c>
      <c r="J157" s="2">
        <f t="shared" si="144"/>
        <v>6</v>
      </c>
      <c r="K157" s="2">
        <f t="shared" si="135"/>
        <v>1.5</v>
      </c>
      <c r="L157" s="2">
        <f t="shared" si="136"/>
        <v>2</v>
      </c>
      <c r="M157" s="2">
        <v>10</v>
      </c>
      <c r="N157" s="2">
        <f t="shared" si="137"/>
        <v>223.2</v>
      </c>
      <c r="O157" s="2">
        <f t="shared" si="138"/>
        <v>22.32</v>
      </c>
      <c r="P157" s="2">
        <f t="shared" si="139"/>
        <v>1114.8399999999999</v>
      </c>
      <c r="Q157" s="2">
        <f t="shared" si="140"/>
        <v>111.48</v>
      </c>
      <c r="R157" s="2">
        <f t="shared" si="141"/>
        <v>22.32</v>
      </c>
      <c r="S157" s="2">
        <f t="shared" si="142"/>
        <v>2.23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11">
        <v>536012</v>
      </c>
      <c r="Z157" s="12" t="s">
        <v>516</v>
      </c>
      <c r="AA157" s="4">
        <v>1</v>
      </c>
      <c r="AB157" s="4">
        <v>0</v>
      </c>
      <c r="AC157" s="4"/>
      <c r="AD157" s="4">
        <f t="shared" si="145"/>
        <v>6322.622201279999</v>
      </c>
      <c r="AF157" s="1" t="str">
        <f t="shared" si="147"/>
        <v>1</v>
      </c>
      <c r="AG157">
        <v>6</v>
      </c>
      <c r="AH157">
        <f t="shared" ref="AH157:AH220" si="149">INDEX($AV$5:$AV$50,MATCH($AQ157,$AT$5:$AT$50))*$AN157/1.5*$AZ$4*INDEX($AV$87:$BI$87,MATCH($AG157,$AV$86:$BI$86))</f>
        <v>223.20000000000002</v>
      </c>
      <c r="AI157">
        <f t="shared" ref="AI157:AI220" si="150">(INDEX($AV$5:$AV$50,MATCH($AQ157,$AT$5:$AT$50))*$AN157/1.5*$AZ$4*INDEX($AV$87:$BI$87,MATCH($AG157,$AV$86:$BI$86)))*0.1</f>
        <v>22.320000000000004</v>
      </c>
      <c r="AJ157">
        <f t="shared" ref="AJ157:AJ220" si="151">INDEX($AW$5:$AW$50,MATCH($AQ157,$AT$5:$AT$50))*$BA$4*INDEX($AV$87:$BI$87,MATCH($AG157,$AV$86:$BI$86))</f>
        <v>1114.8387096774195</v>
      </c>
      <c r="AK157">
        <f t="shared" ref="AK157:AK220" si="152">(INDEX($AW$5:$AW$50,MATCH($AQ157,$AT$5:$AT$50))*$BA$4*INDEX($AV$87:$BI$87,MATCH($AG157,$AV$86:$BI$86)))*0.1</f>
        <v>111.48387096774195</v>
      </c>
      <c r="AL157">
        <f t="shared" ref="AL157:AL220" si="153">$AH157/INDEX($AX$5:$AX$50,MATCH($AQ157,$AT$5:$AT$50))</f>
        <v>22.32</v>
      </c>
      <c r="AM157">
        <f t="shared" si="143"/>
        <v>2.2320000000000002</v>
      </c>
      <c r="AN157">
        <f t="shared" ref="AN157:AN220" si="154">INDEX($AY$5:$AY$50,MATCH($AQ157,$AT$5:$AT$50,0))</f>
        <v>1.5</v>
      </c>
      <c r="AO157">
        <f t="shared" ref="AO157:AO220" si="155">ROUND(IF(INDEX($BG$5:$BG$50,MATCH($AQ157,$AT$5:$AT$50,0))&lt;2,INDEX($BG$5:$BG$49,MATCH($AQ157,$AT$5:$AT$49,0))+0.2,2),1)</f>
        <v>2</v>
      </c>
      <c r="AP157">
        <f t="shared" ref="AP157:AP220" si="156">INDEX($BC$5:$BC$50,MATCH($AQ157,$AT$5:$AT$50,0))</f>
        <v>6</v>
      </c>
      <c r="AQ157">
        <v>601</v>
      </c>
      <c r="AR157">
        <v>5</v>
      </c>
      <c r="BO157" t="s">
        <v>176</v>
      </c>
      <c r="BP157" t="str">
        <f t="shared" si="146"/>
        <v>2</v>
      </c>
    </row>
    <row r="158" spans="1:68" x14ac:dyDescent="0.15">
      <c r="A158">
        <f t="shared" si="148"/>
        <v>5201064</v>
      </c>
      <c r="B158" t="s">
        <v>407</v>
      </c>
      <c r="C158">
        <v>6</v>
      </c>
      <c r="D158">
        <v>2</v>
      </c>
      <c r="E158">
        <v>4</v>
      </c>
      <c r="F158" t="s">
        <v>706</v>
      </c>
      <c r="G158" t="s">
        <v>706</v>
      </c>
      <c r="H158" s="23">
        <v>0</v>
      </c>
      <c r="I158" s="2" t="s">
        <v>92</v>
      </c>
      <c r="J158" s="2">
        <f t="shared" si="144"/>
        <v>3</v>
      </c>
      <c r="K158" s="2">
        <f t="shared" si="135"/>
        <v>1.8</v>
      </c>
      <c r="L158" s="2">
        <f t="shared" si="136"/>
        <v>1.8</v>
      </c>
      <c r="M158" s="2">
        <v>11</v>
      </c>
      <c r="N158" s="2">
        <f t="shared" si="137"/>
        <v>138.24</v>
      </c>
      <c r="O158" s="2">
        <f t="shared" si="138"/>
        <v>13.82</v>
      </c>
      <c r="P158" s="2">
        <f t="shared" si="139"/>
        <v>2160</v>
      </c>
      <c r="Q158" s="2">
        <f t="shared" si="140"/>
        <v>216</v>
      </c>
      <c r="R158" s="2">
        <f t="shared" si="141"/>
        <v>46.08</v>
      </c>
      <c r="S158" s="2">
        <f t="shared" si="142"/>
        <v>4.6100000000000003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11">
        <v>542012</v>
      </c>
      <c r="Z158" s="26" t="s">
        <v>517</v>
      </c>
      <c r="AA158" s="4">
        <v>1</v>
      </c>
      <c r="AB158" s="4">
        <v>0</v>
      </c>
      <c r="AC158" s="4"/>
      <c r="AD158" s="4">
        <f t="shared" si="145"/>
        <v>6321.1579199999996</v>
      </c>
      <c r="AF158" s="1" t="str">
        <f t="shared" si="147"/>
        <v>1</v>
      </c>
      <c r="AG158">
        <v>6</v>
      </c>
      <c r="AH158">
        <f t="shared" si="149"/>
        <v>138.24000000000004</v>
      </c>
      <c r="AI158">
        <f t="shared" si="150"/>
        <v>13.824000000000005</v>
      </c>
      <c r="AJ158">
        <f t="shared" si="151"/>
        <v>2160</v>
      </c>
      <c r="AK158">
        <f t="shared" si="152"/>
        <v>216</v>
      </c>
      <c r="AL158">
        <f t="shared" si="153"/>
        <v>46.080000000000013</v>
      </c>
      <c r="AM158">
        <f t="shared" si="143"/>
        <v>4.6080000000000014</v>
      </c>
      <c r="AN158">
        <f t="shared" si="154"/>
        <v>1.8</v>
      </c>
      <c r="AO158">
        <f t="shared" si="155"/>
        <v>1.8</v>
      </c>
      <c r="AP158">
        <f t="shared" si="156"/>
        <v>3</v>
      </c>
      <c r="AQ158">
        <v>201</v>
      </c>
      <c r="AR158">
        <v>5</v>
      </c>
      <c r="BO158" t="s">
        <v>169</v>
      </c>
      <c r="BP158" t="str">
        <f t="shared" si="146"/>
        <v>0</v>
      </c>
    </row>
    <row r="159" spans="1:68" x14ac:dyDescent="0.15">
      <c r="A159">
        <f t="shared" si="148"/>
        <v>5302064</v>
      </c>
      <c r="B159" t="s">
        <v>143</v>
      </c>
      <c r="C159">
        <v>6</v>
      </c>
      <c r="D159">
        <v>3</v>
      </c>
      <c r="E159">
        <v>4</v>
      </c>
      <c r="F159" s="22" t="s">
        <v>707</v>
      </c>
      <c r="G159" s="22" t="s">
        <v>707</v>
      </c>
      <c r="H159" s="23">
        <v>0</v>
      </c>
      <c r="I159" s="2" t="s">
        <v>157</v>
      </c>
      <c r="J159" s="2">
        <f t="shared" si="144"/>
        <v>3</v>
      </c>
      <c r="K159" s="2">
        <f t="shared" si="135"/>
        <v>1.4000000000000001</v>
      </c>
      <c r="L159" s="2">
        <f t="shared" si="136"/>
        <v>1.7</v>
      </c>
      <c r="M159" s="2">
        <v>12</v>
      </c>
      <c r="N159" s="2">
        <f t="shared" si="137"/>
        <v>120.96</v>
      </c>
      <c r="O159" s="2">
        <f t="shared" si="138"/>
        <v>12.1</v>
      </c>
      <c r="P159" s="2">
        <f t="shared" si="139"/>
        <v>1920</v>
      </c>
      <c r="Q159" s="2">
        <f t="shared" si="140"/>
        <v>192</v>
      </c>
      <c r="R159" s="2">
        <f t="shared" si="141"/>
        <v>24.19</v>
      </c>
      <c r="S159" s="2">
        <f t="shared" si="142"/>
        <v>2.42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11">
        <v>543022</v>
      </c>
      <c r="Z159" s="26" t="s">
        <v>518</v>
      </c>
      <c r="AA159" s="4">
        <v>1</v>
      </c>
      <c r="AB159" s="4">
        <v>0</v>
      </c>
      <c r="AC159" s="4"/>
      <c r="AD159" s="4">
        <f t="shared" si="145"/>
        <v>6324.721919999999</v>
      </c>
      <c r="AF159" s="1" t="str">
        <f t="shared" si="147"/>
        <v>2</v>
      </c>
      <c r="AG159">
        <v>6</v>
      </c>
      <c r="AH159">
        <f t="shared" si="149"/>
        <v>120.96000000000001</v>
      </c>
      <c r="AI159">
        <f t="shared" si="150"/>
        <v>12.096000000000002</v>
      </c>
      <c r="AJ159">
        <f t="shared" si="151"/>
        <v>1920.0000000000002</v>
      </c>
      <c r="AK159">
        <f t="shared" si="152"/>
        <v>192.00000000000003</v>
      </c>
      <c r="AL159">
        <f t="shared" si="153"/>
        <v>24.192</v>
      </c>
      <c r="AM159">
        <f t="shared" si="143"/>
        <v>2.4192</v>
      </c>
      <c r="AN159">
        <f t="shared" si="154"/>
        <v>1.4</v>
      </c>
      <c r="AO159">
        <f t="shared" si="155"/>
        <v>1.7</v>
      </c>
      <c r="AP159">
        <f t="shared" si="156"/>
        <v>3</v>
      </c>
      <c r="AQ159">
        <v>302</v>
      </c>
      <c r="AR159">
        <v>5</v>
      </c>
      <c r="BO159" t="s">
        <v>178</v>
      </c>
      <c r="BP159" t="str">
        <f t="shared" si="146"/>
        <v>2</v>
      </c>
    </row>
    <row r="160" spans="1:68" x14ac:dyDescent="0.15">
      <c r="A160">
        <f t="shared" si="148"/>
        <v>5501064</v>
      </c>
      <c r="B160" t="s">
        <v>413</v>
      </c>
      <c r="C160">
        <v>6</v>
      </c>
      <c r="D160">
        <v>5</v>
      </c>
      <c r="E160">
        <v>4</v>
      </c>
      <c r="F160" t="s">
        <v>235</v>
      </c>
      <c r="G160" t="s">
        <v>235</v>
      </c>
      <c r="H160">
        <v>0</v>
      </c>
      <c r="I160" s="2" t="s">
        <v>144</v>
      </c>
      <c r="J160" s="2">
        <f t="shared" si="144"/>
        <v>6</v>
      </c>
      <c r="K160" s="2">
        <f t="shared" si="135"/>
        <v>1.6</v>
      </c>
      <c r="L160" s="2">
        <f t="shared" si="136"/>
        <v>2</v>
      </c>
      <c r="M160" s="2">
        <v>10</v>
      </c>
      <c r="N160" s="2">
        <f t="shared" si="137"/>
        <v>215.04</v>
      </c>
      <c r="O160" s="2">
        <f t="shared" si="138"/>
        <v>21.5</v>
      </c>
      <c r="P160" s="2">
        <f t="shared" si="139"/>
        <v>1234.29</v>
      </c>
      <c r="Q160" s="2">
        <f t="shared" si="140"/>
        <v>123.43</v>
      </c>
      <c r="R160" s="2">
        <f t="shared" si="141"/>
        <v>26.88</v>
      </c>
      <c r="S160" s="2">
        <f t="shared" si="142"/>
        <v>2.69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11">
        <v>545012</v>
      </c>
      <c r="Z160" s="12" t="s">
        <v>472</v>
      </c>
      <c r="AA160" s="4">
        <v>1</v>
      </c>
      <c r="AB160" s="4">
        <v>0</v>
      </c>
      <c r="AC160" s="4"/>
      <c r="AD160" s="4">
        <f t="shared" si="145"/>
        <v>6321.8204322524998</v>
      </c>
      <c r="AF160" s="1" t="str">
        <f t="shared" si="147"/>
        <v>1</v>
      </c>
      <c r="AG160">
        <v>6</v>
      </c>
      <c r="AH160">
        <f t="shared" si="149"/>
        <v>215.04</v>
      </c>
      <c r="AI160">
        <f t="shared" si="150"/>
        <v>21.504000000000001</v>
      </c>
      <c r="AJ160">
        <f t="shared" si="151"/>
        <v>1234.2857142857144</v>
      </c>
      <c r="AK160">
        <f t="shared" si="152"/>
        <v>123.42857142857144</v>
      </c>
      <c r="AL160">
        <f t="shared" si="153"/>
        <v>26.88</v>
      </c>
      <c r="AM160">
        <f t="shared" si="143"/>
        <v>2.6880000000000002</v>
      </c>
      <c r="AN160">
        <f t="shared" si="154"/>
        <v>1.6</v>
      </c>
      <c r="AO160">
        <f t="shared" si="155"/>
        <v>2</v>
      </c>
      <c r="AP160">
        <f t="shared" si="156"/>
        <v>6</v>
      </c>
      <c r="AQ160">
        <v>501</v>
      </c>
      <c r="AR160">
        <v>5</v>
      </c>
      <c r="BO160" t="s">
        <v>188</v>
      </c>
      <c r="BP160" t="str">
        <f t="shared" si="146"/>
        <v>0</v>
      </c>
    </row>
    <row r="161" spans="1:68" x14ac:dyDescent="0.15">
      <c r="A161">
        <f t="shared" si="148"/>
        <v>5600064</v>
      </c>
      <c r="B161" t="s">
        <v>209</v>
      </c>
      <c r="C161">
        <v>6</v>
      </c>
      <c r="D161">
        <v>6</v>
      </c>
      <c r="E161">
        <v>4</v>
      </c>
      <c r="F161" t="s">
        <v>236</v>
      </c>
      <c r="G161" t="s">
        <v>236</v>
      </c>
      <c r="H161" s="2">
        <v>0</v>
      </c>
      <c r="I161" s="2" t="s">
        <v>147</v>
      </c>
      <c r="J161" s="2">
        <f t="shared" si="144"/>
        <v>3</v>
      </c>
      <c r="K161" s="2">
        <f t="shared" si="135"/>
        <v>1.4000000000000001</v>
      </c>
      <c r="L161" s="2">
        <f t="shared" si="136"/>
        <v>1.9000000000000001</v>
      </c>
      <c r="M161" s="2">
        <v>10</v>
      </c>
      <c r="N161" s="2">
        <f t="shared" si="137"/>
        <v>208.32</v>
      </c>
      <c r="O161" s="2">
        <f t="shared" si="138"/>
        <v>20.83</v>
      </c>
      <c r="P161" s="2">
        <f t="shared" si="139"/>
        <v>1114.8399999999999</v>
      </c>
      <c r="Q161" s="2">
        <f t="shared" si="140"/>
        <v>111.48</v>
      </c>
      <c r="R161" s="2">
        <f t="shared" si="141"/>
        <v>20.83</v>
      </c>
      <c r="S161" s="2">
        <f t="shared" si="142"/>
        <v>2.08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11">
        <v>546002</v>
      </c>
      <c r="Z161" s="12" t="s">
        <v>473</v>
      </c>
      <c r="AA161" s="4">
        <v>1</v>
      </c>
      <c r="AB161" s="4">
        <v>0</v>
      </c>
      <c r="AC161" s="4"/>
      <c r="AD161" s="4">
        <f t="shared" si="145"/>
        <v>6322.0703734799999</v>
      </c>
      <c r="AF161" s="1" t="str">
        <f t="shared" si="147"/>
        <v>0</v>
      </c>
      <c r="AG161">
        <v>6</v>
      </c>
      <c r="AH161">
        <f t="shared" si="149"/>
        <v>208.32</v>
      </c>
      <c r="AI161">
        <f t="shared" si="150"/>
        <v>20.832000000000001</v>
      </c>
      <c r="AJ161">
        <f t="shared" si="151"/>
        <v>1114.8387096774195</v>
      </c>
      <c r="AK161">
        <f t="shared" si="152"/>
        <v>111.48387096774195</v>
      </c>
      <c r="AL161">
        <f t="shared" si="153"/>
        <v>20.832000000000001</v>
      </c>
      <c r="AM161">
        <f t="shared" si="143"/>
        <v>2.0832000000000002</v>
      </c>
      <c r="AN161">
        <f t="shared" si="154"/>
        <v>1.4</v>
      </c>
      <c r="AO161">
        <f t="shared" si="155"/>
        <v>1.9</v>
      </c>
      <c r="AP161">
        <f t="shared" si="156"/>
        <v>3</v>
      </c>
      <c r="AQ161">
        <v>600</v>
      </c>
      <c r="AR161">
        <v>5</v>
      </c>
      <c r="BO161" t="s">
        <v>180</v>
      </c>
      <c r="BP161" t="str">
        <f t="shared" si="146"/>
        <v>2</v>
      </c>
    </row>
    <row r="162" spans="1:68" x14ac:dyDescent="0.15">
      <c r="A162">
        <f t="shared" si="148"/>
        <v>5602064</v>
      </c>
      <c r="B162" t="s">
        <v>414</v>
      </c>
      <c r="C162">
        <v>6</v>
      </c>
      <c r="D162">
        <v>6</v>
      </c>
      <c r="E162">
        <v>4</v>
      </c>
      <c r="F162" t="s">
        <v>237</v>
      </c>
      <c r="G162" t="s">
        <v>237</v>
      </c>
      <c r="H162" t="s">
        <v>150</v>
      </c>
      <c r="I162" s="2" t="s">
        <v>151</v>
      </c>
      <c r="J162" s="2">
        <f t="shared" si="144"/>
        <v>6</v>
      </c>
      <c r="K162" s="2">
        <f t="shared" si="135"/>
        <v>1.8</v>
      </c>
      <c r="L162" s="2">
        <f t="shared" si="136"/>
        <v>2</v>
      </c>
      <c r="M162" s="2">
        <v>10</v>
      </c>
      <c r="N162" s="2">
        <f t="shared" si="137"/>
        <v>267.83999999999997</v>
      </c>
      <c r="O162" s="2">
        <f t="shared" si="138"/>
        <v>26.78</v>
      </c>
      <c r="P162" s="2">
        <f t="shared" si="139"/>
        <v>1114.8399999999999</v>
      </c>
      <c r="Q162" s="2">
        <f t="shared" si="140"/>
        <v>111.48</v>
      </c>
      <c r="R162" s="2">
        <f t="shared" si="141"/>
        <v>26.78</v>
      </c>
      <c r="S162" s="2">
        <f t="shared" si="142"/>
        <v>2.68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11">
        <v>546022</v>
      </c>
      <c r="Z162" s="12" t="s">
        <v>474</v>
      </c>
      <c r="AA162" s="4">
        <v>1</v>
      </c>
      <c r="AB162" s="4">
        <v>0</v>
      </c>
      <c r="AC162" s="4"/>
      <c r="AD162" s="4">
        <f t="shared" si="145"/>
        <v>6321.7638024799999</v>
      </c>
      <c r="AF162" s="1" t="str">
        <f t="shared" si="147"/>
        <v>2</v>
      </c>
      <c r="AG162">
        <v>6</v>
      </c>
      <c r="AH162">
        <f t="shared" si="149"/>
        <v>267.84000000000003</v>
      </c>
      <c r="AI162">
        <f t="shared" si="150"/>
        <v>26.784000000000006</v>
      </c>
      <c r="AJ162">
        <f t="shared" si="151"/>
        <v>1114.8387096774195</v>
      </c>
      <c r="AK162">
        <f t="shared" si="152"/>
        <v>111.48387096774195</v>
      </c>
      <c r="AL162">
        <f t="shared" si="153"/>
        <v>26.784000000000002</v>
      </c>
      <c r="AM162">
        <f t="shared" si="143"/>
        <v>2.6784000000000003</v>
      </c>
      <c r="AN162">
        <f t="shared" si="154"/>
        <v>1.8</v>
      </c>
      <c r="AO162">
        <f t="shared" si="155"/>
        <v>2</v>
      </c>
      <c r="AP162">
        <f t="shared" si="156"/>
        <v>6</v>
      </c>
      <c r="AQ162">
        <v>602</v>
      </c>
      <c r="AR162">
        <v>5</v>
      </c>
      <c r="BO162" t="s">
        <v>173</v>
      </c>
      <c r="BP162" t="str">
        <f t="shared" si="146"/>
        <v>0</v>
      </c>
    </row>
    <row r="163" spans="1:68" x14ac:dyDescent="0.15">
      <c r="A163">
        <f t="shared" si="148"/>
        <v>5202065</v>
      </c>
      <c r="B163" t="s">
        <v>408</v>
      </c>
      <c r="C163">
        <v>6</v>
      </c>
      <c r="D163">
        <v>2</v>
      </c>
      <c r="E163">
        <v>5</v>
      </c>
      <c r="F163" t="s">
        <v>708</v>
      </c>
      <c r="G163" t="s">
        <v>708</v>
      </c>
      <c r="H163" s="22">
        <v>0</v>
      </c>
      <c r="I163" s="2" t="s">
        <v>96</v>
      </c>
      <c r="J163" s="2">
        <f t="shared" si="144"/>
        <v>3</v>
      </c>
      <c r="K163" s="2">
        <f t="shared" ref="K163:K204" si="157">FLOOR(AN163/1,0.01)</f>
        <v>1.8</v>
      </c>
      <c r="L163" s="2">
        <f t="shared" ref="L163:L204" si="158">FLOOR(AO163/1,0.01)</f>
        <v>2</v>
      </c>
      <c r="M163" s="2">
        <v>11</v>
      </c>
      <c r="N163" s="2">
        <f t="shared" ref="N163:N204" si="159">ROUND(AH163,2)</f>
        <v>155.52000000000001</v>
      </c>
      <c r="O163" s="2">
        <f t="shared" ref="O163:O204" si="160">ROUND(AI163,2)</f>
        <v>15.55</v>
      </c>
      <c r="P163" s="2">
        <f t="shared" ref="P163:P204" si="161">ROUND(AJ163,2)</f>
        <v>1920</v>
      </c>
      <c r="Q163" s="2">
        <f t="shared" ref="Q163:Q204" si="162">ROUND(AK163,2)</f>
        <v>192</v>
      </c>
      <c r="R163" s="2">
        <f t="shared" ref="R163:R204" si="163">ROUND(AL163,2)</f>
        <v>31.1</v>
      </c>
      <c r="S163" s="2">
        <f t="shared" ref="S163:S204" si="164">ROUND(AM163,2)</f>
        <v>3.11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11">
        <v>552022</v>
      </c>
      <c r="Z163" s="26" t="s">
        <v>519</v>
      </c>
      <c r="AA163" s="4">
        <v>1</v>
      </c>
      <c r="AB163" s="4">
        <v>0</v>
      </c>
      <c r="AC163" s="4"/>
      <c r="AD163" s="4">
        <f t="shared" si="145"/>
        <v>6322.0819199999996</v>
      </c>
      <c r="AF163" s="1" t="str">
        <f t="shared" si="147"/>
        <v>2</v>
      </c>
      <c r="AG163">
        <v>6</v>
      </c>
      <c r="AH163">
        <f t="shared" si="149"/>
        <v>155.52000000000001</v>
      </c>
      <c r="AI163">
        <f t="shared" si="150"/>
        <v>15.552000000000001</v>
      </c>
      <c r="AJ163">
        <f t="shared" si="151"/>
        <v>1920.0000000000002</v>
      </c>
      <c r="AK163">
        <f t="shared" si="152"/>
        <v>192.00000000000003</v>
      </c>
      <c r="AL163">
        <f t="shared" si="153"/>
        <v>31.104000000000003</v>
      </c>
      <c r="AM163">
        <f t="shared" ref="AM163:AM204" si="165">AL163*0.1</f>
        <v>3.1104000000000003</v>
      </c>
      <c r="AN163">
        <f t="shared" si="154"/>
        <v>1.8</v>
      </c>
      <c r="AO163">
        <f t="shared" si="155"/>
        <v>2</v>
      </c>
      <c r="AP163">
        <f t="shared" si="156"/>
        <v>3</v>
      </c>
      <c r="AQ163">
        <v>202</v>
      </c>
      <c r="AR163">
        <v>5</v>
      </c>
      <c r="BO163" t="s">
        <v>182</v>
      </c>
      <c r="BP163" t="str">
        <f t="shared" si="146"/>
        <v>2</v>
      </c>
    </row>
    <row r="164" spans="1:68" x14ac:dyDescent="0.15">
      <c r="A164">
        <f t="shared" si="148"/>
        <v>5300065</v>
      </c>
      <c r="B164" t="s">
        <v>415</v>
      </c>
      <c r="C164">
        <v>6</v>
      </c>
      <c r="D164">
        <v>3</v>
      </c>
      <c r="E164">
        <v>5</v>
      </c>
      <c r="F164" t="s">
        <v>238</v>
      </c>
      <c r="G164" t="s">
        <v>238</v>
      </c>
      <c r="H164" s="2">
        <v>0</v>
      </c>
      <c r="I164" s="28" t="s">
        <v>720</v>
      </c>
      <c r="J164" s="2">
        <f t="shared" si="144"/>
        <v>3</v>
      </c>
      <c r="K164" s="2">
        <f t="shared" si="157"/>
        <v>1.3</v>
      </c>
      <c r="L164" s="2">
        <f t="shared" si="158"/>
        <v>1.9000000000000001</v>
      </c>
      <c r="M164" s="2">
        <v>12</v>
      </c>
      <c r="N164" s="2">
        <f t="shared" si="159"/>
        <v>112.32</v>
      </c>
      <c r="O164" s="2">
        <f t="shared" si="160"/>
        <v>11.23</v>
      </c>
      <c r="P164" s="2">
        <f t="shared" si="161"/>
        <v>1920</v>
      </c>
      <c r="Q164" s="2">
        <f t="shared" si="162"/>
        <v>192</v>
      </c>
      <c r="R164" s="2">
        <f t="shared" si="163"/>
        <v>22.46</v>
      </c>
      <c r="S164" s="2">
        <f t="shared" si="164"/>
        <v>2.25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11">
        <v>553002</v>
      </c>
      <c r="Z164" s="12" t="s">
        <v>475</v>
      </c>
      <c r="AA164" s="4">
        <v>1</v>
      </c>
      <c r="AB164" s="4">
        <v>0</v>
      </c>
      <c r="AC164" s="4"/>
      <c r="AD164" s="4">
        <f t="shared" si="145"/>
        <v>6321.7976123076915</v>
      </c>
      <c r="AF164" s="1" t="str">
        <f t="shared" si="147"/>
        <v>0</v>
      </c>
      <c r="AG164">
        <v>6</v>
      </c>
      <c r="AH164">
        <f t="shared" si="149"/>
        <v>112.32000000000002</v>
      </c>
      <c r="AI164">
        <f t="shared" si="150"/>
        <v>11.232000000000003</v>
      </c>
      <c r="AJ164">
        <f t="shared" si="151"/>
        <v>1920.0000000000002</v>
      </c>
      <c r="AK164">
        <f t="shared" si="152"/>
        <v>192.00000000000003</v>
      </c>
      <c r="AL164">
        <f t="shared" si="153"/>
        <v>22.464000000000006</v>
      </c>
      <c r="AM164">
        <f t="shared" si="165"/>
        <v>2.2464000000000008</v>
      </c>
      <c r="AN164">
        <f t="shared" si="154"/>
        <v>1.3</v>
      </c>
      <c r="AO164">
        <f t="shared" si="155"/>
        <v>1.9</v>
      </c>
      <c r="AP164">
        <f t="shared" si="156"/>
        <v>3</v>
      </c>
      <c r="AQ164">
        <v>300</v>
      </c>
      <c r="AR164">
        <v>5</v>
      </c>
      <c r="BO164" t="s">
        <v>184</v>
      </c>
      <c r="BP164" t="str">
        <f t="shared" si="146"/>
        <v>0</v>
      </c>
    </row>
    <row r="165" spans="1:68" x14ac:dyDescent="0.15">
      <c r="A165">
        <f t="shared" si="148"/>
        <v>5302065</v>
      </c>
      <c r="B165" t="s">
        <v>143</v>
      </c>
      <c r="C165">
        <v>6</v>
      </c>
      <c r="D165">
        <v>3</v>
      </c>
      <c r="E165">
        <v>5</v>
      </c>
      <c r="F165" t="s">
        <v>239</v>
      </c>
      <c r="G165" t="s">
        <v>239</v>
      </c>
      <c r="H165" s="2">
        <v>0</v>
      </c>
      <c r="I165" s="2" t="s">
        <v>157</v>
      </c>
      <c r="J165" s="2">
        <f t="shared" si="144"/>
        <v>3</v>
      </c>
      <c r="K165" s="2">
        <f t="shared" si="157"/>
        <v>1.4000000000000001</v>
      </c>
      <c r="L165" s="2">
        <f t="shared" si="158"/>
        <v>1.7</v>
      </c>
      <c r="M165" s="2">
        <v>13</v>
      </c>
      <c r="N165" s="2">
        <f t="shared" si="159"/>
        <v>120.96</v>
      </c>
      <c r="O165" s="2">
        <f t="shared" si="160"/>
        <v>12.1</v>
      </c>
      <c r="P165" s="2">
        <f t="shared" si="161"/>
        <v>1920</v>
      </c>
      <c r="Q165" s="2">
        <f t="shared" si="162"/>
        <v>192</v>
      </c>
      <c r="R165" s="2">
        <f t="shared" si="163"/>
        <v>24.19</v>
      </c>
      <c r="S165" s="2">
        <f t="shared" si="164"/>
        <v>2.42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11">
        <v>553022</v>
      </c>
      <c r="Z165" s="12" t="s">
        <v>476</v>
      </c>
      <c r="AA165" s="4">
        <v>1</v>
      </c>
      <c r="AB165" s="4">
        <v>0</v>
      </c>
      <c r="AC165" s="4"/>
      <c r="AD165" s="4">
        <f t="shared" si="145"/>
        <v>6324.721919999999</v>
      </c>
      <c r="AF165" s="1" t="str">
        <f t="shared" si="147"/>
        <v>2</v>
      </c>
      <c r="AG165">
        <v>6</v>
      </c>
      <c r="AH165">
        <f t="shared" si="149"/>
        <v>120.96000000000001</v>
      </c>
      <c r="AI165">
        <f t="shared" si="150"/>
        <v>12.096000000000002</v>
      </c>
      <c r="AJ165">
        <f t="shared" si="151"/>
        <v>1920.0000000000002</v>
      </c>
      <c r="AK165">
        <f t="shared" si="152"/>
        <v>192.00000000000003</v>
      </c>
      <c r="AL165">
        <f t="shared" si="153"/>
        <v>24.192</v>
      </c>
      <c r="AM165">
        <f t="shared" si="165"/>
        <v>2.4192</v>
      </c>
      <c r="AN165">
        <f t="shared" si="154"/>
        <v>1.4</v>
      </c>
      <c r="AO165">
        <f t="shared" si="155"/>
        <v>1.7</v>
      </c>
      <c r="AP165">
        <f t="shared" si="156"/>
        <v>3</v>
      </c>
      <c r="AQ165">
        <v>302</v>
      </c>
      <c r="AR165">
        <v>5</v>
      </c>
      <c r="BO165" t="s">
        <v>165</v>
      </c>
      <c r="BP165" t="str">
        <f t="shared" si="146"/>
        <v>2</v>
      </c>
    </row>
    <row r="166" spans="1:68" x14ac:dyDescent="0.15">
      <c r="A166">
        <f t="shared" si="148"/>
        <v>5400065</v>
      </c>
      <c r="B166" t="s">
        <v>149</v>
      </c>
      <c r="C166">
        <v>6</v>
      </c>
      <c r="D166">
        <v>4</v>
      </c>
      <c r="E166">
        <v>5</v>
      </c>
      <c r="F166" t="s">
        <v>240</v>
      </c>
      <c r="G166" t="s">
        <v>240</v>
      </c>
      <c r="H166">
        <v>0</v>
      </c>
      <c r="I166" s="2" t="s">
        <v>161</v>
      </c>
      <c r="J166" s="2">
        <f t="shared" si="144"/>
        <v>6</v>
      </c>
      <c r="K166" s="2">
        <f t="shared" si="157"/>
        <v>1.4000000000000001</v>
      </c>
      <c r="L166" s="2">
        <f t="shared" si="158"/>
        <v>1.4000000000000001</v>
      </c>
      <c r="M166" s="2">
        <v>14</v>
      </c>
      <c r="N166" s="2">
        <f t="shared" si="159"/>
        <v>161.28</v>
      </c>
      <c r="O166" s="2">
        <f t="shared" si="160"/>
        <v>16.13</v>
      </c>
      <c r="P166" s="2">
        <f t="shared" si="161"/>
        <v>1440</v>
      </c>
      <c r="Q166" s="2">
        <f t="shared" si="162"/>
        <v>144</v>
      </c>
      <c r="R166" s="2">
        <f t="shared" si="163"/>
        <v>23.04</v>
      </c>
      <c r="S166" s="2">
        <f t="shared" si="164"/>
        <v>2.2999999999999998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11">
        <v>554002</v>
      </c>
      <c r="Z166" s="12" t="s">
        <v>477</v>
      </c>
      <c r="AA166" s="4">
        <v>1</v>
      </c>
      <c r="AB166" s="4">
        <v>0</v>
      </c>
      <c r="AC166" s="4"/>
      <c r="AD166" s="4">
        <f t="shared" si="145"/>
        <v>6323.5339199999989</v>
      </c>
      <c r="AF166" s="1" t="str">
        <f t="shared" si="147"/>
        <v>0</v>
      </c>
      <c r="AG166">
        <v>6</v>
      </c>
      <c r="AH166">
        <f t="shared" si="149"/>
        <v>161.28</v>
      </c>
      <c r="AI166">
        <f t="shared" si="150"/>
        <v>16.128</v>
      </c>
      <c r="AJ166">
        <f t="shared" si="151"/>
        <v>1440</v>
      </c>
      <c r="AK166">
        <f t="shared" si="152"/>
        <v>144</v>
      </c>
      <c r="AL166">
        <f t="shared" si="153"/>
        <v>23.04</v>
      </c>
      <c r="AM166">
        <f t="shared" si="165"/>
        <v>2.3039999999999998</v>
      </c>
      <c r="AN166">
        <f t="shared" si="154"/>
        <v>1.4</v>
      </c>
      <c r="AO166">
        <f t="shared" si="155"/>
        <v>1.4</v>
      </c>
      <c r="AP166">
        <f t="shared" si="156"/>
        <v>6</v>
      </c>
      <c r="AQ166">
        <v>400</v>
      </c>
      <c r="AR166">
        <v>5</v>
      </c>
      <c r="BO166" t="s">
        <v>186</v>
      </c>
      <c r="BP166" t="str">
        <f t="shared" si="146"/>
        <v>0</v>
      </c>
    </row>
    <row r="167" spans="1:68" ht="14.25" customHeight="1" x14ac:dyDescent="0.15">
      <c r="A167">
        <f t="shared" si="148"/>
        <v>5501065</v>
      </c>
      <c r="B167" t="s">
        <v>413</v>
      </c>
      <c r="C167">
        <v>6</v>
      </c>
      <c r="D167">
        <v>5</v>
      </c>
      <c r="E167">
        <v>5</v>
      </c>
      <c r="F167" t="s">
        <v>709</v>
      </c>
      <c r="G167" t="s">
        <v>709</v>
      </c>
      <c r="H167" s="22">
        <v>0</v>
      </c>
      <c r="I167" s="28" t="s">
        <v>721</v>
      </c>
      <c r="J167" s="2">
        <f t="shared" si="144"/>
        <v>6</v>
      </c>
      <c r="K167" s="2">
        <f t="shared" si="157"/>
        <v>1.6</v>
      </c>
      <c r="L167" s="2">
        <f t="shared" si="158"/>
        <v>2</v>
      </c>
      <c r="M167" s="2">
        <v>15</v>
      </c>
      <c r="N167" s="2">
        <f t="shared" si="159"/>
        <v>215.04</v>
      </c>
      <c r="O167" s="2">
        <f t="shared" si="160"/>
        <v>21.5</v>
      </c>
      <c r="P167" s="2">
        <f t="shared" si="161"/>
        <v>1234.29</v>
      </c>
      <c r="Q167" s="2">
        <f t="shared" si="162"/>
        <v>123.43</v>
      </c>
      <c r="R167" s="2">
        <f t="shared" si="163"/>
        <v>26.88</v>
      </c>
      <c r="S167" s="2">
        <f t="shared" si="164"/>
        <v>2.69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11">
        <v>555012</v>
      </c>
      <c r="Z167" s="26" t="s">
        <v>520</v>
      </c>
      <c r="AA167" s="4">
        <v>1</v>
      </c>
      <c r="AB167" s="4">
        <v>0</v>
      </c>
      <c r="AC167" s="4"/>
      <c r="AD167" s="4">
        <f t="shared" si="145"/>
        <v>6321.8204322524998</v>
      </c>
      <c r="AF167" s="1" t="str">
        <f t="shared" si="147"/>
        <v>1</v>
      </c>
      <c r="AG167">
        <v>6</v>
      </c>
      <c r="AH167">
        <f t="shared" si="149"/>
        <v>215.04</v>
      </c>
      <c r="AI167">
        <f t="shared" si="150"/>
        <v>21.504000000000001</v>
      </c>
      <c r="AJ167">
        <f t="shared" si="151"/>
        <v>1234.2857142857144</v>
      </c>
      <c r="AK167">
        <f t="shared" si="152"/>
        <v>123.42857142857144</v>
      </c>
      <c r="AL167">
        <f t="shared" si="153"/>
        <v>26.88</v>
      </c>
      <c r="AM167">
        <f t="shared" si="165"/>
        <v>2.6880000000000002</v>
      </c>
      <c r="AN167">
        <f t="shared" si="154"/>
        <v>1.6</v>
      </c>
      <c r="AO167">
        <f t="shared" si="155"/>
        <v>2</v>
      </c>
      <c r="AP167">
        <f t="shared" si="156"/>
        <v>6</v>
      </c>
      <c r="AQ167">
        <v>501</v>
      </c>
      <c r="AR167">
        <v>5</v>
      </c>
      <c r="BO167" t="s">
        <v>167</v>
      </c>
      <c r="BP167" t="str">
        <f t="shared" si="146"/>
        <v>1</v>
      </c>
    </row>
    <row r="168" spans="1:68" x14ac:dyDescent="0.15">
      <c r="A168">
        <f t="shared" si="148"/>
        <v>5200071</v>
      </c>
      <c r="B168" t="s">
        <v>160</v>
      </c>
      <c r="C168">
        <v>7</v>
      </c>
      <c r="D168">
        <v>2</v>
      </c>
      <c r="E168">
        <v>1</v>
      </c>
      <c r="F168" t="s">
        <v>207</v>
      </c>
      <c r="G168" t="s">
        <v>207</v>
      </c>
      <c r="H168" s="2">
        <v>0</v>
      </c>
      <c r="I168" s="28" t="s">
        <v>711</v>
      </c>
      <c r="J168" s="2">
        <f t="shared" si="144"/>
        <v>3</v>
      </c>
      <c r="K168" s="2">
        <f t="shared" si="157"/>
        <v>1.5</v>
      </c>
      <c r="L168" s="2">
        <f t="shared" si="158"/>
        <v>1.2</v>
      </c>
      <c r="M168" s="2">
        <v>10</v>
      </c>
      <c r="N168" s="2">
        <f t="shared" si="159"/>
        <v>160</v>
      </c>
      <c r="O168" s="2">
        <f t="shared" si="160"/>
        <v>16</v>
      </c>
      <c r="P168" s="2">
        <f t="shared" si="161"/>
        <v>1920</v>
      </c>
      <c r="Q168" s="2">
        <f t="shared" si="162"/>
        <v>192</v>
      </c>
      <c r="R168" s="2">
        <f t="shared" si="163"/>
        <v>40</v>
      </c>
      <c r="S168" s="2">
        <f t="shared" si="164"/>
        <v>4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11">
        <v>512002</v>
      </c>
      <c r="Z168" s="12" t="s">
        <v>521</v>
      </c>
      <c r="AA168" s="4">
        <v>1</v>
      </c>
      <c r="AB168" s="4">
        <v>0</v>
      </c>
      <c r="AC168" s="4"/>
      <c r="AD168" s="4">
        <f t="shared" si="145"/>
        <v>7805.9520000000002</v>
      </c>
      <c r="AF168" s="1" t="str">
        <f t="shared" si="147"/>
        <v>0</v>
      </c>
      <c r="AG168">
        <v>7</v>
      </c>
      <c r="AH168">
        <f t="shared" si="149"/>
        <v>160</v>
      </c>
      <c r="AI168">
        <f t="shared" si="150"/>
        <v>16</v>
      </c>
      <c r="AJ168">
        <f t="shared" si="151"/>
        <v>1920</v>
      </c>
      <c r="AK168">
        <f t="shared" si="152"/>
        <v>192</v>
      </c>
      <c r="AL168">
        <f t="shared" si="153"/>
        <v>40</v>
      </c>
      <c r="AM168">
        <f t="shared" si="165"/>
        <v>4</v>
      </c>
      <c r="AN168">
        <f t="shared" si="154"/>
        <v>1.5</v>
      </c>
      <c r="AO168">
        <f t="shared" si="155"/>
        <v>1.2</v>
      </c>
      <c r="AP168">
        <f t="shared" si="156"/>
        <v>3</v>
      </c>
      <c r="AQ168">
        <v>200</v>
      </c>
      <c r="AR168">
        <v>5</v>
      </c>
      <c r="BO168" t="s">
        <v>159</v>
      </c>
      <c r="BP168" t="str">
        <f t="shared" si="146"/>
        <v>1</v>
      </c>
    </row>
    <row r="169" spans="1:68" x14ac:dyDescent="0.15">
      <c r="A169">
        <f t="shared" si="148"/>
        <v>5201071</v>
      </c>
      <c r="B169" t="s">
        <v>407</v>
      </c>
      <c r="C169">
        <v>7</v>
      </c>
      <c r="D169">
        <v>2</v>
      </c>
      <c r="E169">
        <v>1</v>
      </c>
      <c r="F169" t="s">
        <v>208</v>
      </c>
      <c r="G169" t="s">
        <v>208</v>
      </c>
      <c r="H169" s="2">
        <v>0</v>
      </c>
      <c r="I169" s="2" t="s">
        <v>92</v>
      </c>
      <c r="J169" s="2">
        <f t="shared" si="144"/>
        <v>3</v>
      </c>
      <c r="K169" s="2">
        <f t="shared" si="157"/>
        <v>1.8</v>
      </c>
      <c r="L169" s="2">
        <f t="shared" si="158"/>
        <v>1.8</v>
      </c>
      <c r="M169" s="2">
        <v>10</v>
      </c>
      <c r="N169" s="2">
        <f t="shared" si="159"/>
        <v>153.6</v>
      </c>
      <c r="O169" s="2">
        <f t="shared" si="160"/>
        <v>15.36</v>
      </c>
      <c r="P169" s="2">
        <f t="shared" si="161"/>
        <v>2400</v>
      </c>
      <c r="Q169" s="2">
        <f t="shared" si="162"/>
        <v>240</v>
      </c>
      <c r="R169" s="2">
        <f t="shared" si="163"/>
        <v>51.2</v>
      </c>
      <c r="S169" s="2">
        <f t="shared" si="164"/>
        <v>5.12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11">
        <v>512012</v>
      </c>
      <c r="Z169" s="12" t="s">
        <v>522</v>
      </c>
      <c r="AA169" s="4">
        <v>1</v>
      </c>
      <c r="AB169" s="4">
        <v>0</v>
      </c>
      <c r="AC169" s="4"/>
      <c r="AD169" s="4">
        <f t="shared" si="145"/>
        <v>7805.9520000000002</v>
      </c>
      <c r="AF169" s="1" t="str">
        <f t="shared" si="147"/>
        <v>1</v>
      </c>
      <c r="AG169">
        <v>7</v>
      </c>
      <c r="AH169">
        <f t="shared" si="149"/>
        <v>153.60000000000002</v>
      </c>
      <c r="AI169">
        <f t="shared" si="150"/>
        <v>15.360000000000003</v>
      </c>
      <c r="AJ169">
        <f t="shared" si="151"/>
        <v>2400</v>
      </c>
      <c r="AK169">
        <f t="shared" si="152"/>
        <v>240</v>
      </c>
      <c r="AL169">
        <f t="shared" si="153"/>
        <v>51.20000000000001</v>
      </c>
      <c r="AM169">
        <f t="shared" si="165"/>
        <v>5.120000000000001</v>
      </c>
      <c r="AN169">
        <f t="shared" si="154"/>
        <v>1.8</v>
      </c>
      <c r="AO169">
        <f t="shared" si="155"/>
        <v>1.8</v>
      </c>
      <c r="AP169">
        <f t="shared" si="156"/>
        <v>3</v>
      </c>
      <c r="AQ169">
        <v>201</v>
      </c>
      <c r="AR169">
        <v>5</v>
      </c>
      <c r="BO169" t="s">
        <v>178</v>
      </c>
      <c r="BP169" t="str">
        <f t="shared" si="146"/>
        <v>2</v>
      </c>
    </row>
    <row r="170" spans="1:68" x14ac:dyDescent="0.15">
      <c r="A170">
        <f t="shared" si="148"/>
        <v>5202071</v>
      </c>
      <c r="B170" t="s">
        <v>408</v>
      </c>
      <c r="C170">
        <v>7</v>
      </c>
      <c r="D170">
        <v>2</v>
      </c>
      <c r="E170">
        <v>1</v>
      </c>
      <c r="F170" t="s">
        <v>210</v>
      </c>
      <c r="G170" t="s">
        <v>210</v>
      </c>
      <c r="H170">
        <v>0</v>
      </c>
      <c r="I170" s="28" t="s">
        <v>712</v>
      </c>
      <c r="J170" s="2">
        <f t="shared" si="144"/>
        <v>3</v>
      </c>
      <c r="K170" s="2">
        <f t="shared" si="157"/>
        <v>1.8</v>
      </c>
      <c r="L170" s="2">
        <f t="shared" si="158"/>
        <v>2</v>
      </c>
      <c r="M170" s="2">
        <v>10</v>
      </c>
      <c r="N170" s="2">
        <f t="shared" si="159"/>
        <v>172.8</v>
      </c>
      <c r="O170" s="2">
        <f t="shared" si="160"/>
        <v>17.28</v>
      </c>
      <c r="P170" s="2">
        <f t="shared" si="161"/>
        <v>2133.33</v>
      </c>
      <c r="Q170" s="2">
        <f t="shared" si="162"/>
        <v>213.33</v>
      </c>
      <c r="R170" s="2">
        <f t="shared" si="163"/>
        <v>34.56</v>
      </c>
      <c r="S170" s="2">
        <f t="shared" si="164"/>
        <v>3.46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11">
        <v>512022</v>
      </c>
      <c r="Z170" s="12" t="s">
        <v>523</v>
      </c>
      <c r="AA170" s="4">
        <v>1</v>
      </c>
      <c r="AB170" s="4">
        <v>0</v>
      </c>
      <c r="AC170" s="4"/>
      <c r="AD170" s="4">
        <f t="shared" si="145"/>
        <v>7805.8400111999999</v>
      </c>
      <c r="AF170" s="1" t="str">
        <f t="shared" si="147"/>
        <v>2</v>
      </c>
      <c r="AG170">
        <v>7</v>
      </c>
      <c r="AH170">
        <f t="shared" si="149"/>
        <v>172.8</v>
      </c>
      <c r="AI170">
        <f t="shared" si="150"/>
        <v>17.28</v>
      </c>
      <c r="AJ170">
        <f t="shared" si="151"/>
        <v>2133.3333333333335</v>
      </c>
      <c r="AK170">
        <f t="shared" si="152"/>
        <v>213.33333333333337</v>
      </c>
      <c r="AL170">
        <f t="shared" si="153"/>
        <v>34.56</v>
      </c>
      <c r="AM170">
        <f t="shared" si="165"/>
        <v>3.4560000000000004</v>
      </c>
      <c r="AN170">
        <f t="shared" si="154"/>
        <v>1.8</v>
      </c>
      <c r="AO170">
        <f t="shared" si="155"/>
        <v>2</v>
      </c>
      <c r="AP170">
        <f t="shared" si="156"/>
        <v>3</v>
      </c>
      <c r="AQ170">
        <v>202</v>
      </c>
      <c r="AR170">
        <v>5</v>
      </c>
      <c r="BO170" t="s">
        <v>188</v>
      </c>
      <c r="BP170" t="str">
        <f t="shared" si="146"/>
        <v>0</v>
      </c>
    </row>
    <row r="171" spans="1:68" x14ac:dyDescent="0.15">
      <c r="A171">
        <f t="shared" si="148"/>
        <v>5301071</v>
      </c>
      <c r="B171" t="s">
        <v>409</v>
      </c>
      <c r="C171">
        <v>7</v>
      </c>
      <c r="D171">
        <v>3</v>
      </c>
      <c r="E171">
        <v>1</v>
      </c>
      <c r="F171" t="s">
        <v>211</v>
      </c>
      <c r="G171" t="s">
        <v>211</v>
      </c>
      <c r="H171" s="2">
        <v>0</v>
      </c>
      <c r="I171" s="28" t="s">
        <v>713</v>
      </c>
      <c r="J171" s="2">
        <f t="shared" si="144"/>
        <v>3</v>
      </c>
      <c r="K171" s="2">
        <f t="shared" si="157"/>
        <v>1.2</v>
      </c>
      <c r="L171" s="2">
        <f t="shared" si="158"/>
        <v>2</v>
      </c>
      <c r="M171" s="2">
        <v>10</v>
      </c>
      <c r="N171" s="2">
        <f t="shared" si="159"/>
        <v>115.2</v>
      </c>
      <c r="O171" s="2">
        <f t="shared" si="160"/>
        <v>11.52</v>
      </c>
      <c r="P171" s="2">
        <f t="shared" si="161"/>
        <v>2133.33</v>
      </c>
      <c r="Q171" s="2">
        <f t="shared" si="162"/>
        <v>213.33</v>
      </c>
      <c r="R171" s="2">
        <f t="shared" si="163"/>
        <v>23.04</v>
      </c>
      <c r="S171" s="2">
        <f t="shared" si="164"/>
        <v>2.2999999999999998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11">
        <v>513012</v>
      </c>
      <c r="Z171" s="12" t="s">
        <v>524</v>
      </c>
      <c r="AA171" s="4">
        <v>1</v>
      </c>
      <c r="AB171" s="4">
        <v>0</v>
      </c>
      <c r="AC171" s="4"/>
      <c r="AD171" s="4">
        <f t="shared" si="145"/>
        <v>7805.8400112000008</v>
      </c>
      <c r="AF171" s="1" t="str">
        <f t="shared" si="147"/>
        <v>1</v>
      </c>
      <c r="AG171">
        <v>7</v>
      </c>
      <c r="AH171">
        <f t="shared" si="149"/>
        <v>115.20000000000002</v>
      </c>
      <c r="AI171">
        <f t="shared" si="150"/>
        <v>11.520000000000003</v>
      </c>
      <c r="AJ171">
        <f t="shared" si="151"/>
        <v>2133.3333333333335</v>
      </c>
      <c r="AK171">
        <f t="shared" si="152"/>
        <v>213.33333333333337</v>
      </c>
      <c r="AL171">
        <f t="shared" si="153"/>
        <v>23.040000000000003</v>
      </c>
      <c r="AM171">
        <f t="shared" si="165"/>
        <v>2.3040000000000003</v>
      </c>
      <c r="AN171">
        <f t="shared" si="154"/>
        <v>1.2</v>
      </c>
      <c r="AO171">
        <f t="shared" si="155"/>
        <v>2</v>
      </c>
      <c r="AP171">
        <f t="shared" si="156"/>
        <v>3</v>
      </c>
      <c r="AQ171">
        <v>301</v>
      </c>
      <c r="AR171">
        <v>5</v>
      </c>
      <c r="BO171" t="s">
        <v>171</v>
      </c>
      <c r="BP171" t="str">
        <f t="shared" si="146"/>
        <v>1</v>
      </c>
    </row>
    <row r="172" spans="1:68" x14ac:dyDescent="0.15">
      <c r="A172">
        <f t="shared" si="148"/>
        <v>5401071</v>
      </c>
      <c r="B172" t="s">
        <v>410</v>
      </c>
      <c r="C172">
        <v>7</v>
      </c>
      <c r="D172">
        <v>4</v>
      </c>
      <c r="E172">
        <v>1</v>
      </c>
      <c r="F172" t="s">
        <v>212</v>
      </c>
      <c r="G172" t="s">
        <v>212</v>
      </c>
      <c r="H172" s="2">
        <v>0</v>
      </c>
      <c r="I172" s="2" t="s">
        <v>103</v>
      </c>
      <c r="J172" s="2">
        <f t="shared" si="144"/>
        <v>6</v>
      </c>
      <c r="K172" s="2">
        <f t="shared" si="157"/>
        <v>1.6</v>
      </c>
      <c r="L172" s="2">
        <f t="shared" si="158"/>
        <v>2</v>
      </c>
      <c r="M172" s="2">
        <v>10</v>
      </c>
      <c r="N172" s="2">
        <f t="shared" si="159"/>
        <v>204.8</v>
      </c>
      <c r="O172" s="2">
        <f t="shared" si="160"/>
        <v>20.48</v>
      </c>
      <c r="P172" s="2">
        <f t="shared" si="161"/>
        <v>1600</v>
      </c>
      <c r="Q172" s="2">
        <f t="shared" si="162"/>
        <v>160</v>
      </c>
      <c r="R172" s="2">
        <f t="shared" si="163"/>
        <v>29.26</v>
      </c>
      <c r="S172" s="2">
        <f t="shared" si="164"/>
        <v>2.93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11">
        <v>514012</v>
      </c>
      <c r="Z172" s="12" t="s">
        <v>525</v>
      </c>
      <c r="AA172" s="4">
        <v>1</v>
      </c>
      <c r="AB172" s="4">
        <v>0</v>
      </c>
      <c r="AC172" s="4"/>
      <c r="AD172" s="4">
        <f t="shared" si="145"/>
        <v>7805.9520000000002</v>
      </c>
      <c r="AF172" s="1" t="str">
        <f t="shared" si="147"/>
        <v>1</v>
      </c>
      <c r="AG172">
        <v>7</v>
      </c>
      <c r="AH172">
        <f t="shared" si="149"/>
        <v>204.8</v>
      </c>
      <c r="AI172">
        <f t="shared" si="150"/>
        <v>20.480000000000004</v>
      </c>
      <c r="AJ172">
        <f t="shared" si="151"/>
        <v>1600</v>
      </c>
      <c r="AK172">
        <f t="shared" si="152"/>
        <v>160</v>
      </c>
      <c r="AL172">
        <f t="shared" si="153"/>
        <v>29.25714285714286</v>
      </c>
      <c r="AM172">
        <f t="shared" si="165"/>
        <v>2.9257142857142862</v>
      </c>
      <c r="AN172">
        <f t="shared" si="154"/>
        <v>1.6</v>
      </c>
      <c r="AO172">
        <f t="shared" si="155"/>
        <v>2</v>
      </c>
      <c r="AP172">
        <f t="shared" si="156"/>
        <v>6</v>
      </c>
      <c r="AQ172">
        <v>401</v>
      </c>
      <c r="AR172">
        <v>5</v>
      </c>
      <c r="BO172" t="s">
        <v>173</v>
      </c>
      <c r="BP172" t="str">
        <f t="shared" si="146"/>
        <v>0</v>
      </c>
    </row>
    <row r="173" spans="1:68" x14ac:dyDescent="0.15">
      <c r="A173">
        <f t="shared" si="148"/>
        <v>5402071</v>
      </c>
      <c r="B173" t="s">
        <v>102</v>
      </c>
      <c r="C173">
        <v>7</v>
      </c>
      <c r="D173">
        <v>4</v>
      </c>
      <c r="E173">
        <v>1</v>
      </c>
      <c r="F173" t="s">
        <v>213</v>
      </c>
      <c r="G173" t="s">
        <v>213</v>
      </c>
      <c r="H173">
        <v>0</v>
      </c>
      <c r="I173" s="28" t="s">
        <v>714</v>
      </c>
      <c r="J173" s="2">
        <f t="shared" si="144"/>
        <v>6</v>
      </c>
      <c r="K173" s="2">
        <f t="shared" si="157"/>
        <v>1.5</v>
      </c>
      <c r="L173" s="2">
        <f t="shared" si="158"/>
        <v>1.5</v>
      </c>
      <c r="M173" s="2">
        <v>10</v>
      </c>
      <c r="N173" s="2">
        <f t="shared" si="159"/>
        <v>192</v>
      </c>
      <c r="O173" s="2">
        <f t="shared" si="160"/>
        <v>19.2</v>
      </c>
      <c r="P173" s="2">
        <f t="shared" si="161"/>
        <v>1600</v>
      </c>
      <c r="Q173" s="2">
        <f t="shared" si="162"/>
        <v>160</v>
      </c>
      <c r="R173" s="2">
        <f t="shared" si="163"/>
        <v>27.43</v>
      </c>
      <c r="S173" s="2">
        <f t="shared" si="164"/>
        <v>2.74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11">
        <v>514022</v>
      </c>
      <c r="Z173" s="12" t="s">
        <v>526</v>
      </c>
      <c r="AA173" s="4">
        <v>1</v>
      </c>
      <c r="AB173" s="4">
        <v>0</v>
      </c>
      <c r="AC173" s="4"/>
      <c r="AD173" s="4">
        <f t="shared" si="145"/>
        <v>7805.9520000000002</v>
      </c>
      <c r="AF173" s="1" t="str">
        <f t="shared" si="147"/>
        <v>2</v>
      </c>
      <c r="AG173">
        <v>7</v>
      </c>
      <c r="AH173">
        <f t="shared" si="149"/>
        <v>192</v>
      </c>
      <c r="AI173">
        <f t="shared" si="150"/>
        <v>19.200000000000003</v>
      </c>
      <c r="AJ173">
        <f t="shared" si="151"/>
        <v>1600</v>
      </c>
      <c r="AK173">
        <f t="shared" si="152"/>
        <v>160</v>
      </c>
      <c r="AL173">
        <f t="shared" si="153"/>
        <v>27.428571428571427</v>
      </c>
      <c r="AM173">
        <f t="shared" si="165"/>
        <v>2.7428571428571429</v>
      </c>
      <c r="AN173">
        <f t="shared" si="154"/>
        <v>1.5</v>
      </c>
      <c r="AO173">
        <f t="shared" si="155"/>
        <v>1.5</v>
      </c>
      <c r="AP173">
        <f t="shared" si="156"/>
        <v>6</v>
      </c>
      <c r="AQ173">
        <v>402</v>
      </c>
      <c r="AR173">
        <v>5</v>
      </c>
      <c r="BO173" t="s">
        <v>136</v>
      </c>
      <c r="BP173" t="str">
        <f t="shared" si="146"/>
        <v>1</v>
      </c>
    </row>
    <row r="174" spans="1:68" x14ac:dyDescent="0.15">
      <c r="A174">
        <f t="shared" si="148"/>
        <v>5500071</v>
      </c>
      <c r="B174" t="s">
        <v>411</v>
      </c>
      <c r="C174">
        <v>7</v>
      </c>
      <c r="D174">
        <v>5</v>
      </c>
      <c r="E174">
        <v>1</v>
      </c>
      <c r="F174" t="s">
        <v>214</v>
      </c>
      <c r="G174" t="s">
        <v>214</v>
      </c>
      <c r="H174">
        <v>0</v>
      </c>
      <c r="I174" s="2" t="s">
        <v>109</v>
      </c>
      <c r="J174" s="2">
        <f t="shared" si="144"/>
        <v>6</v>
      </c>
      <c r="K174" s="2">
        <f t="shared" si="157"/>
        <v>1.5</v>
      </c>
      <c r="L174" s="2">
        <f t="shared" si="158"/>
        <v>1.5</v>
      </c>
      <c r="M174" s="2">
        <v>10</v>
      </c>
      <c r="N174" s="2">
        <f t="shared" si="159"/>
        <v>224</v>
      </c>
      <c r="O174" s="2">
        <f t="shared" si="160"/>
        <v>22.4</v>
      </c>
      <c r="P174" s="2">
        <f t="shared" si="161"/>
        <v>1371.43</v>
      </c>
      <c r="Q174" s="2">
        <f t="shared" si="162"/>
        <v>137.13999999999999</v>
      </c>
      <c r="R174" s="2">
        <f t="shared" si="163"/>
        <v>28</v>
      </c>
      <c r="S174" s="2">
        <f t="shared" si="164"/>
        <v>2.8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11">
        <v>515002</v>
      </c>
      <c r="Z174" s="12" t="s">
        <v>527</v>
      </c>
      <c r="AA174" s="4">
        <v>1</v>
      </c>
      <c r="AB174" s="4">
        <v>0</v>
      </c>
      <c r="AC174" s="4"/>
      <c r="AD174" s="4">
        <f t="shared" si="145"/>
        <v>7805.8048991999985</v>
      </c>
      <c r="AF174" s="1" t="str">
        <f t="shared" si="147"/>
        <v>0</v>
      </c>
      <c r="AG174">
        <v>7</v>
      </c>
      <c r="AH174">
        <f t="shared" si="149"/>
        <v>223.99999999999994</v>
      </c>
      <c r="AI174">
        <f t="shared" si="150"/>
        <v>22.399999999999995</v>
      </c>
      <c r="AJ174">
        <f t="shared" si="151"/>
        <v>1371.4285714285716</v>
      </c>
      <c r="AK174">
        <f t="shared" si="152"/>
        <v>137.14285714285717</v>
      </c>
      <c r="AL174">
        <f t="shared" si="153"/>
        <v>27.999999999999993</v>
      </c>
      <c r="AM174">
        <f t="shared" si="165"/>
        <v>2.7999999999999994</v>
      </c>
      <c r="AN174">
        <f t="shared" si="154"/>
        <v>1.5</v>
      </c>
      <c r="AO174">
        <f t="shared" si="155"/>
        <v>1.5</v>
      </c>
      <c r="AP174">
        <f t="shared" si="156"/>
        <v>6</v>
      </c>
      <c r="AQ174">
        <v>500</v>
      </c>
      <c r="AR174">
        <v>5</v>
      </c>
      <c r="BO174" t="s">
        <v>141</v>
      </c>
      <c r="BP174" t="str">
        <f t="shared" si="146"/>
        <v>1</v>
      </c>
    </row>
    <row r="175" spans="1:68" x14ac:dyDescent="0.15">
      <c r="A175">
        <f t="shared" si="148"/>
        <v>5502071</v>
      </c>
      <c r="B175" t="s">
        <v>115</v>
      </c>
      <c r="C175">
        <v>7</v>
      </c>
      <c r="D175">
        <v>5</v>
      </c>
      <c r="E175">
        <v>1</v>
      </c>
      <c r="F175" t="s">
        <v>215</v>
      </c>
      <c r="G175" t="s">
        <v>215</v>
      </c>
      <c r="H175" s="2">
        <v>0</v>
      </c>
      <c r="I175" s="2" t="s">
        <v>113</v>
      </c>
      <c r="J175" s="2">
        <f t="shared" si="144"/>
        <v>6</v>
      </c>
      <c r="K175" s="2">
        <f t="shared" si="157"/>
        <v>1.4000000000000001</v>
      </c>
      <c r="L175" s="2">
        <f t="shared" si="158"/>
        <v>2</v>
      </c>
      <c r="M175" s="2">
        <v>10</v>
      </c>
      <c r="N175" s="2">
        <f t="shared" si="159"/>
        <v>209.07</v>
      </c>
      <c r="O175" s="2">
        <f t="shared" si="160"/>
        <v>20.91</v>
      </c>
      <c r="P175" s="2">
        <f t="shared" si="161"/>
        <v>1371.43</v>
      </c>
      <c r="Q175" s="2">
        <f t="shared" si="162"/>
        <v>137.13999999999999</v>
      </c>
      <c r="R175" s="2">
        <f t="shared" si="163"/>
        <v>26.13</v>
      </c>
      <c r="S175" s="2">
        <f t="shared" si="164"/>
        <v>2.61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11">
        <v>515022</v>
      </c>
      <c r="Z175" s="12" t="s">
        <v>528</v>
      </c>
      <c r="AA175" s="4">
        <v>1</v>
      </c>
      <c r="AB175" s="4">
        <v>0</v>
      </c>
      <c r="AC175" s="4"/>
      <c r="AD175" s="4">
        <f t="shared" si="145"/>
        <v>7806.9476205224983</v>
      </c>
      <c r="AF175" s="1" t="str">
        <f t="shared" si="147"/>
        <v>2</v>
      </c>
      <c r="AG175">
        <v>7</v>
      </c>
      <c r="AH175">
        <f t="shared" si="149"/>
        <v>209.06666666666663</v>
      </c>
      <c r="AI175">
        <f t="shared" si="150"/>
        <v>20.906666666666666</v>
      </c>
      <c r="AJ175">
        <f t="shared" si="151"/>
        <v>1371.4285714285716</v>
      </c>
      <c r="AK175">
        <f t="shared" si="152"/>
        <v>137.14285714285717</v>
      </c>
      <c r="AL175">
        <f t="shared" si="153"/>
        <v>26.133333333333329</v>
      </c>
      <c r="AM175">
        <f t="shared" si="165"/>
        <v>2.6133333333333333</v>
      </c>
      <c r="AN175">
        <f t="shared" si="154"/>
        <v>1.4</v>
      </c>
      <c r="AO175">
        <f t="shared" si="155"/>
        <v>2</v>
      </c>
      <c r="AP175">
        <f t="shared" si="156"/>
        <v>6</v>
      </c>
      <c r="AQ175">
        <v>502</v>
      </c>
      <c r="AR175">
        <v>5</v>
      </c>
      <c r="BO175" t="s">
        <v>165</v>
      </c>
      <c r="BP175" t="str">
        <f t="shared" si="146"/>
        <v>2</v>
      </c>
    </row>
    <row r="176" spans="1:68" x14ac:dyDescent="0.15">
      <c r="A176">
        <f t="shared" si="148"/>
        <v>5601071</v>
      </c>
      <c r="B176" t="s">
        <v>412</v>
      </c>
      <c r="C176">
        <v>7</v>
      </c>
      <c r="D176">
        <v>6</v>
      </c>
      <c r="E176">
        <v>1</v>
      </c>
      <c r="F176" t="s">
        <v>216</v>
      </c>
      <c r="G176" t="s">
        <v>216</v>
      </c>
      <c r="H176">
        <v>0</v>
      </c>
      <c r="I176" s="2" t="s">
        <v>116</v>
      </c>
      <c r="J176" s="2">
        <f t="shared" si="144"/>
        <v>6</v>
      </c>
      <c r="K176" s="2">
        <f t="shared" si="157"/>
        <v>1.5</v>
      </c>
      <c r="L176" s="2">
        <f t="shared" si="158"/>
        <v>2</v>
      </c>
      <c r="M176" s="2">
        <v>10</v>
      </c>
      <c r="N176" s="2">
        <f t="shared" si="159"/>
        <v>248</v>
      </c>
      <c r="O176" s="2">
        <f t="shared" si="160"/>
        <v>24.8</v>
      </c>
      <c r="P176" s="2">
        <f t="shared" si="161"/>
        <v>1238.71</v>
      </c>
      <c r="Q176" s="2">
        <f t="shared" si="162"/>
        <v>123.87</v>
      </c>
      <c r="R176" s="2">
        <f t="shared" si="163"/>
        <v>24.8</v>
      </c>
      <c r="S176" s="2">
        <f t="shared" si="164"/>
        <v>2.48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11">
        <v>516012</v>
      </c>
      <c r="Z176" s="12" t="s">
        <v>529</v>
      </c>
      <c r="AA176" s="4">
        <v>1</v>
      </c>
      <c r="AB176" s="4">
        <v>0</v>
      </c>
      <c r="AC176" s="4"/>
      <c r="AD176" s="4">
        <f t="shared" si="145"/>
        <v>7805.8967447999976</v>
      </c>
      <c r="AF176" s="1" t="str">
        <f t="shared" si="147"/>
        <v>1</v>
      </c>
      <c r="AG176">
        <v>7</v>
      </c>
      <c r="AH176">
        <f t="shared" si="149"/>
        <v>248</v>
      </c>
      <c r="AI176">
        <f t="shared" si="150"/>
        <v>24.8</v>
      </c>
      <c r="AJ176">
        <f t="shared" si="151"/>
        <v>1238.7096774193549</v>
      </c>
      <c r="AK176">
        <f t="shared" si="152"/>
        <v>123.87096774193549</v>
      </c>
      <c r="AL176">
        <f t="shared" si="153"/>
        <v>24.8</v>
      </c>
      <c r="AM176">
        <f t="shared" si="165"/>
        <v>2.4800000000000004</v>
      </c>
      <c r="AN176">
        <f t="shared" si="154"/>
        <v>1.5</v>
      </c>
      <c r="AO176">
        <f t="shared" si="155"/>
        <v>2</v>
      </c>
      <c r="AP176">
        <f t="shared" si="156"/>
        <v>6</v>
      </c>
      <c r="AQ176">
        <v>601</v>
      </c>
      <c r="AR176">
        <v>5</v>
      </c>
      <c r="BO176" t="s">
        <v>167</v>
      </c>
      <c r="BP176" t="str">
        <f t="shared" si="146"/>
        <v>1</v>
      </c>
    </row>
    <row r="177" spans="1:68" x14ac:dyDescent="0.15">
      <c r="A177">
        <f t="shared" si="148"/>
        <v>5200072</v>
      </c>
      <c r="B177" t="s">
        <v>160</v>
      </c>
      <c r="C177">
        <v>7</v>
      </c>
      <c r="D177">
        <v>2</v>
      </c>
      <c r="E177">
        <v>2</v>
      </c>
      <c r="F177" t="s">
        <v>217</v>
      </c>
      <c r="G177" t="s">
        <v>217</v>
      </c>
      <c r="H177">
        <v>0</v>
      </c>
      <c r="I177" s="28" t="s">
        <v>715</v>
      </c>
      <c r="J177" s="2">
        <f t="shared" si="144"/>
        <v>3</v>
      </c>
      <c r="K177" s="2">
        <f t="shared" si="157"/>
        <v>1.5</v>
      </c>
      <c r="L177" s="2">
        <f t="shared" si="158"/>
        <v>1.2</v>
      </c>
      <c r="M177" s="2">
        <v>10</v>
      </c>
      <c r="N177" s="2">
        <f t="shared" si="159"/>
        <v>160</v>
      </c>
      <c r="O177" s="2">
        <f t="shared" si="160"/>
        <v>16</v>
      </c>
      <c r="P177" s="2">
        <f t="shared" si="161"/>
        <v>1920</v>
      </c>
      <c r="Q177" s="2">
        <f t="shared" si="162"/>
        <v>192</v>
      </c>
      <c r="R177" s="2">
        <f t="shared" si="163"/>
        <v>40</v>
      </c>
      <c r="S177" s="2">
        <f t="shared" si="164"/>
        <v>4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11">
        <v>522002</v>
      </c>
      <c r="Z177" s="12" t="s">
        <v>530</v>
      </c>
      <c r="AA177" s="4">
        <v>1</v>
      </c>
      <c r="AB177" s="4">
        <v>0</v>
      </c>
      <c r="AC177" s="4"/>
      <c r="AD177" s="4">
        <f t="shared" si="145"/>
        <v>7805.9520000000002</v>
      </c>
      <c r="AF177" s="1" t="str">
        <f t="shared" si="147"/>
        <v>0</v>
      </c>
      <c r="AG177">
        <v>7</v>
      </c>
      <c r="AH177">
        <f t="shared" si="149"/>
        <v>160</v>
      </c>
      <c r="AI177">
        <f t="shared" si="150"/>
        <v>16</v>
      </c>
      <c r="AJ177">
        <f t="shared" si="151"/>
        <v>1920</v>
      </c>
      <c r="AK177">
        <f t="shared" si="152"/>
        <v>192</v>
      </c>
      <c r="AL177">
        <f t="shared" si="153"/>
        <v>40</v>
      </c>
      <c r="AM177">
        <f t="shared" si="165"/>
        <v>4</v>
      </c>
      <c r="AN177">
        <f t="shared" si="154"/>
        <v>1.5</v>
      </c>
      <c r="AO177">
        <f t="shared" si="155"/>
        <v>1.2</v>
      </c>
      <c r="AP177">
        <f t="shared" si="156"/>
        <v>3</v>
      </c>
      <c r="AQ177">
        <v>200</v>
      </c>
      <c r="AR177">
        <v>5</v>
      </c>
      <c r="BO177" t="s">
        <v>176</v>
      </c>
      <c r="BP177" t="str">
        <f t="shared" si="146"/>
        <v>2</v>
      </c>
    </row>
    <row r="178" spans="1:68" x14ac:dyDescent="0.15">
      <c r="A178">
        <f t="shared" si="148"/>
        <v>5201072</v>
      </c>
      <c r="B178" t="s">
        <v>407</v>
      </c>
      <c r="C178">
        <v>7</v>
      </c>
      <c r="D178">
        <v>2</v>
      </c>
      <c r="E178">
        <v>2</v>
      </c>
      <c r="F178" t="s">
        <v>218</v>
      </c>
      <c r="G178" t="s">
        <v>218</v>
      </c>
      <c r="H178">
        <v>0</v>
      </c>
      <c r="I178" s="28" t="s">
        <v>722</v>
      </c>
      <c r="J178" s="2">
        <f t="shared" si="144"/>
        <v>3</v>
      </c>
      <c r="K178" s="2">
        <f t="shared" si="157"/>
        <v>1.8</v>
      </c>
      <c r="L178" s="2">
        <f t="shared" si="158"/>
        <v>1.8</v>
      </c>
      <c r="M178" s="2">
        <v>10</v>
      </c>
      <c r="N178" s="2">
        <f t="shared" si="159"/>
        <v>153.6</v>
      </c>
      <c r="O178" s="2">
        <f t="shared" si="160"/>
        <v>15.36</v>
      </c>
      <c r="P178" s="2">
        <f t="shared" si="161"/>
        <v>2400</v>
      </c>
      <c r="Q178" s="2">
        <f t="shared" si="162"/>
        <v>240</v>
      </c>
      <c r="R178" s="2">
        <f t="shared" si="163"/>
        <v>51.2</v>
      </c>
      <c r="S178" s="2">
        <f t="shared" si="164"/>
        <v>5.12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11">
        <v>522012</v>
      </c>
      <c r="Z178" s="12" t="s">
        <v>531</v>
      </c>
      <c r="AA178" s="4">
        <v>1</v>
      </c>
      <c r="AB178" s="4">
        <v>0</v>
      </c>
      <c r="AC178" s="4"/>
      <c r="AD178" s="4">
        <f t="shared" si="145"/>
        <v>7805.9520000000002</v>
      </c>
      <c r="AF178" s="1" t="str">
        <f t="shared" si="147"/>
        <v>1</v>
      </c>
      <c r="AG178">
        <v>7</v>
      </c>
      <c r="AH178">
        <f t="shared" si="149"/>
        <v>153.60000000000002</v>
      </c>
      <c r="AI178">
        <f t="shared" si="150"/>
        <v>15.360000000000003</v>
      </c>
      <c r="AJ178">
        <f t="shared" si="151"/>
        <v>2400</v>
      </c>
      <c r="AK178">
        <f t="shared" si="152"/>
        <v>240</v>
      </c>
      <c r="AL178">
        <f t="shared" si="153"/>
        <v>51.20000000000001</v>
      </c>
      <c r="AM178">
        <f t="shared" si="165"/>
        <v>5.120000000000001</v>
      </c>
      <c r="AN178">
        <f t="shared" si="154"/>
        <v>1.8</v>
      </c>
      <c r="AO178">
        <f t="shared" si="155"/>
        <v>1.8</v>
      </c>
      <c r="AP178">
        <f t="shared" si="156"/>
        <v>3</v>
      </c>
      <c r="AQ178">
        <v>201</v>
      </c>
      <c r="AR178">
        <v>5</v>
      </c>
      <c r="BO178" t="s">
        <v>159</v>
      </c>
      <c r="BP178" t="str">
        <f t="shared" si="146"/>
        <v>1</v>
      </c>
    </row>
    <row r="179" spans="1:68" x14ac:dyDescent="0.15">
      <c r="A179">
        <f t="shared" si="148"/>
        <v>5202072</v>
      </c>
      <c r="B179" t="s">
        <v>408</v>
      </c>
      <c r="C179">
        <v>7</v>
      </c>
      <c r="D179">
        <v>2</v>
      </c>
      <c r="E179">
        <v>2</v>
      </c>
      <c r="F179" t="s">
        <v>219</v>
      </c>
      <c r="G179" t="s">
        <v>219</v>
      </c>
      <c r="H179" s="2">
        <v>0</v>
      </c>
      <c r="I179" s="2" t="s">
        <v>96</v>
      </c>
      <c r="J179" s="2">
        <f t="shared" si="144"/>
        <v>3</v>
      </c>
      <c r="K179" s="2">
        <f t="shared" si="157"/>
        <v>1.8</v>
      </c>
      <c r="L179" s="2">
        <f t="shared" si="158"/>
        <v>2</v>
      </c>
      <c r="M179" s="2">
        <v>10</v>
      </c>
      <c r="N179" s="2">
        <f t="shared" si="159"/>
        <v>172.8</v>
      </c>
      <c r="O179" s="2">
        <f t="shared" si="160"/>
        <v>17.28</v>
      </c>
      <c r="P179" s="2">
        <f t="shared" si="161"/>
        <v>2133.33</v>
      </c>
      <c r="Q179" s="2">
        <f t="shared" si="162"/>
        <v>213.33</v>
      </c>
      <c r="R179" s="2">
        <f t="shared" si="163"/>
        <v>34.56</v>
      </c>
      <c r="S179" s="2">
        <f t="shared" si="164"/>
        <v>3.46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11">
        <v>522022</v>
      </c>
      <c r="Z179" s="12" t="s">
        <v>532</v>
      </c>
      <c r="AA179" s="4">
        <v>1</v>
      </c>
      <c r="AB179" s="4">
        <v>0</v>
      </c>
      <c r="AC179" s="4"/>
      <c r="AD179" s="4">
        <f t="shared" si="145"/>
        <v>7805.8400111999999</v>
      </c>
      <c r="AF179" s="1" t="str">
        <f t="shared" si="147"/>
        <v>2</v>
      </c>
      <c r="AG179">
        <v>7</v>
      </c>
      <c r="AH179">
        <f t="shared" si="149"/>
        <v>172.8</v>
      </c>
      <c r="AI179">
        <f t="shared" si="150"/>
        <v>17.28</v>
      </c>
      <c r="AJ179">
        <f t="shared" si="151"/>
        <v>2133.3333333333335</v>
      </c>
      <c r="AK179">
        <f t="shared" si="152"/>
        <v>213.33333333333337</v>
      </c>
      <c r="AL179">
        <f t="shared" si="153"/>
        <v>34.56</v>
      </c>
      <c r="AM179">
        <f t="shared" si="165"/>
        <v>3.4560000000000004</v>
      </c>
      <c r="AN179">
        <f t="shared" si="154"/>
        <v>1.8</v>
      </c>
      <c r="AO179">
        <f t="shared" si="155"/>
        <v>2</v>
      </c>
      <c r="AP179">
        <f t="shared" si="156"/>
        <v>3</v>
      </c>
      <c r="AQ179">
        <v>202</v>
      </c>
      <c r="AR179">
        <v>5</v>
      </c>
      <c r="BO179" t="s">
        <v>178</v>
      </c>
      <c r="BP179" t="str">
        <f t="shared" si="146"/>
        <v>2</v>
      </c>
    </row>
    <row r="180" spans="1:68" x14ac:dyDescent="0.15">
      <c r="A180">
        <f t="shared" si="148"/>
        <v>5301072</v>
      </c>
      <c r="B180" t="s">
        <v>409</v>
      </c>
      <c r="C180">
        <v>7</v>
      </c>
      <c r="D180">
        <v>3</v>
      </c>
      <c r="E180">
        <v>2</v>
      </c>
      <c r="F180" t="s">
        <v>220</v>
      </c>
      <c r="G180" t="s">
        <v>220</v>
      </c>
      <c r="H180">
        <v>0</v>
      </c>
      <c r="I180" s="2" t="s">
        <v>100</v>
      </c>
      <c r="J180" s="2">
        <f t="shared" si="144"/>
        <v>3</v>
      </c>
      <c r="K180" s="2">
        <f t="shared" si="157"/>
        <v>1.2</v>
      </c>
      <c r="L180" s="2">
        <f t="shared" si="158"/>
        <v>2</v>
      </c>
      <c r="M180" s="2">
        <v>10</v>
      </c>
      <c r="N180" s="2">
        <f t="shared" si="159"/>
        <v>115.2</v>
      </c>
      <c r="O180" s="2">
        <f t="shared" si="160"/>
        <v>11.52</v>
      </c>
      <c r="P180" s="2">
        <f t="shared" si="161"/>
        <v>2133.33</v>
      </c>
      <c r="Q180" s="2">
        <f t="shared" si="162"/>
        <v>213.33</v>
      </c>
      <c r="R180" s="2">
        <f t="shared" si="163"/>
        <v>23.04</v>
      </c>
      <c r="S180" s="2">
        <f t="shared" si="164"/>
        <v>2.2999999999999998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11">
        <v>523012</v>
      </c>
      <c r="Z180" s="12" t="s">
        <v>533</v>
      </c>
      <c r="AA180" s="4">
        <v>1</v>
      </c>
      <c r="AB180" s="4">
        <v>0</v>
      </c>
      <c r="AC180" s="4"/>
      <c r="AD180" s="4">
        <f t="shared" si="145"/>
        <v>7805.8400112000008</v>
      </c>
      <c r="AF180" s="1" t="str">
        <f t="shared" si="147"/>
        <v>1</v>
      </c>
      <c r="AG180">
        <v>7</v>
      </c>
      <c r="AH180">
        <f t="shared" si="149"/>
        <v>115.20000000000002</v>
      </c>
      <c r="AI180">
        <f t="shared" si="150"/>
        <v>11.520000000000003</v>
      </c>
      <c r="AJ180">
        <f t="shared" si="151"/>
        <v>2133.3333333333335</v>
      </c>
      <c r="AK180">
        <f t="shared" si="152"/>
        <v>213.33333333333337</v>
      </c>
      <c r="AL180">
        <f t="shared" si="153"/>
        <v>23.040000000000003</v>
      </c>
      <c r="AM180">
        <f t="shared" si="165"/>
        <v>2.3040000000000003</v>
      </c>
      <c r="AN180">
        <f t="shared" si="154"/>
        <v>1.2</v>
      </c>
      <c r="AO180">
        <f t="shared" si="155"/>
        <v>2</v>
      </c>
      <c r="AP180">
        <f t="shared" si="156"/>
        <v>3</v>
      </c>
      <c r="AQ180">
        <v>301</v>
      </c>
      <c r="AR180">
        <v>5</v>
      </c>
      <c r="BO180" t="s">
        <v>188</v>
      </c>
      <c r="BP180" t="str">
        <f t="shared" si="146"/>
        <v>0</v>
      </c>
    </row>
    <row r="181" spans="1:68" x14ac:dyDescent="0.15">
      <c r="A181">
        <f t="shared" si="148"/>
        <v>5401072</v>
      </c>
      <c r="B181" t="s">
        <v>410</v>
      </c>
      <c r="C181">
        <v>7</v>
      </c>
      <c r="D181">
        <v>4</v>
      </c>
      <c r="E181">
        <v>2</v>
      </c>
      <c r="F181" t="s">
        <v>221</v>
      </c>
      <c r="G181" t="s">
        <v>221</v>
      </c>
      <c r="H181" s="2">
        <v>0</v>
      </c>
      <c r="I181" s="28" t="s">
        <v>716</v>
      </c>
      <c r="J181" s="2">
        <f t="shared" si="144"/>
        <v>6</v>
      </c>
      <c r="K181" s="2">
        <f t="shared" si="157"/>
        <v>1.6</v>
      </c>
      <c r="L181" s="2">
        <f t="shared" si="158"/>
        <v>2</v>
      </c>
      <c r="M181" s="2">
        <v>10</v>
      </c>
      <c r="N181" s="2">
        <f t="shared" si="159"/>
        <v>204.8</v>
      </c>
      <c r="O181" s="2">
        <f t="shared" si="160"/>
        <v>20.48</v>
      </c>
      <c r="P181" s="2">
        <f t="shared" si="161"/>
        <v>1600</v>
      </c>
      <c r="Q181" s="2">
        <f t="shared" si="162"/>
        <v>160</v>
      </c>
      <c r="R181" s="2">
        <f t="shared" si="163"/>
        <v>29.26</v>
      </c>
      <c r="S181" s="2">
        <f t="shared" si="164"/>
        <v>2.93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11">
        <v>524012</v>
      </c>
      <c r="Z181" s="12" t="s">
        <v>534</v>
      </c>
      <c r="AA181" s="4">
        <v>1</v>
      </c>
      <c r="AB181" s="4">
        <v>0</v>
      </c>
      <c r="AC181" s="4"/>
      <c r="AD181" s="4">
        <f t="shared" si="145"/>
        <v>7805.9520000000002</v>
      </c>
      <c r="AF181" s="1" t="str">
        <f t="shared" si="147"/>
        <v>1</v>
      </c>
      <c r="AG181">
        <v>7</v>
      </c>
      <c r="AH181">
        <f t="shared" si="149"/>
        <v>204.8</v>
      </c>
      <c r="AI181">
        <f t="shared" si="150"/>
        <v>20.480000000000004</v>
      </c>
      <c r="AJ181">
        <f t="shared" si="151"/>
        <v>1600</v>
      </c>
      <c r="AK181">
        <f t="shared" si="152"/>
        <v>160</v>
      </c>
      <c r="AL181">
        <f t="shared" si="153"/>
        <v>29.25714285714286</v>
      </c>
      <c r="AM181">
        <f t="shared" si="165"/>
        <v>2.9257142857142862</v>
      </c>
      <c r="AN181">
        <f t="shared" si="154"/>
        <v>1.6</v>
      </c>
      <c r="AO181">
        <f t="shared" si="155"/>
        <v>2</v>
      </c>
      <c r="AP181">
        <f t="shared" si="156"/>
        <v>6</v>
      </c>
      <c r="AQ181">
        <v>401</v>
      </c>
      <c r="AR181">
        <v>5</v>
      </c>
      <c r="BO181" t="s">
        <v>171</v>
      </c>
      <c r="BP181" t="str">
        <f t="shared" si="146"/>
        <v>1</v>
      </c>
    </row>
    <row r="182" spans="1:68" x14ac:dyDescent="0.15">
      <c r="A182">
        <f t="shared" si="148"/>
        <v>5402072</v>
      </c>
      <c r="B182" t="s">
        <v>102</v>
      </c>
      <c r="C182">
        <v>7</v>
      </c>
      <c r="D182">
        <v>4</v>
      </c>
      <c r="E182">
        <v>2</v>
      </c>
      <c r="F182" t="s">
        <v>222</v>
      </c>
      <c r="G182" t="s">
        <v>222</v>
      </c>
      <c r="H182">
        <v>0</v>
      </c>
      <c r="I182" s="2" t="s">
        <v>106</v>
      </c>
      <c r="J182" s="2">
        <f t="shared" si="144"/>
        <v>6</v>
      </c>
      <c r="K182" s="2">
        <f t="shared" si="157"/>
        <v>1.5</v>
      </c>
      <c r="L182" s="2">
        <f t="shared" si="158"/>
        <v>1.5</v>
      </c>
      <c r="M182" s="2">
        <v>10</v>
      </c>
      <c r="N182" s="2">
        <f t="shared" si="159"/>
        <v>192</v>
      </c>
      <c r="O182" s="2">
        <f t="shared" si="160"/>
        <v>19.2</v>
      </c>
      <c r="P182" s="2">
        <f t="shared" si="161"/>
        <v>1600</v>
      </c>
      <c r="Q182" s="2">
        <f t="shared" si="162"/>
        <v>160</v>
      </c>
      <c r="R182" s="2">
        <f t="shared" si="163"/>
        <v>27.43</v>
      </c>
      <c r="S182" s="2">
        <f t="shared" si="164"/>
        <v>2.74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11">
        <v>524022</v>
      </c>
      <c r="Z182" s="12" t="s">
        <v>535</v>
      </c>
      <c r="AA182" s="4">
        <v>1</v>
      </c>
      <c r="AB182" s="4">
        <v>0</v>
      </c>
      <c r="AC182" s="4"/>
      <c r="AD182" s="4">
        <f t="shared" si="145"/>
        <v>7805.9520000000002</v>
      </c>
      <c r="AF182" s="1" t="str">
        <f t="shared" si="147"/>
        <v>2</v>
      </c>
      <c r="AG182">
        <v>7</v>
      </c>
      <c r="AH182">
        <f t="shared" si="149"/>
        <v>192</v>
      </c>
      <c r="AI182">
        <f t="shared" si="150"/>
        <v>19.200000000000003</v>
      </c>
      <c r="AJ182">
        <f t="shared" si="151"/>
        <v>1600</v>
      </c>
      <c r="AK182">
        <f t="shared" si="152"/>
        <v>160</v>
      </c>
      <c r="AL182">
        <f t="shared" si="153"/>
        <v>27.428571428571427</v>
      </c>
      <c r="AM182">
        <f t="shared" si="165"/>
        <v>2.7428571428571429</v>
      </c>
      <c r="AN182">
        <f t="shared" si="154"/>
        <v>1.5</v>
      </c>
      <c r="AO182">
        <f t="shared" si="155"/>
        <v>1.5</v>
      </c>
      <c r="AP182">
        <f t="shared" si="156"/>
        <v>6</v>
      </c>
      <c r="AQ182">
        <v>402</v>
      </c>
      <c r="AR182">
        <v>5</v>
      </c>
      <c r="BO182" t="s">
        <v>136</v>
      </c>
      <c r="BP182" t="str">
        <f t="shared" si="146"/>
        <v>1</v>
      </c>
    </row>
    <row r="183" spans="1:68" x14ac:dyDescent="0.15">
      <c r="A183">
        <f t="shared" si="148"/>
        <v>5500072</v>
      </c>
      <c r="B183" t="s">
        <v>411</v>
      </c>
      <c r="C183">
        <v>7</v>
      </c>
      <c r="D183">
        <v>5</v>
      </c>
      <c r="E183">
        <v>2</v>
      </c>
      <c r="F183" t="s">
        <v>223</v>
      </c>
      <c r="G183" t="s">
        <v>223</v>
      </c>
      <c r="H183" s="2">
        <v>0</v>
      </c>
      <c r="I183" s="2" t="s">
        <v>109</v>
      </c>
      <c r="J183" s="2">
        <f t="shared" si="144"/>
        <v>6</v>
      </c>
      <c r="K183" s="2">
        <f t="shared" si="157"/>
        <v>1.5</v>
      </c>
      <c r="L183" s="2">
        <f t="shared" si="158"/>
        <v>1.5</v>
      </c>
      <c r="M183" s="2">
        <v>10</v>
      </c>
      <c r="N183" s="2">
        <f t="shared" si="159"/>
        <v>224</v>
      </c>
      <c r="O183" s="2">
        <f t="shared" si="160"/>
        <v>22.4</v>
      </c>
      <c r="P183" s="2">
        <f t="shared" si="161"/>
        <v>1371.43</v>
      </c>
      <c r="Q183" s="2">
        <f t="shared" si="162"/>
        <v>137.13999999999999</v>
      </c>
      <c r="R183" s="2">
        <f t="shared" si="163"/>
        <v>28</v>
      </c>
      <c r="S183" s="2">
        <f t="shared" si="164"/>
        <v>2.8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11">
        <v>525002</v>
      </c>
      <c r="Z183" s="12" t="s">
        <v>536</v>
      </c>
      <c r="AA183" s="4">
        <v>1</v>
      </c>
      <c r="AB183" s="4">
        <v>0</v>
      </c>
      <c r="AC183" s="4"/>
      <c r="AD183" s="4">
        <f t="shared" si="145"/>
        <v>7805.8048991999985</v>
      </c>
      <c r="AF183" s="1" t="str">
        <f t="shared" si="147"/>
        <v>0</v>
      </c>
      <c r="AG183">
        <v>7</v>
      </c>
      <c r="AH183">
        <f t="shared" si="149"/>
        <v>223.99999999999994</v>
      </c>
      <c r="AI183">
        <f t="shared" si="150"/>
        <v>22.399999999999995</v>
      </c>
      <c r="AJ183">
        <f t="shared" si="151"/>
        <v>1371.4285714285716</v>
      </c>
      <c r="AK183">
        <f t="shared" si="152"/>
        <v>137.14285714285717</v>
      </c>
      <c r="AL183">
        <f t="shared" si="153"/>
        <v>27.999999999999993</v>
      </c>
      <c r="AM183">
        <f t="shared" si="165"/>
        <v>2.7999999999999994</v>
      </c>
      <c r="AN183">
        <f t="shared" si="154"/>
        <v>1.5</v>
      </c>
      <c r="AO183">
        <f t="shared" si="155"/>
        <v>1.5</v>
      </c>
      <c r="AP183">
        <f t="shared" si="156"/>
        <v>6</v>
      </c>
      <c r="AQ183">
        <v>500</v>
      </c>
      <c r="AR183">
        <v>5</v>
      </c>
      <c r="BO183" t="s">
        <v>182</v>
      </c>
      <c r="BP183" t="str">
        <f t="shared" si="146"/>
        <v>2</v>
      </c>
    </row>
    <row r="184" spans="1:68" x14ac:dyDescent="0.15">
      <c r="A184">
        <f t="shared" si="148"/>
        <v>5502072</v>
      </c>
      <c r="B184" t="s">
        <v>115</v>
      </c>
      <c r="C184">
        <v>7</v>
      </c>
      <c r="D184">
        <v>5</v>
      </c>
      <c r="E184">
        <v>2</v>
      </c>
      <c r="F184" t="s">
        <v>224</v>
      </c>
      <c r="G184" t="s">
        <v>224</v>
      </c>
      <c r="H184" s="2">
        <v>0</v>
      </c>
      <c r="I184" s="2" t="s">
        <v>113</v>
      </c>
      <c r="J184" s="2">
        <f t="shared" si="144"/>
        <v>6</v>
      </c>
      <c r="K184" s="2">
        <f t="shared" si="157"/>
        <v>1.4000000000000001</v>
      </c>
      <c r="L184" s="2">
        <f t="shared" si="158"/>
        <v>2</v>
      </c>
      <c r="M184" s="2">
        <v>10</v>
      </c>
      <c r="N184" s="2">
        <f t="shared" si="159"/>
        <v>209.07</v>
      </c>
      <c r="O184" s="2">
        <f t="shared" si="160"/>
        <v>20.91</v>
      </c>
      <c r="P184" s="2">
        <f t="shared" si="161"/>
        <v>1371.43</v>
      </c>
      <c r="Q184" s="2">
        <f t="shared" si="162"/>
        <v>137.13999999999999</v>
      </c>
      <c r="R184" s="2">
        <f t="shared" si="163"/>
        <v>26.13</v>
      </c>
      <c r="S184" s="2">
        <f t="shared" si="164"/>
        <v>2.61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11">
        <v>525022</v>
      </c>
      <c r="Z184" s="12" t="s">
        <v>537</v>
      </c>
      <c r="AA184" s="4">
        <v>1</v>
      </c>
      <c r="AB184" s="4">
        <v>0</v>
      </c>
      <c r="AC184" s="4"/>
      <c r="AD184" s="4">
        <f t="shared" si="145"/>
        <v>7806.9476205224983</v>
      </c>
      <c r="AF184" s="1" t="str">
        <f t="shared" si="147"/>
        <v>2</v>
      </c>
      <c r="AG184">
        <v>7</v>
      </c>
      <c r="AH184">
        <f t="shared" si="149"/>
        <v>209.06666666666663</v>
      </c>
      <c r="AI184">
        <f t="shared" si="150"/>
        <v>20.906666666666666</v>
      </c>
      <c r="AJ184">
        <f t="shared" si="151"/>
        <v>1371.4285714285716</v>
      </c>
      <c r="AK184">
        <f t="shared" si="152"/>
        <v>137.14285714285717</v>
      </c>
      <c r="AL184">
        <f t="shared" si="153"/>
        <v>26.133333333333329</v>
      </c>
      <c r="AM184">
        <f t="shared" si="165"/>
        <v>2.6133333333333333</v>
      </c>
      <c r="AN184">
        <f t="shared" si="154"/>
        <v>1.4</v>
      </c>
      <c r="AO184">
        <f t="shared" si="155"/>
        <v>2</v>
      </c>
      <c r="AP184">
        <f t="shared" si="156"/>
        <v>6</v>
      </c>
      <c r="AQ184">
        <v>502</v>
      </c>
      <c r="AR184">
        <v>5</v>
      </c>
      <c r="BO184" t="s">
        <v>184</v>
      </c>
      <c r="BP184" t="str">
        <f t="shared" si="146"/>
        <v>0</v>
      </c>
    </row>
    <row r="185" spans="1:68" x14ac:dyDescent="0.15">
      <c r="A185">
        <f t="shared" si="148"/>
        <v>5601072</v>
      </c>
      <c r="B185" t="s">
        <v>412</v>
      </c>
      <c r="C185">
        <v>7</v>
      </c>
      <c r="D185">
        <v>6</v>
      </c>
      <c r="E185">
        <v>2</v>
      </c>
      <c r="F185" t="s">
        <v>225</v>
      </c>
      <c r="G185" t="s">
        <v>225</v>
      </c>
      <c r="H185" s="2">
        <v>0</v>
      </c>
      <c r="I185" s="2" t="s">
        <v>116</v>
      </c>
      <c r="J185" s="2">
        <f t="shared" si="144"/>
        <v>6</v>
      </c>
      <c r="K185" s="2">
        <f t="shared" si="157"/>
        <v>1.5</v>
      </c>
      <c r="L185" s="2">
        <f t="shared" si="158"/>
        <v>2</v>
      </c>
      <c r="M185" s="2">
        <v>10</v>
      </c>
      <c r="N185" s="2">
        <f t="shared" si="159"/>
        <v>248</v>
      </c>
      <c r="O185" s="2">
        <f t="shared" si="160"/>
        <v>24.8</v>
      </c>
      <c r="P185" s="2">
        <f t="shared" si="161"/>
        <v>1238.71</v>
      </c>
      <c r="Q185" s="2">
        <f t="shared" si="162"/>
        <v>123.87</v>
      </c>
      <c r="R185" s="2">
        <f t="shared" si="163"/>
        <v>24.8</v>
      </c>
      <c r="S185" s="2">
        <f t="shared" si="164"/>
        <v>2.48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11">
        <v>526012</v>
      </c>
      <c r="Z185" s="12" t="s">
        <v>538</v>
      </c>
      <c r="AA185" s="4">
        <v>1</v>
      </c>
      <c r="AB185" s="4">
        <v>0</v>
      </c>
      <c r="AC185" s="4"/>
      <c r="AD185" s="4">
        <f t="shared" si="145"/>
        <v>7805.8967447999976</v>
      </c>
      <c r="AF185" s="1" t="str">
        <f t="shared" si="147"/>
        <v>1</v>
      </c>
      <c r="AG185">
        <v>7</v>
      </c>
      <c r="AH185">
        <f t="shared" si="149"/>
        <v>248</v>
      </c>
      <c r="AI185">
        <f t="shared" si="150"/>
        <v>24.8</v>
      </c>
      <c r="AJ185">
        <f t="shared" si="151"/>
        <v>1238.7096774193549</v>
      </c>
      <c r="AK185">
        <f t="shared" si="152"/>
        <v>123.87096774193549</v>
      </c>
      <c r="AL185">
        <f t="shared" si="153"/>
        <v>24.8</v>
      </c>
      <c r="AM185">
        <f t="shared" si="165"/>
        <v>2.4800000000000004</v>
      </c>
      <c r="AN185">
        <f t="shared" si="154"/>
        <v>1.5</v>
      </c>
      <c r="AO185">
        <f t="shared" si="155"/>
        <v>2</v>
      </c>
      <c r="AP185">
        <f t="shared" si="156"/>
        <v>6</v>
      </c>
      <c r="AQ185">
        <v>601</v>
      </c>
      <c r="AR185">
        <v>5</v>
      </c>
      <c r="BO185" t="s">
        <v>165</v>
      </c>
      <c r="BP185" t="str">
        <f t="shared" si="146"/>
        <v>2</v>
      </c>
    </row>
    <row r="186" spans="1:68" x14ac:dyDescent="0.15">
      <c r="A186">
        <f t="shared" si="148"/>
        <v>5200073</v>
      </c>
      <c r="B186" t="s">
        <v>160</v>
      </c>
      <c r="C186">
        <v>7</v>
      </c>
      <c r="D186">
        <v>2</v>
      </c>
      <c r="E186">
        <v>3</v>
      </c>
      <c r="F186" t="s">
        <v>226</v>
      </c>
      <c r="G186" t="s">
        <v>226</v>
      </c>
      <c r="H186">
        <v>0</v>
      </c>
      <c r="I186" s="2" t="s">
        <v>78</v>
      </c>
      <c r="J186" s="2">
        <f t="shared" si="144"/>
        <v>3</v>
      </c>
      <c r="K186" s="2">
        <f t="shared" si="157"/>
        <v>1.5</v>
      </c>
      <c r="L186" s="2">
        <f t="shared" si="158"/>
        <v>1.2</v>
      </c>
      <c r="M186" s="2">
        <v>10</v>
      </c>
      <c r="N186" s="2">
        <f t="shared" si="159"/>
        <v>160</v>
      </c>
      <c r="O186" s="2">
        <f t="shared" si="160"/>
        <v>16</v>
      </c>
      <c r="P186" s="2">
        <f t="shared" si="161"/>
        <v>1920</v>
      </c>
      <c r="Q186" s="2">
        <f t="shared" si="162"/>
        <v>192</v>
      </c>
      <c r="R186" s="2">
        <f t="shared" si="163"/>
        <v>40</v>
      </c>
      <c r="S186" s="2">
        <f t="shared" si="164"/>
        <v>4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11">
        <v>532002</v>
      </c>
      <c r="Z186" s="12" t="s">
        <v>539</v>
      </c>
      <c r="AA186" s="4">
        <v>1</v>
      </c>
      <c r="AB186" s="4">
        <v>0</v>
      </c>
      <c r="AC186" s="4"/>
      <c r="AD186" s="4">
        <f t="shared" si="145"/>
        <v>7805.9520000000002</v>
      </c>
      <c r="AF186" s="1" t="str">
        <f t="shared" si="147"/>
        <v>0</v>
      </c>
      <c r="AG186">
        <v>7</v>
      </c>
      <c r="AH186">
        <f t="shared" si="149"/>
        <v>160</v>
      </c>
      <c r="AI186">
        <f t="shared" si="150"/>
        <v>16</v>
      </c>
      <c r="AJ186">
        <f t="shared" si="151"/>
        <v>1920</v>
      </c>
      <c r="AK186">
        <f t="shared" si="152"/>
        <v>192</v>
      </c>
      <c r="AL186">
        <f t="shared" si="153"/>
        <v>40</v>
      </c>
      <c r="AM186">
        <f t="shared" si="165"/>
        <v>4</v>
      </c>
      <c r="AN186">
        <f t="shared" si="154"/>
        <v>1.5</v>
      </c>
      <c r="AO186">
        <f t="shared" si="155"/>
        <v>1.2</v>
      </c>
      <c r="AP186">
        <f t="shared" si="156"/>
        <v>3</v>
      </c>
      <c r="AQ186">
        <v>200</v>
      </c>
      <c r="AR186">
        <v>5</v>
      </c>
      <c r="BO186" t="s">
        <v>186</v>
      </c>
      <c r="BP186" t="str">
        <f t="shared" si="146"/>
        <v>0</v>
      </c>
    </row>
    <row r="187" spans="1:68" x14ac:dyDescent="0.15">
      <c r="A187">
        <f t="shared" si="148"/>
        <v>5201073</v>
      </c>
      <c r="B187" t="s">
        <v>407</v>
      </c>
      <c r="C187">
        <v>7</v>
      </c>
      <c r="D187">
        <v>2</v>
      </c>
      <c r="E187">
        <v>3</v>
      </c>
      <c r="F187" t="s">
        <v>227</v>
      </c>
      <c r="G187" t="s">
        <v>227</v>
      </c>
      <c r="H187" s="2">
        <v>0</v>
      </c>
      <c r="I187" s="28" t="s">
        <v>746</v>
      </c>
      <c r="J187" s="2">
        <f t="shared" si="144"/>
        <v>3</v>
      </c>
      <c r="K187" s="2">
        <f t="shared" si="157"/>
        <v>1.8</v>
      </c>
      <c r="L187" s="2">
        <f t="shared" si="158"/>
        <v>1.8</v>
      </c>
      <c r="M187" s="2">
        <v>10</v>
      </c>
      <c r="N187" s="2">
        <f t="shared" si="159"/>
        <v>153.6</v>
      </c>
      <c r="O187" s="2">
        <f t="shared" si="160"/>
        <v>15.36</v>
      </c>
      <c r="P187" s="2">
        <f t="shared" si="161"/>
        <v>2400</v>
      </c>
      <c r="Q187" s="2">
        <f t="shared" si="162"/>
        <v>240</v>
      </c>
      <c r="R187" s="2">
        <f t="shared" si="163"/>
        <v>51.2</v>
      </c>
      <c r="S187" s="2">
        <f t="shared" si="164"/>
        <v>5.12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11">
        <v>532012</v>
      </c>
      <c r="Z187" s="12" t="s">
        <v>540</v>
      </c>
      <c r="AA187" s="4">
        <v>1</v>
      </c>
      <c r="AB187" s="4">
        <v>0</v>
      </c>
      <c r="AC187" s="4"/>
      <c r="AD187" s="4">
        <f t="shared" si="145"/>
        <v>7805.9520000000002</v>
      </c>
      <c r="AF187" s="1" t="str">
        <f t="shared" si="147"/>
        <v>1</v>
      </c>
      <c r="AG187">
        <v>7</v>
      </c>
      <c r="AH187">
        <f t="shared" si="149"/>
        <v>153.60000000000002</v>
      </c>
      <c r="AI187">
        <f t="shared" si="150"/>
        <v>15.360000000000003</v>
      </c>
      <c r="AJ187">
        <f t="shared" si="151"/>
        <v>2400</v>
      </c>
      <c r="AK187">
        <f t="shared" si="152"/>
        <v>240</v>
      </c>
      <c r="AL187">
        <f t="shared" si="153"/>
        <v>51.20000000000001</v>
      </c>
      <c r="AM187">
        <f t="shared" si="165"/>
        <v>5.120000000000001</v>
      </c>
      <c r="AN187">
        <f t="shared" si="154"/>
        <v>1.8</v>
      </c>
      <c r="AO187">
        <f t="shared" si="155"/>
        <v>1.8</v>
      </c>
      <c r="AP187">
        <f t="shared" si="156"/>
        <v>3</v>
      </c>
      <c r="AQ187">
        <v>201</v>
      </c>
      <c r="AR187">
        <v>5</v>
      </c>
      <c r="BO187" t="s">
        <v>176</v>
      </c>
      <c r="BP187" t="str">
        <f t="shared" si="146"/>
        <v>2</v>
      </c>
    </row>
    <row r="188" spans="1:68" x14ac:dyDescent="0.15">
      <c r="A188">
        <f t="shared" si="148"/>
        <v>5202073</v>
      </c>
      <c r="B188" t="s">
        <v>408</v>
      </c>
      <c r="C188">
        <v>7</v>
      </c>
      <c r="D188">
        <v>2</v>
      </c>
      <c r="E188">
        <v>3</v>
      </c>
      <c r="F188" t="s">
        <v>228</v>
      </c>
      <c r="G188" t="s">
        <v>228</v>
      </c>
      <c r="H188">
        <v>0</v>
      </c>
      <c r="I188" s="28" t="s">
        <v>717</v>
      </c>
      <c r="J188" s="2">
        <f t="shared" si="144"/>
        <v>3</v>
      </c>
      <c r="K188" s="2">
        <f t="shared" si="157"/>
        <v>1.8</v>
      </c>
      <c r="L188" s="2">
        <f t="shared" si="158"/>
        <v>2</v>
      </c>
      <c r="M188" s="2">
        <v>10</v>
      </c>
      <c r="N188" s="2">
        <f t="shared" si="159"/>
        <v>172.8</v>
      </c>
      <c r="O188" s="2">
        <f t="shared" si="160"/>
        <v>17.28</v>
      </c>
      <c r="P188" s="2">
        <f t="shared" si="161"/>
        <v>2133.33</v>
      </c>
      <c r="Q188" s="2">
        <f t="shared" si="162"/>
        <v>213.33</v>
      </c>
      <c r="R188" s="2">
        <f t="shared" si="163"/>
        <v>34.56</v>
      </c>
      <c r="S188" s="2">
        <f t="shared" si="164"/>
        <v>3.46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11">
        <v>532022</v>
      </c>
      <c r="Z188" s="12" t="s">
        <v>541</v>
      </c>
      <c r="AA188" s="4">
        <v>1</v>
      </c>
      <c r="AB188" s="4">
        <v>0</v>
      </c>
      <c r="AC188" s="4"/>
      <c r="AD188" s="4">
        <f t="shared" si="145"/>
        <v>7805.8400111999999</v>
      </c>
      <c r="AF188" s="1" t="str">
        <f t="shared" si="147"/>
        <v>2</v>
      </c>
      <c r="AG188">
        <v>7</v>
      </c>
      <c r="AH188">
        <f t="shared" si="149"/>
        <v>172.8</v>
      </c>
      <c r="AI188">
        <f t="shared" si="150"/>
        <v>17.28</v>
      </c>
      <c r="AJ188">
        <f t="shared" si="151"/>
        <v>2133.3333333333335</v>
      </c>
      <c r="AK188">
        <f t="shared" si="152"/>
        <v>213.33333333333337</v>
      </c>
      <c r="AL188">
        <f t="shared" si="153"/>
        <v>34.56</v>
      </c>
      <c r="AM188">
        <f t="shared" si="165"/>
        <v>3.4560000000000004</v>
      </c>
      <c r="AN188">
        <f t="shared" si="154"/>
        <v>1.8</v>
      </c>
      <c r="AO188">
        <f t="shared" si="155"/>
        <v>2</v>
      </c>
      <c r="AP188">
        <f t="shared" si="156"/>
        <v>3</v>
      </c>
      <c r="AQ188">
        <v>202</v>
      </c>
      <c r="AR188">
        <v>5</v>
      </c>
      <c r="BO188" t="s">
        <v>169</v>
      </c>
      <c r="BP188" t="str">
        <f t="shared" si="146"/>
        <v>0</v>
      </c>
    </row>
    <row r="189" spans="1:68" x14ac:dyDescent="0.15">
      <c r="A189">
        <f t="shared" si="148"/>
        <v>5301073</v>
      </c>
      <c r="B189" t="s">
        <v>409</v>
      </c>
      <c r="C189">
        <v>7</v>
      </c>
      <c r="D189">
        <v>3</v>
      </c>
      <c r="E189">
        <v>3</v>
      </c>
      <c r="F189" t="s">
        <v>229</v>
      </c>
      <c r="G189" t="s">
        <v>229</v>
      </c>
      <c r="H189" s="2">
        <v>0</v>
      </c>
      <c r="I189" s="28" t="s">
        <v>717</v>
      </c>
      <c r="J189" s="2">
        <f t="shared" si="144"/>
        <v>3</v>
      </c>
      <c r="K189" s="2">
        <f t="shared" si="157"/>
        <v>1.2</v>
      </c>
      <c r="L189" s="2">
        <f t="shared" si="158"/>
        <v>2</v>
      </c>
      <c r="M189" s="2">
        <v>10</v>
      </c>
      <c r="N189" s="2">
        <f t="shared" si="159"/>
        <v>115.2</v>
      </c>
      <c r="O189" s="2">
        <f t="shared" si="160"/>
        <v>11.52</v>
      </c>
      <c r="P189" s="2">
        <f t="shared" si="161"/>
        <v>2133.33</v>
      </c>
      <c r="Q189" s="2">
        <f t="shared" si="162"/>
        <v>213.33</v>
      </c>
      <c r="R189" s="2">
        <f t="shared" si="163"/>
        <v>23.04</v>
      </c>
      <c r="S189" s="2">
        <f t="shared" si="164"/>
        <v>2.2999999999999998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11">
        <v>533012</v>
      </c>
      <c r="Z189" s="12" t="s">
        <v>542</v>
      </c>
      <c r="AA189" s="4">
        <v>1</v>
      </c>
      <c r="AB189" s="4">
        <v>0</v>
      </c>
      <c r="AC189" s="4"/>
      <c r="AD189" s="4">
        <f t="shared" si="145"/>
        <v>7805.8400112000008</v>
      </c>
      <c r="AF189" s="1" t="str">
        <f t="shared" si="147"/>
        <v>1</v>
      </c>
      <c r="AG189">
        <v>7</v>
      </c>
      <c r="AH189">
        <f t="shared" si="149"/>
        <v>115.20000000000002</v>
      </c>
      <c r="AI189">
        <f t="shared" si="150"/>
        <v>11.520000000000003</v>
      </c>
      <c r="AJ189">
        <f t="shared" si="151"/>
        <v>2133.3333333333335</v>
      </c>
      <c r="AK189">
        <f t="shared" si="152"/>
        <v>213.33333333333337</v>
      </c>
      <c r="AL189">
        <f t="shared" si="153"/>
        <v>23.040000000000003</v>
      </c>
      <c r="AM189">
        <f t="shared" si="165"/>
        <v>2.3040000000000003</v>
      </c>
      <c r="AN189">
        <f t="shared" si="154"/>
        <v>1.2</v>
      </c>
      <c r="AO189">
        <f t="shared" si="155"/>
        <v>2</v>
      </c>
      <c r="AP189">
        <f t="shared" si="156"/>
        <v>3</v>
      </c>
      <c r="AQ189">
        <v>301</v>
      </c>
      <c r="AR189">
        <v>5</v>
      </c>
      <c r="BO189" t="s">
        <v>178</v>
      </c>
      <c r="BP189" t="str">
        <f t="shared" si="146"/>
        <v>2</v>
      </c>
    </row>
    <row r="190" spans="1:68" x14ac:dyDescent="0.15">
      <c r="A190">
        <f t="shared" si="148"/>
        <v>5401073</v>
      </c>
      <c r="B190" t="s">
        <v>410</v>
      </c>
      <c r="C190">
        <v>7</v>
      </c>
      <c r="D190">
        <v>4</v>
      </c>
      <c r="E190">
        <v>3</v>
      </c>
      <c r="F190" t="s">
        <v>230</v>
      </c>
      <c r="G190" t="s">
        <v>230</v>
      </c>
      <c r="H190">
        <v>0</v>
      </c>
      <c r="I190" s="2" t="s">
        <v>103</v>
      </c>
      <c r="J190" s="2">
        <f t="shared" si="144"/>
        <v>6</v>
      </c>
      <c r="K190" s="2">
        <f t="shared" si="157"/>
        <v>1.6</v>
      </c>
      <c r="L190" s="2">
        <f t="shared" si="158"/>
        <v>2</v>
      </c>
      <c r="M190" s="2">
        <v>10</v>
      </c>
      <c r="N190" s="2">
        <f t="shared" si="159"/>
        <v>204.8</v>
      </c>
      <c r="O190" s="2">
        <f t="shared" si="160"/>
        <v>20.48</v>
      </c>
      <c r="P190" s="2">
        <f t="shared" si="161"/>
        <v>1600</v>
      </c>
      <c r="Q190" s="2">
        <f t="shared" si="162"/>
        <v>160</v>
      </c>
      <c r="R190" s="2">
        <f t="shared" si="163"/>
        <v>29.26</v>
      </c>
      <c r="S190" s="2">
        <f t="shared" si="164"/>
        <v>2.93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11">
        <v>534012</v>
      </c>
      <c r="Z190" s="12" t="s">
        <v>543</v>
      </c>
      <c r="AA190" s="4">
        <v>1</v>
      </c>
      <c r="AB190" s="4">
        <v>0</v>
      </c>
      <c r="AC190" s="4"/>
      <c r="AD190" s="4">
        <f t="shared" si="145"/>
        <v>7805.9520000000002</v>
      </c>
      <c r="AF190" s="1" t="str">
        <f t="shared" si="147"/>
        <v>1</v>
      </c>
      <c r="AG190">
        <v>7</v>
      </c>
      <c r="AH190">
        <f t="shared" si="149"/>
        <v>204.8</v>
      </c>
      <c r="AI190">
        <f t="shared" si="150"/>
        <v>20.480000000000004</v>
      </c>
      <c r="AJ190">
        <f t="shared" si="151"/>
        <v>1600</v>
      </c>
      <c r="AK190">
        <f t="shared" si="152"/>
        <v>160</v>
      </c>
      <c r="AL190">
        <f t="shared" si="153"/>
        <v>29.25714285714286</v>
      </c>
      <c r="AM190">
        <f t="shared" si="165"/>
        <v>2.9257142857142862</v>
      </c>
      <c r="AN190">
        <f t="shared" si="154"/>
        <v>1.6</v>
      </c>
      <c r="AO190">
        <f t="shared" si="155"/>
        <v>2</v>
      </c>
      <c r="AP190">
        <f t="shared" si="156"/>
        <v>6</v>
      </c>
      <c r="AQ190">
        <v>401</v>
      </c>
      <c r="AR190">
        <v>5</v>
      </c>
      <c r="BO190" t="s">
        <v>188</v>
      </c>
      <c r="BP190" t="str">
        <f t="shared" si="146"/>
        <v>0</v>
      </c>
    </row>
    <row r="191" spans="1:68" x14ac:dyDescent="0.15">
      <c r="A191">
        <f t="shared" si="148"/>
        <v>5402073</v>
      </c>
      <c r="B191" t="s">
        <v>102</v>
      </c>
      <c r="C191">
        <v>7</v>
      </c>
      <c r="D191">
        <v>4</v>
      </c>
      <c r="E191">
        <v>3</v>
      </c>
      <c r="F191" t="s">
        <v>231</v>
      </c>
      <c r="G191" t="s">
        <v>231</v>
      </c>
      <c r="H191" s="2">
        <v>0</v>
      </c>
      <c r="I191" s="28" t="s">
        <v>718</v>
      </c>
      <c r="J191" s="2">
        <f t="shared" si="144"/>
        <v>6</v>
      </c>
      <c r="K191" s="2">
        <f t="shared" si="157"/>
        <v>1.5</v>
      </c>
      <c r="L191" s="2">
        <f t="shared" si="158"/>
        <v>1.5</v>
      </c>
      <c r="M191" s="2">
        <v>10</v>
      </c>
      <c r="N191" s="2">
        <f t="shared" si="159"/>
        <v>192</v>
      </c>
      <c r="O191" s="2">
        <f t="shared" si="160"/>
        <v>19.2</v>
      </c>
      <c r="P191" s="2">
        <f t="shared" si="161"/>
        <v>1600</v>
      </c>
      <c r="Q191" s="2">
        <f t="shared" si="162"/>
        <v>160</v>
      </c>
      <c r="R191" s="2">
        <f t="shared" si="163"/>
        <v>27.43</v>
      </c>
      <c r="S191" s="2">
        <f t="shared" si="164"/>
        <v>2.74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11">
        <v>534022</v>
      </c>
      <c r="Z191" s="12" t="s">
        <v>544</v>
      </c>
      <c r="AA191" s="4">
        <v>1</v>
      </c>
      <c r="AB191" s="4">
        <v>0</v>
      </c>
      <c r="AC191" s="4"/>
      <c r="AD191" s="4">
        <f t="shared" si="145"/>
        <v>7805.9520000000002</v>
      </c>
      <c r="AF191" s="1" t="str">
        <f t="shared" si="147"/>
        <v>2</v>
      </c>
      <c r="AG191">
        <v>7</v>
      </c>
      <c r="AH191">
        <f t="shared" si="149"/>
        <v>192</v>
      </c>
      <c r="AI191">
        <f t="shared" si="150"/>
        <v>19.200000000000003</v>
      </c>
      <c r="AJ191">
        <f t="shared" si="151"/>
        <v>1600</v>
      </c>
      <c r="AK191">
        <f t="shared" si="152"/>
        <v>160</v>
      </c>
      <c r="AL191">
        <f t="shared" si="153"/>
        <v>27.428571428571427</v>
      </c>
      <c r="AM191">
        <f t="shared" si="165"/>
        <v>2.7428571428571429</v>
      </c>
      <c r="AN191">
        <f t="shared" si="154"/>
        <v>1.5</v>
      </c>
      <c r="AO191">
        <f t="shared" si="155"/>
        <v>1.5</v>
      </c>
      <c r="AP191">
        <f t="shared" si="156"/>
        <v>6</v>
      </c>
      <c r="AQ191">
        <v>402</v>
      </c>
      <c r="AR191">
        <v>5</v>
      </c>
      <c r="BO191" t="s">
        <v>180</v>
      </c>
      <c r="BP191" t="str">
        <f t="shared" si="146"/>
        <v>2</v>
      </c>
    </row>
    <row r="192" spans="1:68" x14ac:dyDescent="0.15">
      <c r="A192">
        <f t="shared" si="148"/>
        <v>5500073</v>
      </c>
      <c r="B192" t="s">
        <v>411</v>
      </c>
      <c r="C192">
        <v>7</v>
      </c>
      <c r="D192">
        <v>5</v>
      </c>
      <c r="E192">
        <v>3</v>
      </c>
      <c r="F192" t="s">
        <v>232</v>
      </c>
      <c r="G192" t="s">
        <v>232</v>
      </c>
      <c r="H192" s="2">
        <v>0</v>
      </c>
      <c r="I192" s="2" t="s">
        <v>109</v>
      </c>
      <c r="J192" s="2">
        <f t="shared" si="144"/>
        <v>6</v>
      </c>
      <c r="K192" s="2">
        <f t="shared" si="157"/>
        <v>1.5</v>
      </c>
      <c r="L192" s="2">
        <f t="shared" si="158"/>
        <v>1.5</v>
      </c>
      <c r="M192" s="2">
        <v>10</v>
      </c>
      <c r="N192" s="2">
        <f t="shared" si="159"/>
        <v>224</v>
      </c>
      <c r="O192" s="2">
        <f t="shared" si="160"/>
        <v>22.4</v>
      </c>
      <c r="P192" s="2">
        <f t="shared" si="161"/>
        <v>1371.43</v>
      </c>
      <c r="Q192" s="2">
        <f t="shared" si="162"/>
        <v>137.13999999999999</v>
      </c>
      <c r="R192" s="2">
        <f t="shared" si="163"/>
        <v>28</v>
      </c>
      <c r="S192" s="2">
        <f t="shared" si="164"/>
        <v>2.8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11">
        <v>535002</v>
      </c>
      <c r="Z192" s="12" t="s">
        <v>545</v>
      </c>
      <c r="AA192" s="4">
        <v>1</v>
      </c>
      <c r="AB192" s="4">
        <v>0</v>
      </c>
      <c r="AC192" s="4"/>
      <c r="AD192" s="4">
        <f t="shared" si="145"/>
        <v>7805.8048991999985</v>
      </c>
      <c r="AF192" s="1" t="str">
        <f t="shared" si="147"/>
        <v>0</v>
      </c>
      <c r="AG192">
        <v>7</v>
      </c>
      <c r="AH192">
        <f t="shared" si="149"/>
        <v>223.99999999999994</v>
      </c>
      <c r="AI192">
        <f t="shared" si="150"/>
        <v>22.399999999999995</v>
      </c>
      <c r="AJ192">
        <f t="shared" si="151"/>
        <v>1371.4285714285716</v>
      </c>
      <c r="AK192">
        <f t="shared" si="152"/>
        <v>137.14285714285717</v>
      </c>
      <c r="AL192">
        <f t="shared" si="153"/>
        <v>27.999999999999993</v>
      </c>
      <c r="AM192">
        <f t="shared" si="165"/>
        <v>2.7999999999999994</v>
      </c>
      <c r="AN192">
        <f t="shared" si="154"/>
        <v>1.5</v>
      </c>
      <c r="AO192">
        <f t="shared" si="155"/>
        <v>1.5</v>
      </c>
      <c r="AP192">
        <f t="shared" si="156"/>
        <v>6</v>
      </c>
      <c r="AQ192">
        <v>500</v>
      </c>
      <c r="AR192">
        <v>5</v>
      </c>
      <c r="BO192" t="s">
        <v>173</v>
      </c>
      <c r="BP192" t="str">
        <f t="shared" si="146"/>
        <v>0</v>
      </c>
    </row>
    <row r="193" spans="1:68" x14ac:dyDescent="0.15">
      <c r="A193">
        <f t="shared" si="148"/>
        <v>5502073</v>
      </c>
      <c r="B193" t="s">
        <v>115</v>
      </c>
      <c r="C193">
        <v>7</v>
      </c>
      <c r="D193">
        <v>5</v>
      </c>
      <c r="E193">
        <v>3</v>
      </c>
      <c r="F193" t="s">
        <v>233</v>
      </c>
      <c r="G193" t="s">
        <v>233</v>
      </c>
      <c r="H193" s="2">
        <v>0</v>
      </c>
      <c r="I193" s="28" t="s">
        <v>719</v>
      </c>
      <c r="J193" s="2">
        <f t="shared" si="144"/>
        <v>6</v>
      </c>
      <c r="K193" s="2">
        <f t="shared" si="157"/>
        <v>1.4000000000000001</v>
      </c>
      <c r="L193" s="2">
        <f t="shared" si="158"/>
        <v>2</v>
      </c>
      <c r="M193" s="2">
        <v>10</v>
      </c>
      <c r="N193" s="2">
        <f t="shared" si="159"/>
        <v>209.07</v>
      </c>
      <c r="O193" s="2">
        <f t="shared" si="160"/>
        <v>20.91</v>
      </c>
      <c r="P193" s="2">
        <f t="shared" si="161"/>
        <v>1371.43</v>
      </c>
      <c r="Q193" s="2">
        <f t="shared" si="162"/>
        <v>137.13999999999999</v>
      </c>
      <c r="R193" s="2">
        <f t="shared" si="163"/>
        <v>26.13</v>
      </c>
      <c r="S193" s="2">
        <f t="shared" si="164"/>
        <v>2.61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11">
        <v>535022</v>
      </c>
      <c r="Z193" s="12" t="s">
        <v>546</v>
      </c>
      <c r="AA193" s="4">
        <v>1</v>
      </c>
      <c r="AB193" s="4">
        <v>0</v>
      </c>
      <c r="AC193" s="4"/>
      <c r="AD193" s="4">
        <f t="shared" si="145"/>
        <v>7806.9476205224983</v>
      </c>
      <c r="AF193" s="1" t="str">
        <f t="shared" si="147"/>
        <v>2</v>
      </c>
      <c r="AG193">
        <v>7</v>
      </c>
      <c r="AH193">
        <f t="shared" si="149"/>
        <v>209.06666666666663</v>
      </c>
      <c r="AI193">
        <f t="shared" si="150"/>
        <v>20.906666666666666</v>
      </c>
      <c r="AJ193">
        <f t="shared" si="151"/>
        <v>1371.4285714285716</v>
      </c>
      <c r="AK193">
        <f t="shared" si="152"/>
        <v>137.14285714285717</v>
      </c>
      <c r="AL193">
        <f t="shared" si="153"/>
        <v>26.133333333333329</v>
      </c>
      <c r="AM193">
        <f t="shared" si="165"/>
        <v>2.6133333333333333</v>
      </c>
      <c r="AN193">
        <f t="shared" si="154"/>
        <v>1.4</v>
      </c>
      <c r="AO193">
        <f t="shared" si="155"/>
        <v>2</v>
      </c>
      <c r="AP193">
        <f t="shared" si="156"/>
        <v>6</v>
      </c>
      <c r="AQ193">
        <v>502</v>
      </c>
      <c r="AR193">
        <v>5</v>
      </c>
      <c r="BO193" t="s">
        <v>136</v>
      </c>
      <c r="BP193" t="str">
        <f t="shared" si="146"/>
        <v>1</v>
      </c>
    </row>
    <row r="194" spans="1:68" x14ac:dyDescent="0.15">
      <c r="A194">
        <f t="shared" si="148"/>
        <v>5601073</v>
      </c>
      <c r="B194" t="s">
        <v>412</v>
      </c>
      <c r="C194">
        <v>7</v>
      </c>
      <c r="D194">
        <v>6</v>
      </c>
      <c r="E194">
        <v>3</v>
      </c>
      <c r="F194" t="s">
        <v>234</v>
      </c>
      <c r="G194" t="s">
        <v>234</v>
      </c>
      <c r="H194">
        <v>0</v>
      </c>
      <c r="I194" s="2" t="s">
        <v>116</v>
      </c>
      <c r="J194" s="2">
        <f t="shared" si="144"/>
        <v>6</v>
      </c>
      <c r="K194" s="2">
        <f t="shared" si="157"/>
        <v>1.5</v>
      </c>
      <c r="L194" s="2">
        <f t="shared" si="158"/>
        <v>2</v>
      </c>
      <c r="M194" s="2">
        <v>10</v>
      </c>
      <c r="N194" s="2">
        <f t="shared" si="159"/>
        <v>248</v>
      </c>
      <c r="O194" s="2">
        <f t="shared" si="160"/>
        <v>24.8</v>
      </c>
      <c r="P194" s="2">
        <f t="shared" si="161"/>
        <v>1238.71</v>
      </c>
      <c r="Q194" s="2">
        <f t="shared" si="162"/>
        <v>123.87</v>
      </c>
      <c r="R194" s="2">
        <f t="shared" si="163"/>
        <v>24.8</v>
      </c>
      <c r="S194" s="2">
        <f t="shared" si="164"/>
        <v>2.48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11">
        <v>536012</v>
      </c>
      <c r="Z194" s="12" t="s">
        <v>547</v>
      </c>
      <c r="AA194" s="4">
        <v>1</v>
      </c>
      <c r="AB194" s="4">
        <v>0</v>
      </c>
      <c r="AC194" s="4"/>
      <c r="AD194" s="4">
        <f t="shared" si="145"/>
        <v>7805.8967447999976</v>
      </c>
      <c r="AF194" s="1" t="str">
        <f t="shared" si="147"/>
        <v>1</v>
      </c>
      <c r="AG194">
        <v>7</v>
      </c>
      <c r="AH194">
        <f t="shared" si="149"/>
        <v>248</v>
      </c>
      <c r="AI194">
        <f t="shared" si="150"/>
        <v>24.8</v>
      </c>
      <c r="AJ194">
        <f t="shared" si="151"/>
        <v>1238.7096774193549</v>
      </c>
      <c r="AK194">
        <f t="shared" si="152"/>
        <v>123.87096774193549</v>
      </c>
      <c r="AL194">
        <f t="shared" si="153"/>
        <v>24.8</v>
      </c>
      <c r="AM194">
        <f t="shared" si="165"/>
        <v>2.4800000000000004</v>
      </c>
      <c r="AN194">
        <f t="shared" si="154"/>
        <v>1.5</v>
      </c>
      <c r="AO194">
        <f t="shared" si="155"/>
        <v>2</v>
      </c>
      <c r="AP194">
        <f t="shared" si="156"/>
        <v>6</v>
      </c>
      <c r="AQ194">
        <v>601</v>
      </c>
      <c r="AR194">
        <v>5</v>
      </c>
      <c r="BO194" t="s">
        <v>141</v>
      </c>
      <c r="BP194" t="str">
        <f t="shared" si="146"/>
        <v>1</v>
      </c>
    </row>
    <row r="195" spans="1:68" x14ac:dyDescent="0.15">
      <c r="A195">
        <f t="shared" si="148"/>
        <v>5201074</v>
      </c>
      <c r="B195" t="s">
        <v>407</v>
      </c>
      <c r="C195">
        <v>7</v>
      </c>
      <c r="D195">
        <v>2</v>
      </c>
      <c r="E195">
        <v>4</v>
      </c>
      <c r="F195" t="s">
        <v>706</v>
      </c>
      <c r="G195" t="s">
        <v>706</v>
      </c>
      <c r="H195" s="23">
        <v>0</v>
      </c>
      <c r="I195" s="2" t="s">
        <v>92</v>
      </c>
      <c r="J195" s="2">
        <f t="shared" ref="J195:J231" si="166">AP195</f>
        <v>3</v>
      </c>
      <c r="K195" s="2">
        <f t="shared" si="157"/>
        <v>1.8</v>
      </c>
      <c r="L195" s="2">
        <f t="shared" si="158"/>
        <v>1.8</v>
      </c>
      <c r="M195" s="2">
        <v>11</v>
      </c>
      <c r="N195" s="2">
        <f t="shared" si="159"/>
        <v>153.6</v>
      </c>
      <c r="O195" s="2">
        <f t="shared" si="160"/>
        <v>15.36</v>
      </c>
      <c r="P195" s="2">
        <f t="shared" si="161"/>
        <v>2400</v>
      </c>
      <c r="Q195" s="2">
        <f t="shared" si="162"/>
        <v>240</v>
      </c>
      <c r="R195" s="2">
        <f t="shared" si="163"/>
        <v>51.2</v>
      </c>
      <c r="S195" s="2">
        <f t="shared" si="164"/>
        <v>5.12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11">
        <v>542012</v>
      </c>
      <c r="Z195" s="26" t="s">
        <v>548</v>
      </c>
      <c r="AA195" s="4">
        <v>1</v>
      </c>
      <c r="AB195" s="4">
        <v>0</v>
      </c>
      <c r="AC195" s="4"/>
      <c r="AD195" s="4">
        <f t="shared" ref="AD195:AD231" si="167">(N195+O195*$AD$2)*(P195+Q195*$AD$2)/K195*0.945/3000</f>
        <v>7805.9520000000002</v>
      </c>
      <c r="AF195" s="1" t="str">
        <f t="shared" si="147"/>
        <v>1</v>
      </c>
      <c r="AG195">
        <v>7</v>
      </c>
      <c r="AH195">
        <f t="shared" si="149"/>
        <v>153.60000000000002</v>
      </c>
      <c r="AI195">
        <f t="shared" si="150"/>
        <v>15.360000000000003</v>
      </c>
      <c r="AJ195">
        <f t="shared" si="151"/>
        <v>2400</v>
      </c>
      <c r="AK195">
        <f t="shared" si="152"/>
        <v>240</v>
      </c>
      <c r="AL195">
        <f t="shared" si="153"/>
        <v>51.20000000000001</v>
      </c>
      <c r="AM195">
        <f t="shared" si="165"/>
        <v>5.120000000000001</v>
      </c>
      <c r="AN195">
        <f t="shared" si="154"/>
        <v>1.8</v>
      </c>
      <c r="AO195">
        <f t="shared" si="155"/>
        <v>1.8</v>
      </c>
      <c r="AP195">
        <f t="shared" si="156"/>
        <v>3</v>
      </c>
      <c r="AQ195">
        <v>201</v>
      </c>
      <c r="AR195">
        <v>5</v>
      </c>
      <c r="BO195" t="s">
        <v>165</v>
      </c>
      <c r="BP195" t="str">
        <f t="shared" si="146"/>
        <v>2</v>
      </c>
    </row>
    <row r="196" spans="1:68" x14ac:dyDescent="0.15">
      <c r="A196">
        <f t="shared" si="148"/>
        <v>5302074</v>
      </c>
      <c r="B196" t="s">
        <v>143</v>
      </c>
      <c r="C196">
        <v>7</v>
      </c>
      <c r="D196">
        <v>3</v>
      </c>
      <c r="E196">
        <v>4</v>
      </c>
      <c r="F196" s="22" t="s">
        <v>707</v>
      </c>
      <c r="G196" s="22" t="s">
        <v>707</v>
      </c>
      <c r="H196" s="23">
        <v>0</v>
      </c>
      <c r="I196" s="2" t="s">
        <v>157</v>
      </c>
      <c r="J196" s="2">
        <f t="shared" si="166"/>
        <v>3</v>
      </c>
      <c r="K196" s="2">
        <f t="shared" si="157"/>
        <v>1.4000000000000001</v>
      </c>
      <c r="L196" s="2">
        <f t="shared" si="158"/>
        <v>1.7</v>
      </c>
      <c r="M196" s="2">
        <v>12</v>
      </c>
      <c r="N196" s="2">
        <f t="shared" si="159"/>
        <v>134.4</v>
      </c>
      <c r="O196" s="2">
        <f t="shared" si="160"/>
        <v>13.44</v>
      </c>
      <c r="P196" s="2">
        <f t="shared" si="161"/>
        <v>2133.33</v>
      </c>
      <c r="Q196" s="2">
        <f t="shared" si="162"/>
        <v>213.33</v>
      </c>
      <c r="R196" s="2">
        <f t="shared" si="163"/>
        <v>26.88</v>
      </c>
      <c r="S196" s="2">
        <f t="shared" si="164"/>
        <v>2.69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11">
        <v>543022</v>
      </c>
      <c r="Z196" s="26" t="s">
        <v>549</v>
      </c>
      <c r="AA196" s="4">
        <v>1</v>
      </c>
      <c r="AB196" s="4">
        <v>0</v>
      </c>
      <c r="AC196" s="4"/>
      <c r="AD196" s="4">
        <f t="shared" si="167"/>
        <v>7805.8400112000008</v>
      </c>
      <c r="AF196" s="1" t="str">
        <f t="shared" si="147"/>
        <v>2</v>
      </c>
      <c r="AG196">
        <v>7</v>
      </c>
      <c r="AH196">
        <f t="shared" si="149"/>
        <v>134.4</v>
      </c>
      <c r="AI196">
        <f t="shared" si="150"/>
        <v>13.440000000000001</v>
      </c>
      <c r="AJ196">
        <f t="shared" si="151"/>
        <v>2133.3333333333335</v>
      </c>
      <c r="AK196">
        <f t="shared" si="152"/>
        <v>213.33333333333337</v>
      </c>
      <c r="AL196">
        <f t="shared" si="153"/>
        <v>26.880000000000003</v>
      </c>
      <c r="AM196">
        <f t="shared" si="165"/>
        <v>2.6880000000000006</v>
      </c>
      <c r="AN196">
        <f t="shared" si="154"/>
        <v>1.4</v>
      </c>
      <c r="AO196">
        <f t="shared" si="155"/>
        <v>1.7</v>
      </c>
      <c r="AP196">
        <f t="shared" si="156"/>
        <v>3</v>
      </c>
      <c r="AQ196">
        <v>302</v>
      </c>
      <c r="AR196">
        <v>5</v>
      </c>
      <c r="BO196" t="s">
        <v>167</v>
      </c>
      <c r="BP196" t="str">
        <f t="shared" si="146"/>
        <v>1</v>
      </c>
    </row>
    <row r="197" spans="1:68" x14ac:dyDescent="0.15">
      <c r="A197">
        <f t="shared" si="148"/>
        <v>5501074</v>
      </c>
      <c r="B197" t="s">
        <v>413</v>
      </c>
      <c r="C197">
        <v>7</v>
      </c>
      <c r="D197">
        <v>5</v>
      </c>
      <c r="E197">
        <v>4</v>
      </c>
      <c r="F197" t="s">
        <v>235</v>
      </c>
      <c r="G197" t="s">
        <v>235</v>
      </c>
      <c r="H197">
        <v>0</v>
      </c>
      <c r="I197" s="2" t="s">
        <v>144</v>
      </c>
      <c r="J197" s="2">
        <f t="shared" si="166"/>
        <v>6</v>
      </c>
      <c r="K197" s="2">
        <f t="shared" si="157"/>
        <v>1.6</v>
      </c>
      <c r="L197" s="2">
        <f t="shared" si="158"/>
        <v>2</v>
      </c>
      <c r="M197" s="2">
        <v>10</v>
      </c>
      <c r="N197" s="2">
        <f t="shared" si="159"/>
        <v>238.93</v>
      </c>
      <c r="O197" s="2">
        <f t="shared" si="160"/>
        <v>23.89</v>
      </c>
      <c r="P197" s="2">
        <f t="shared" si="161"/>
        <v>1371.43</v>
      </c>
      <c r="Q197" s="2">
        <f t="shared" si="162"/>
        <v>137.13999999999999</v>
      </c>
      <c r="R197" s="2">
        <f t="shared" si="163"/>
        <v>29.87</v>
      </c>
      <c r="S197" s="2">
        <f t="shared" si="164"/>
        <v>2.99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11">
        <v>545012</v>
      </c>
      <c r="Z197" s="12" t="s">
        <v>550</v>
      </c>
      <c r="AA197" s="4">
        <v>1</v>
      </c>
      <c r="AB197" s="4">
        <v>0</v>
      </c>
      <c r="AC197" s="4"/>
      <c r="AD197" s="4">
        <f t="shared" si="167"/>
        <v>7804.8050180428099</v>
      </c>
      <c r="AF197" s="1" t="str">
        <f t="shared" si="147"/>
        <v>1</v>
      </c>
      <c r="AG197">
        <v>7</v>
      </c>
      <c r="AH197">
        <f t="shared" si="149"/>
        <v>238.93333333333331</v>
      </c>
      <c r="AI197">
        <f t="shared" si="150"/>
        <v>23.893333333333331</v>
      </c>
      <c r="AJ197">
        <f t="shared" si="151"/>
        <v>1371.4285714285716</v>
      </c>
      <c r="AK197">
        <f t="shared" si="152"/>
        <v>137.14285714285717</v>
      </c>
      <c r="AL197">
        <f t="shared" si="153"/>
        <v>29.866666666666664</v>
      </c>
      <c r="AM197">
        <f t="shared" si="165"/>
        <v>2.9866666666666664</v>
      </c>
      <c r="AN197">
        <f t="shared" si="154"/>
        <v>1.6</v>
      </c>
      <c r="AO197">
        <f t="shared" si="155"/>
        <v>2</v>
      </c>
      <c r="AP197">
        <f t="shared" si="156"/>
        <v>6</v>
      </c>
      <c r="AQ197">
        <v>501</v>
      </c>
      <c r="AR197">
        <v>5</v>
      </c>
      <c r="BO197" t="s">
        <v>176</v>
      </c>
      <c r="BP197" t="str">
        <f t="shared" ref="BP197:BP264" si="168">RIGHT(BO197,1)</f>
        <v>2</v>
      </c>
    </row>
    <row r="198" spans="1:68" x14ac:dyDescent="0.15">
      <c r="A198">
        <f t="shared" si="148"/>
        <v>5600074</v>
      </c>
      <c r="B198" t="s">
        <v>209</v>
      </c>
      <c r="C198">
        <v>7</v>
      </c>
      <c r="D198">
        <v>6</v>
      </c>
      <c r="E198">
        <v>4</v>
      </c>
      <c r="F198" t="s">
        <v>236</v>
      </c>
      <c r="G198" t="s">
        <v>236</v>
      </c>
      <c r="H198" s="2">
        <v>0</v>
      </c>
      <c r="I198" s="2" t="s">
        <v>147</v>
      </c>
      <c r="J198" s="2">
        <f t="shared" si="166"/>
        <v>3</v>
      </c>
      <c r="K198" s="2">
        <f t="shared" si="157"/>
        <v>1.4000000000000001</v>
      </c>
      <c r="L198" s="2">
        <f t="shared" si="158"/>
        <v>1.9000000000000001</v>
      </c>
      <c r="M198" s="2">
        <v>10</v>
      </c>
      <c r="N198" s="2">
        <f t="shared" si="159"/>
        <v>231.47</v>
      </c>
      <c r="O198" s="2">
        <f t="shared" si="160"/>
        <v>23.15</v>
      </c>
      <c r="P198" s="2">
        <f t="shared" si="161"/>
        <v>1238.71</v>
      </c>
      <c r="Q198" s="2">
        <f t="shared" si="162"/>
        <v>123.87</v>
      </c>
      <c r="R198" s="2">
        <f t="shared" si="163"/>
        <v>23.15</v>
      </c>
      <c r="S198" s="2">
        <f t="shared" si="164"/>
        <v>2.31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11">
        <v>546002</v>
      </c>
      <c r="Z198" s="12" t="s">
        <v>551</v>
      </c>
      <c r="AA198" s="4">
        <v>1</v>
      </c>
      <c r="AB198" s="4">
        <v>0</v>
      </c>
      <c r="AC198" s="4"/>
      <c r="AD198" s="4">
        <f t="shared" si="167"/>
        <v>7806.9288923324984</v>
      </c>
      <c r="AF198" s="1" t="str">
        <f t="shared" si="147"/>
        <v>0</v>
      </c>
      <c r="AG198">
        <v>7</v>
      </c>
      <c r="AH198">
        <f t="shared" si="149"/>
        <v>231.46666666666664</v>
      </c>
      <c r="AI198">
        <f t="shared" si="150"/>
        <v>23.146666666666665</v>
      </c>
      <c r="AJ198">
        <f t="shared" si="151"/>
        <v>1238.7096774193549</v>
      </c>
      <c r="AK198">
        <f t="shared" si="152"/>
        <v>123.87096774193549</v>
      </c>
      <c r="AL198">
        <f t="shared" si="153"/>
        <v>23.146666666666665</v>
      </c>
      <c r="AM198">
        <f t="shared" si="165"/>
        <v>2.3146666666666667</v>
      </c>
      <c r="AN198">
        <f t="shared" si="154"/>
        <v>1.4</v>
      </c>
      <c r="AO198">
        <f t="shared" si="155"/>
        <v>1.9</v>
      </c>
      <c r="AP198">
        <f t="shared" si="156"/>
        <v>3</v>
      </c>
      <c r="AQ198">
        <v>600</v>
      </c>
      <c r="AR198">
        <v>5</v>
      </c>
      <c r="BO198" t="s">
        <v>169</v>
      </c>
      <c r="BP198" t="str">
        <f t="shared" si="168"/>
        <v>0</v>
      </c>
    </row>
    <row r="199" spans="1:68" x14ac:dyDescent="0.15">
      <c r="A199">
        <f t="shared" si="148"/>
        <v>5602074</v>
      </c>
      <c r="B199" t="s">
        <v>414</v>
      </c>
      <c r="C199">
        <v>7</v>
      </c>
      <c r="D199">
        <v>6</v>
      </c>
      <c r="E199">
        <v>4</v>
      </c>
      <c r="F199" t="s">
        <v>237</v>
      </c>
      <c r="G199" t="s">
        <v>237</v>
      </c>
      <c r="H199" t="s">
        <v>150</v>
      </c>
      <c r="I199" s="2" t="s">
        <v>151</v>
      </c>
      <c r="J199" s="2">
        <f t="shared" si="166"/>
        <v>6</v>
      </c>
      <c r="K199" s="2">
        <f t="shared" si="157"/>
        <v>1.8</v>
      </c>
      <c r="L199" s="2">
        <f t="shared" si="158"/>
        <v>2</v>
      </c>
      <c r="M199" s="2">
        <v>10</v>
      </c>
      <c r="N199" s="2">
        <f t="shared" si="159"/>
        <v>297.60000000000002</v>
      </c>
      <c r="O199" s="2">
        <f t="shared" si="160"/>
        <v>29.76</v>
      </c>
      <c r="P199" s="2">
        <f t="shared" si="161"/>
        <v>1238.71</v>
      </c>
      <c r="Q199" s="2">
        <f t="shared" si="162"/>
        <v>123.87</v>
      </c>
      <c r="R199" s="2">
        <f t="shared" si="163"/>
        <v>29.76</v>
      </c>
      <c r="S199" s="2">
        <f t="shared" si="164"/>
        <v>2.98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11">
        <v>546022</v>
      </c>
      <c r="Z199" s="12" t="s">
        <v>552</v>
      </c>
      <c r="AA199" s="4">
        <v>1</v>
      </c>
      <c r="AB199" s="4">
        <v>0</v>
      </c>
      <c r="AC199" s="4"/>
      <c r="AD199" s="4">
        <f t="shared" si="167"/>
        <v>7805.8967447999985</v>
      </c>
      <c r="AF199" s="1" t="str">
        <f t="shared" si="147"/>
        <v>2</v>
      </c>
      <c r="AG199">
        <v>7</v>
      </c>
      <c r="AH199">
        <f t="shared" si="149"/>
        <v>297.60000000000002</v>
      </c>
      <c r="AI199">
        <f t="shared" si="150"/>
        <v>29.760000000000005</v>
      </c>
      <c r="AJ199">
        <f t="shared" si="151"/>
        <v>1238.7096774193549</v>
      </c>
      <c r="AK199">
        <f t="shared" si="152"/>
        <v>123.87096774193549</v>
      </c>
      <c r="AL199">
        <f t="shared" si="153"/>
        <v>29.76</v>
      </c>
      <c r="AM199">
        <f t="shared" si="165"/>
        <v>2.9760000000000004</v>
      </c>
      <c r="AN199">
        <f t="shared" si="154"/>
        <v>1.8</v>
      </c>
      <c r="AO199">
        <f t="shared" si="155"/>
        <v>2</v>
      </c>
      <c r="AP199">
        <f t="shared" si="156"/>
        <v>6</v>
      </c>
      <c r="AQ199">
        <v>602</v>
      </c>
      <c r="AR199">
        <v>5</v>
      </c>
      <c r="BO199" t="s">
        <v>159</v>
      </c>
      <c r="BP199" t="str">
        <f t="shared" si="168"/>
        <v>1</v>
      </c>
    </row>
    <row r="200" spans="1:68" x14ac:dyDescent="0.15">
      <c r="A200">
        <f t="shared" si="148"/>
        <v>5202075</v>
      </c>
      <c r="B200" t="s">
        <v>408</v>
      </c>
      <c r="C200">
        <v>7</v>
      </c>
      <c r="D200">
        <v>2</v>
      </c>
      <c r="E200">
        <v>5</v>
      </c>
      <c r="F200" t="s">
        <v>708</v>
      </c>
      <c r="G200" t="s">
        <v>708</v>
      </c>
      <c r="H200" s="22">
        <v>0</v>
      </c>
      <c r="I200" s="2" t="s">
        <v>96</v>
      </c>
      <c r="J200" s="2">
        <f t="shared" si="166"/>
        <v>3</v>
      </c>
      <c r="K200" s="2">
        <f t="shared" si="157"/>
        <v>1.8</v>
      </c>
      <c r="L200" s="2">
        <f t="shared" si="158"/>
        <v>2</v>
      </c>
      <c r="M200" s="2">
        <v>11</v>
      </c>
      <c r="N200" s="2">
        <f t="shared" si="159"/>
        <v>172.8</v>
      </c>
      <c r="O200" s="2">
        <f t="shared" si="160"/>
        <v>17.28</v>
      </c>
      <c r="P200" s="2">
        <f t="shared" si="161"/>
        <v>2133.33</v>
      </c>
      <c r="Q200" s="2">
        <f t="shared" si="162"/>
        <v>213.33</v>
      </c>
      <c r="R200" s="2">
        <f t="shared" si="163"/>
        <v>34.56</v>
      </c>
      <c r="S200" s="2">
        <f t="shared" si="164"/>
        <v>3.46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11">
        <v>552022</v>
      </c>
      <c r="Z200" s="26" t="s">
        <v>553</v>
      </c>
      <c r="AA200" s="4">
        <v>1</v>
      </c>
      <c r="AB200" s="4">
        <v>0</v>
      </c>
      <c r="AC200" s="4"/>
      <c r="AD200" s="4">
        <f t="shared" si="167"/>
        <v>7805.8400111999999</v>
      </c>
      <c r="AF200" s="1" t="str">
        <f t="shared" si="147"/>
        <v>2</v>
      </c>
      <c r="AG200">
        <v>7</v>
      </c>
      <c r="AH200">
        <f t="shared" si="149"/>
        <v>172.8</v>
      </c>
      <c r="AI200">
        <f t="shared" si="150"/>
        <v>17.28</v>
      </c>
      <c r="AJ200">
        <f t="shared" si="151"/>
        <v>2133.3333333333335</v>
      </c>
      <c r="AK200">
        <f t="shared" si="152"/>
        <v>213.33333333333337</v>
      </c>
      <c r="AL200">
        <f t="shared" si="153"/>
        <v>34.56</v>
      </c>
      <c r="AM200">
        <f t="shared" si="165"/>
        <v>3.4560000000000004</v>
      </c>
      <c r="AN200">
        <f t="shared" si="154"/>
        <v>1.8</v>
      </c>
      <c r="AO200">
        <f t="shared" si="155"/>
        <v>2</v>
      </c>
      <c r="AP200">
        <f t="shared" si="156"/>
        <v>3</v>
      </c>
      <c r="AQ200">
        <v>202</v>
      </c>
      <c r="AR200">
        <v>5</v>
      </c>
      <c r="BO200" t="s">
        <v>188</v>
      </c>
      <c r="BP200" t="str">
        <f t="shared" si="168"/>
        <v>0</v>
      </c>
    </row>
    <row r="201" spans="1:68" x14ac:dyDescent="0.15">
      <c r="A201">
        <f t="shared" si="148"/>
        <v>5300075</v>
      </c>
      <c r="B201" t="s">
        <v>415</v>
      </c>
      <c r="C201">
        <v>7</v>
      </c>
      <c r="D201">
        <v>3</v>
      </c>
      <c r="E201">
        <v>5</v>
      </c>
      <c r="F201" t="s">
        <v>238</v>
      </c>
      <c r="G201" t="s">
        <v>238</v>
      </c>
      <c r="H201" s="2">
        <v>0</v>
      </c>
      <c r="I201" s="28" t="s">
        <v>720</v>
      </c>
      <c r="J201" s="2">
        <f t="shared" si="166"/>
        <v>3</v>
      </c>
      <c r="K201" s="2">
        <f t="shared" si="157"/>
        <v>1.3</v>
      </c>
      <c r="L201" s="2">
        <f t="shared" si="158"/>
        <v>1.9000000000000001</v>
      </c>
      <c r="M201" s="2">
        <v>12</v>
      </c>
      <c r="N201" s="2">
        <f t="shared" si="159"/>
        <v>124.8</v>
      </c>
      <c r="O201" s="2">
        <f t="shared" si="160"/>
        <v>12.48</v>
      </c>
      <c r="P201" s="2">
        <f t="shared" si="161"/>
        <v>2133.33</v>
      </c>
      <c r="Q201" s="2">
        <f t="shared" si="162"/>
        <v>213.33</v>
      </c>
      <c r="R201" s="2">
        <f t="shared" si="163"/>
        <v>24.96</v>
      </c>
      <c r="S201" s="2">
        <f t="shared" si="164"/>
        <v>2.5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11">
        <v>553002</v>
      </c>
      <c r="Z201" s="12" t="s">
        <v>554</v>
      </c>
      <c r="AA201" s="4">
        <v>1</v>
      </c>
      <c r="AB201" s="4">
        <v>0</v>
      </c>
      <c r="AC201" s="4"/>
      <c r="AD201" s="4">
        <f t="shared" si="167"/>
        <v>7805.8400111999999</v>
      </c>
      <c r="AF201" s="1" t="str">
        <f t="shared" si="147"/>
        <v>0</v>
      </c>
      <c r="AG201">
        <v>7</v>
      </c>
      <c r="AH201">
        <f t="shared" si="149"/>
        <v>124.80000000000003</v>
      </c>
      <c r="AI201">
        <f t="shared" si="150"/>
        <v>12.480000000000004</v>
      </c>
      <c r="AJ201">
        <f t="shared" si="151"/>
        <v>2133.3333333333335</v>
      </c>
      <c r="AK201">
        <f t="shared" si="152"/>
        <v>213.33333333333337</v>
      </c>
      <c r="AL201">
        <f t="shared" si="153"/>
        <v>24.960000000000004</v>
      </c>
      <c r="AM201">
        <f t="shared" si="165"/>
        <v>2.4960000000000004</v>
      </c>
      <c r="AN201">
        <f t="shared" si="154"/>
        <v>1.3</v>
      </c>
      <c r="AO201">
        <f t="shared" si="155"/>
        <v>1.9</v>
      </c>
      <c r="AP201">
        <f t="shared" si="156"/>
        <v>3</v>
      </c>
      <c r="AQ201">
        <v>300</v>
      </c>
      <c r="AR201">
        <v>5</v>
      </c>
      <c r="BO201" t="s">
        <v>171</v>
      </c>
      <c r="BP201" t="str">
        <f t="shared" si="168"/>
        <v>1</v>
      </c>
    </row>
    <row r="202" spans="1:68" x14ac:dyDescent="0.15">
      <c r="A202">
        <f t="shared" si="148"/>
        <v>5302075</v>
      </c>
      <c r="B202" t="s">
        <v>143</v>
      </c>
      <c r="C202">
        <v>7</v>
      </c>
      <c r="D202">
        <v>3</v>
      </c>
      <c r="E202">
        <v>5</v>
      </c>
      <c r="F202" t="s">
        <v>239</v>
      </c>
      <c r="G202" t="s">
        <v>239</v>
      </c>
      <c r="H202" s="2">
        <v>0</v>
      </c>
      <c r="I202" s="2" t="s">
        <v>157</v>
      </c>
      <c r="J202" s="2">
        <f t="shared" si="166"/>
        <v>3</v>
      </c>
      <c r="K202" s="2">
        <f t="shared" si="157"/>
        <v>1.4000000000000001</v>
      </c>
      <c r="L202" s="2">
        <f t="shared" si="158"/>
        <v>1.7</v>
      </c>
      <c r="M202" s="2">
        <v>13</v>
      </c>
      <c r="N202" s="2">
        <f t="shared" si="159"/>
        <v>134.4</v>
      </c>
      <c r="O202" s="2">
        <f t="shared" si="160"/>
        <v>13.44</v>
      </c>
      <c r="P202" s="2">
        <f t="shared" si="161"/>
        <v>2133.33</v>
      </c>
      <c r="Q202" s="2">
        <f t="shared" si="162"/>
        <v>213.33</v>
      </c>
      <c r="R202" s="2">
        <f t="shared" si="163"/>
        <v>26.88</v>
      </c>
      <c r="S202" s="2">
        <f t="shared" si="164"/>
        <v>2.69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11">
        <v>553022</v>
      </c>
      <c r="Z202" s="12" t="s">
        <v>555</v>
      </c>
      <c r="AA202" s="4">
        <v>1</v>
      </c>
      <c r="AB202" s="4">
        <v>0</v>
      </c>
      <c r="AC202" s="4"/>
      <c r="AD202" s="4">
        <f t="shared" si="167"/>
        <v>7805.8400112000008</v>
      </c>
      <c r="AF202" s="1" t="str">
        <f t="shared" si="147"/>
        <v>2</v>
      </c>
      <c r="AG202">
        <v>7</v>
      </c>
      <c r="AH202">
        <f t="shared" si="149"/>
        <v>134.4</v>
      </c>
      <c r="AI202">
        <f t="shared" si="150"/>
        <v>13.440000000000001</v>
      </c>
      <c r="AJ202">
        <f t="shared" si="151"/>
        <v>2133.3333333333335</v>
      </c>
      <c r="AK202">
        <f t="shared" si="152"/>
        <v>213.33333333333337</v>
      </c>
      <c r="AL202">
        <f t="shared" si="153"/>
        <v>26.880000000000003</v>
      </c>
      <c r="AM202">
        <f t="shared" si="165"/>
        <v>2.6880000000000006</v>
      </c>
      <c r="AN202">
        <f t="shared" si="154"/>
        <v>1.4</v>
      </c>
      <c r="AO202">
        <f t="shared" si="155"/>
        <v>1.7</v>
      </c>
      <c r="AP202">
        <f t="shared" si="156"/>
        <v>3</v>
      </c>
      <c r="AQ202">
        <v>302</v>
      </c>
      <c r="AR202">
        <v>5</v>
      </c>
      <c r="BO202" t="s">
        <v>173</v>
      </c>
      <c r="BP202" t="str">
        <f t="shared" si="168"/>
        <v>0</v>
      </c>
    </row>
    <row r="203" spans="1:68" x14ac:dyDescent="0.15">
      <c r="A203">
        <f t="shared" si="148"/>
        <v>5400075</v>
      </c>
      <c r="B203" t="s">
        <v>149</v>
      </c>
      <c r="C203">
        <v>7</v>
      </c>
      <c r="D203">
        <v>4</v>
      </c>
      <c r="E203">
        <v>5</v>
      </c>
      <c r="F203" t="s">
        <v>240</v>
      </c>
      <c r="G203" t="s">
        <v>240</v>
      </c>
      <c r="H203">
        <v>0</v>
      </c>
      <c r="I203" s="2" t="s">
        <v>161</v>
      </c>
      <c r="J203" s="2">
        <f t="shared" si="166"/>
        <v>6</v>
      </c>
      <c r="K203" s="2">
        <f t="shared" si="157"/>
        <v>1.4000000000000001</v>
      </c>
      <c r="L203" s="2">
        <f t="shared" si="158"/>
        <v>1.4000000000000001</v>
      </c>
      <c r="M203" s="2">
        <v>14</v>
      </c>
      <c r="N203" s="2">
        <f t="shared" si="159"/>
        <v>179.2</v>
      </c>
      <c r="O203" s="2">
        <f t="shared" si="160"/>
        <v>17.920000000000002</v>
      </c>
      <c r="P203" s="2">
        <f t="shared" si="161"/>
        <v>1600</v>
      </c>
      <c r="Q203" s="2">
        <f t="shared" si="162"/>
        <v>160</v>
      </c>
      <c r="R203" s="2">
        <f t="shared" si="163"/>
        <v>25.6</v>
      </c>
      <c r="S203" s="2">
        <f t="shared" si="164"/>
        <v>2.56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11">
        <v>554002</v>
      </c>
      <c r="Z203" s="12" t="s">
        <v>556</v>
      </c>
      <c r="AA203" s="4">
        <v>1</v>
      </c>
      <c r="AB203" s="4">
        <v>0</v>
      </c>
      <c r="AC203" s="4"/>
      <c r="AD203" s="4">
        <f t="shared" si="167"/>
        <v>7805.9520000000011</v>
      </c>
      <c r="AF203" s="1" t="str">
        <f t="shared" si="147"/>
        <v>0</v>
      </c>
      <c r="AG203">
        <v>7</v>
      </c>
      <c r="AH203">
        <f t="shared" si="149"/>
        <v>179.2</v>
      </c>
      <c r="AI203">
        <f t="shared" si="150"/>
        <v>17.919999999999998</v>
      </c>
      <c r="AJ203">
        <f t="shared" si="151"/>
        <v>1600</v>
      </c>
      <c r="AK203">
        <f t="shared" si="152"/>
        <v>160</v>
      </c>
      <c r="AL203">
        <f t="shared" si="153"/>
        <v>25.599999999999998</v>
      </c>
      <c r="AM203">
        <f t="shared" si="165"/>
        <v>2.56</v>
      </c>
      <c r="AN203">
        <f t="shared" si="154"/>
        <v>1.4</v>
      </c>
      <c r="AO203">
        <f t="shared" si="155"/>
        <v>1.4</v>
      </c>
      <c r="AP203">
        <f t="shared" si="156"/>
        <v>6</v>
      </c>
      <c r="AQ203">
        <v>400</v>
      </c>
      <c r="AR203">
        <v>5</v>
      </c>
      <c r="BO203" t="s">
        <v>182</v>
      </c>
      <c r="BP203" t="str">
        <f t="shared" si="168"/>
        <v>2</v>
      </c>
    </row>
    <row r="204" spans="1:68" x14ac:dyDescent="0.15">
      <c r="A204">
        <f t="shared" si="148"/>
        <v>5501075</v>
      </c>
      <c r="B204" t="s">
        <v>413</v>
      </c>
      <c r="C204">
        <v>7</v>
      </c>
      <c r="D204">
        <v>5</v>
      </c>
      <c r="E204">
        <v>5</v>
      </c>
      <c r="F204" t="s">
        <v>709</v>
      </c>
      <c r="G204" t="s">
        <v>709</v>
      </c>
      <c r="H204" s="22">
        <v>0</v>
      </c>
      <c r="I204" s="28" t="s">
        <v>721</v>
      </c>
      <c r="J204" s="2">
        <f t="shared" si="166"/>
        <v>6</v>
      </c>
      <c r="K204" s="2">
        <f t="shared" si="157"/>
        <v>1.6</v>
      </c>
      <c r="L204" s="2">
        <f t="shared" si="158"/>
        <v>2</v>
      </c>
      <c r="M204" s="2">
        <v>15</v>
      </c>
      <c r="N204" s="2">
        <f t="shared" si="159"/>
        <v>238.93</v>
      </c>
      <c r="O204" s="2">
        <f t="shared" si="160"/>
        <v>23.89</v>
      </c>
      <c r="P204" s="2">
        <f t="shared" si="161"/>
        <v>1371.43</v>
      </c>
      <c r="Q204" s="2">
        <f t="shared" si="162"/>
        <v>137.13999999999999</v>
      </c>
      <c r="R204" s="2">
        <f t="shared" si="163"/>
        <v>29.87</v>
      </c>
      <c r="S204" s="2">
        <f t="shared" si="164"/>
        <v>2.99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11">
        <v>555012</v>
      </c>
      <c r="Z204" s="26" t="s">
        <v>557</v>
      </c>
      <c r="AA204" s="4">
        <v>1</v>
      </c>
      <c r="AB204" s="4">
        <v>0</v>
      </c>
      <c r="AC204" s="4"/>
      <c r="AD204" s="4">
        <f t="shared" si="167"/>
        <v>7804.8050180428099</v>
      </c>
      <c r="AF204" s="1" t="str">
        <f t="shared" si="147"/>
        <v>1</v>
      </c>
      <c r="AG204">
        <v>7</v>
      </c>
      <c r="AH204">
        <f t="shared" si="149"/>
        <v>238.93333333333331</v>
      </c>
      <c r="AI204">
        <f t="shared" si="150"/>
        <v>23.893333333333331</v>
      </c>
      <c r="AJ204">
        <f t="shared" si="151"/>
        <v>1371.4285714285716</v>
      </c>
      <c r="AK204">
        <f t="shared" si="152"/>
        <v>137.14285714285717</v>
      </c>
      <c r="AL204">
        <f t="shared" si="153"/>
        <v>29.866666666666664</v>
      </c>
      <c r="AM204">
        <f t="shared" si="165"/>
        <v>2.9866666666666664</v>
      </c>
      <c r="AN204">
        <f t="shared" si="154"/>
        <v>1.6</v>
      </c>
      <c r="AO204">
        <f t="shared" si="155"/>
        <v>2</v>
      </c>
      <c r="AP204">
        <f t="shared" si="156"/>
        <v>6</v>
      </c>
      <c r="AQ204">
        <v>501</v>
      </c>
      <c r="AR204">
        <v>5</v>
      </c>
      <c r="BO204" t="s">
        <v>184</v>
      </c>
      <c r="BP204" t="str">
        <f t="shared" si="168"/>
        <v>0</v>
      </c>
    </row>
    <row r="205" spans="1:68" x14ac:dyDescent="0.15">
      <c r="A205">
        <f t="shared" ref="A205:A268" si="169">AR205*1000000+AQ205*1000+C205*10+E205</f>
        <v>5200081</v>
      </c>
      <c r="B205" t="s">
        <v>160</v>
      </c>
      <c r="C205">
        <v>8</v>
      </c>
      <c r="D205">
        <v>2</v>
      </c>
      <c r="E205">
        <v>1</v>
      </c>
      <c r="F205" t="s">
        <v>207</v>
      </c>
      <c r="G205" t="s">
        <v>207</v>
      </c>
      <c r="H205" s="2">
        <v>0</v>
      </c>
      <c r="I205" s="28" t="s">
        <v>711</v>
      </c>
      <c r="J205" s="2">
        <f t="shared" si="166"/>
        <v>3</v>
      </c>
      <c r="K205" s="2">
        <f t="shared" ref="K205:K268" si="170">FLOOR(AN205/1,0.01)</f>
        <v>1.5</v>
      </c>
      <c r="L205" s="2">
        <f t="shared" ref="L205:L268" si="171">FLOOR(AO205/1,0.01)</f>
        <v>1.2</v>
      </c>
      <c r="M205" s="2">
        <v>10</v>
      </c>
      <c r="N205" s="2">
        <f t="shared" ref="N205:N268" si="172">ROUND(AH205,2)</f>
        <v>176</v>
      </c>
      <c r="O205" s="2">
        <f t="shared" ref="O205:O268" si="173">ROUND(AI205,2)</f>
        <v>17.600000000000001</v>
      </c>
      <c r="P205" s="2">
        <f t="shared" ref="P205:P268" si="174">ROUND(AJ205,2)</f>
        <v>2112</v>
      </c>
      <c r="Q205" s="2">
        <f t="shared" ref="Q205:Q268" si="175">ROUND(AK205,2)</f>
        <v>211.2</v>
      </c>
      <c r="R205" s="2">
        <f t="shared" ref="R205:R268" si="176">ROUND(AL205,2)</f>
        <v>44</v>
      </c>
      <c r="S205" s="2">
        <f t="shared" ref="S205:S268" si="177">ROUND(AM205,2)</f>
        <v>4.4000000000000004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11">
        <v>512002</v>
      </c>
      <c r="Z205" s="12" t="s">
        <v>558</v>
      </c>
      <c r="AA205" s="4">
        <v>1</v>
      </c>
      <c r="AB205" s="4">
        <v>0</v>
      </c>
      <c r="AC205" s="4"/>
      <c r="AD205" s="4">
        <f t="shared" si="167"/>
        <v>9445.2019200000013</v>
      </c>
      <c r="AF205" s="1" t="str">
        <f t="shared" si="147"/>
        <v>0</v>
      </c>
      <c r="AG205">
        <v>8</v>
      </c>
      <c r="AH205">
        <f t="shared" si="149"/>
        <v>176</v>
      </c>
      <c r="AI205">
        <f t="shared" si="150"/>
        <v>17.600000000000001</v>
      </c>
      <c r="AJ205">
        <f t="shared" si="151"/>
        <v>2112</v>
      </c>
      <c r="AK205">
        <f t="shared" si="152"/>
        <v>211.20000000000002</v>
      </c>
      <c r="AL205">
        <f t="shared" si="153"/>
        <v>44</v>
      </c>
      <c r="AM205">
        <f t="shared" ref="AM205:AM268" si="178">AL205*0.1</f>
        <v>4.4000000000000004</v>
      </c>
      <c r="AN205">
        <f t="shared" si="154"/>
        <v>1.5</v>
      </c>
      <c r="AO205">
        <f t="shared" si="155"/>
        <v>1.2</v>
      </c>
      <c r="AP205">
        <f t="shared" si="156"/>
        <v>3</v>
      </c>
      <c r="AQ205">
        <v>200</v>
      </c>
      <c r="AR205">
        <v>5</v>
      </c>
      <c r="BO205" t="s">
        <v>141</v>
      </c>
      <c r="BP205" t="str">
        <f t="shared" si="168"/>
        <v>1</v>
      </c>
    </row>
    <row r="206" spans="1:68" x14ac:dyDescent="0.15">
      <c r="A206">
        <f t="shared" si="169"/>
        <v>5201081</v>
      </c>
      <c r="B206" t="s">
        <v>407</v>
      </c>
      <c r="C206">
        <v>8</v>
      </c>
      <c r="D206">
        <v>2</v>
      </c>
      <c r="E206">
        <v>1</v>
      </c>
      <c r="F206" t="s">
        <v>208</v>
      </c>
      <c r="G206" t="s">
        <v>208</v>
      </c>
      <c r="H206" s="2">
        <v>0</v>
      </c>
      <c r="I206" s="2" t="s">
        <v>92</v>
      </c>
      <c r="J206" s="2">
        <f t="shared" si="166"/>
        <v>3</v>
      </c>
      <c r="K206" s="2">
        <f t="shared" si="170"/>
        <v>1.8</v>
      </c>
      <c r="L206" s="2">
        <f t="shared" si="171"/>
        <v>1.8</v>
      </c>
      <c r="M206" s="2">
        <v>10</v>
      </c>
      <c r="N206" s="2">
        <f t="shared" si="172"/>
        <v>168.96</v>
      </c>
      <c r="O206" s="2">
        <f t="shared" si="173"/>
        <v>16.899999999999999</v>
      </c>
      <c r="P206" s="2">
        <f t="shared" si="174"/>
        <v>2640</v>
      </c>
      <c r="Q206" s="2">
        <f t="shared" si="175"/>
        <v>264</v>
      </c>
      <c r="R206" s="2">
        <f t="shared" si="176"/>
        <v>56.32</v>
      </c>
      <c r="S206" s="2">
        <f t="shared" si="177"/>
        <v>5.63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11">
        <v>512012</v>
      </c>
      <c r="Z206" s="12" t="s">
        <v>559</v>
      </c>
      <c r="AA206" s="4">
        <v>1</v>
      </c>
      <c r="AB206" s="4">
        <v>0</v>
      </c>
      <c r="AC206" s="4"/>
      <c r="AD206" s="4">
        <f t="shared" si="167"/>
        <v>9447.2347199999967</v>
      </c>
      <c r="AF206" s="1" t="str">
        <f t="shared" si="147"/>
        <v>1</v>
      </c>
      <c r="AG206">
        <v>8</v>
      </c>
      <c r="AH206">
        <f t="shared" si="149"/>
        <v>168.96000000000004</v>
      </c>
      <c r="AI206">
        <f t="shared" si="150"/>
        <v>16.896000000000004</v>
      </c>
      <c r="AJ206">
        <f t="shared" si="151"/>
        <v>2640</v>
      </c>
      <c r="AK206">
        <f t="shared" si="152"/>
        <v>264</v>
      </c>
      <c r="AL206">
        <f t="shared" si="153"/>
        <v>56.320000000000014</v>
      </c>
      <c r="AM206">
        <f t="shared" si="178"/>
        <v>5.6320000000000014</v>
      </c>
      <c r="AN206">
        <f t="shared" si="154"/>
        <v>1.8</v>
      </c>
      <c r="AO206">
        <f t="shared" si="155"/>
        <v>1.8</v>
      </c>
      <c r="AP206">
        <f t="shared" si="156"/>
        <v>3</v>
      </c>
      <c r="AQ206">
        <v>201</v>
      </c>
      <c r="AR206">
        <v>5</v>
      </c>
      <c r="BO206" t="s">
        <v>186</v>
      </c>
      <c r="BP206" t="str">
        <f t="shared" si="168"/>
        <v>0</v>
      </c>
    </row>
    <row r="207" spans="1:68" x14ac:dyDescent="0.15">
      <c r="A207">
        <f t="shared" si="169"/>
        <v>5202081</v>
      </c>
      <c r="B207" t="s">
        <v>408</v>
      </c>
      <c r="C207">
        <v>8</v>
      </c>
      <c r="D207">
        <v>2</v>
      </c>
      <c r="E207">
        <v>1</v>
      </c>
      <c r="F207" t="s">
        <v>210</v>
      </c>
      <c r="G207" t="s">
        <v>210</v>
      </c>
      <c r="H207">
        <v>0</v>
      </c>
      <c r="I207" s="28" t="s">
        <v>712</v>
      </c>
      <c r="J207" s="2">
        <f t="shared" si="166"/>
        <v>3</v>
      </c>
      <c r="K207" s="2">
        <f t="shared" si="170"/>
        <v>1.8</v>
      </c>
      <c r="L207" s="2">
        <f t="shared" si="171"/>
        <v>2</v>
      </c>
      <c r="M207" s="2">
        <v>10</v>
      </c>
      <c r="N207" s="2">
        <f t="shared" si="172"/>
        <v>190.08</v>
      </c>
      <c r="O207" s="2">
        <f t="shared" si="173"/>
        <v>19.010000000000002</v>
      </c>
      <c r="P207" s="2">
        <f t="shared" si="174"/>
        <v>2346.67</v>
      </c>
      <c r="Q207" s="2">
        <f t="shared" si="175"/>
        <v>234.67</v>
      </c>
      <c r="R207" s="2">
        <f t="shared" si="176"/>
        <v>38.020000000000003</v>
      </c>
      <c r="S207" s="2">
        <f t="shared" si="177"/>
        <v>3.8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11">
        <v>512022</v>
      </c>
      <c r="Z207" s="12" t="s">
        <v>560</v>
      </c>
      <c r="AA207" s="4">
        <v>1</v>
      </c>
      <c r="AB207" s="4">
        <v>0</v>
      </c>
      <c r="AC207" s="4"/>
      <c r="AD207" s="4">
        <f t="shared" si="167"/>
        <v>9446.2285861299988</v>
      </c>
      <c r="AF207" s="1" t="str">
        <f t="shared" si="147"/>
        <v>2</v>
      </c>
      <c r="AG207">
        <v>8</v>
      </c>
      <c r="AH207">
        <f t="shared" si="149"/>
        <v>190.08000000000004</v>
      </c>
      <c r="AI207">
        <f t="shared" si="150"/>
        <v>19.008000000000006</v>
      </c>
      <c r="AJ207">
        <f t="shared" si="151"/>
        <v>2346.666666666667</v>
      </c>
      <c r="AK207">
        <f t="shared" si="152"/>
        <v>234.66666666666671</v>
      </c>
      <c r="AL207">
        <f t="shared" si="153"/>
        <v>38.016000000000005</v>
      </c>
      <c r="AM207">
        <f t="shared" si="178"/>
        <v>3.8016000000000005</v>
      </c>
      <c r="AN207">
        <f t="shared" si="154"/>
        <v>1.8</v>
      </c>
      <c r="AO207">
        <f t="shared" si="155"/>
        <v>2</v>
      </c>
      <c r="AP207">
        <f t="shared" si="156"/>
        <v>3</v>
      </c>
      <c r="AQ207">
        <v>202</v>
      </c>
      <c r="AR207">
        <v>5</v>
      </c>
      <c r="BO207" t="s">
        <v>176</v>
      </c>
      <c r="BP207" t="str">
        <f t="shared" si="168"/>
        <v>2</v>
      </c>
    </row>
    <row r="208" spans="1:68" x14ac:dyDescent="0.15">
      <c r="A208">
        <f t="shared" si="169"/>
        <v>5301081</v>
      </c>
      <c r="B208" t="s">
        <v>409</v>
      </c>
      <c r="C208">
        <v>8</v>
      </c>
      <c r="D208">
        <v>3</v>
      </c>
      <c r="E208">
        <v>1</v>
      </c>
      <c r="F208" t="s">
        <v>211</v>
      </c>
      <c r="G208" t="s">
        <v>211</v>
      </c>
      <c r="H208" s="2">
        <v>0</v>
      </c>
      <c r="I208" s="28" t="s">
        <v>713</v>
      </c>
      <c r="J208" s="2">
        <f t="shared" si="166"/>
        <v>3</v>
      </c>
      <c r="K208" s="2">
        <f t="shared" si="170"/>
        <v>1.2</v>
      </c>
      <c r="L208" s="2">
        <f t="shared" si="171"/>
        <v>2</v>
      </c>
      <c r="M208" s="2">
        <v>10</v>
      </c>
      <c r="N208" s="2">
        <f t="shared" si="172"/>
        <v>126.72</v>
      </c>
      <c r="O208" s="2">
        <f t="shared" si="173"/>
        <v>12.67</v>
      </c>
      <c r="P208" s="2">
        <f t="shared" si="174"/>
        <v>2346.67</v>
      </c>
      <c r="Q208" s="2">
        <f t="shared" si="175"/>
        <v>234.67</v>
      </c>
      <c r="R208" s="2">
        <f t="shared" si="176"/>
        <v>25.34</v>
      </c>
      <c r="S208" s="2">
        <f t="shared" si="177"/>
        <v>2.5299999999999998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11">
        <v>513012</v>
      </c>
      <c r="Z208" s="12" t="s">
        <v>561</v>
      </c>
      <c r="AA208" s="4">
        <v>1</v>
      </c>
      <c r="AB208" s="4">
        <v>0</v>
      </c>
      <c r="AC208" s="4"/>
      <c r="AD208" s="4">
        <f t="shared" si="167"/>
        <v>9443.9698900050007</v>
      </c>
      <c r="AF208" s="1" t="str">
        <f t="shared" si="147"/>
        <v>1</v>
      </c>
      <c r="AG208">
        <v>8</v>
      </c>
      <c r="AH208">
        <f t="shared" si="149"/>
        <v>126.72000000000003</v>
      </c>
      <c r="AI208">
        <f t="shared" si="150"/>
        <v>12.672000000000004</v>
      </c>
      <c r="AJ208">
        <f t="shared" si="151"/>
        <v>2346.666666666667</v>
      </c>
      <c r="AK208">
        <f t="shared" si="152"/>
        <v>234.66666666666671</v>
      </c>
      <c r="AL208">
        <f t="shared" si="153"/>
        <v>25.344000000000005</v>
      </c>
      <c r="AM208">
        <f t="shared" si="178"/>
        <v>2.5344000000000007</v>
      </c>
      <c r="AN208">
        <f t="shared" si="154"/>
        <v>1.2</v>
      </c>
      <c r="AO208">
        <f t="shared" si="155"/>
        <v>2</v>
      </c>
      <c r="AP208">
        <f t="shared" si="156"/>
        <v>3</v>
      </c>
      <c r="AQ208">
        <v>301</v>
      </c>
      <c r="AR208">
        <v>5</v>
      </c>
      <c r="BO208" t="s">
        <v>169</v>
      </c>
      <c r="BP208" t="str">
        <f t="shared" si="168"/>
        <v>0</v>
      </c>
    </row>
    <row r="209" spans="1:68" x14ac:dyDescent="0.15">
      <c r="A209">
        <f t="shared" si="169"/>
        <v>5401081</v>
      </c>
      <c r="B209" t="s">
        <v>410</v>
      </c>
      <c r="C209">
        <v>8</v>
      </c>
      <c r="D209">
        <v>4</v>
      </c>
      <c r="E209">
        <v>1</v>
      </c>
      <c r="F209" t="s">
        <v>212</v>
      </c>
      <c r="G209" t="s">
        <v>212</v>
      </c>
      <c r="H209" s="2">
        <v>0</v>
      </c>
      <c r="I209" s="2" t="s">
        <v>103</v>
      </c>
      <c r="J209" s="2">
        <f t="shared" si="166"/>
        <v>6</v>
      </c>
      <c r="K209" s="2">
        <f t="shared" si="170"/>
        <v>1.6</v>
      </c>
      <c r="L209" s="2">
        <f t="shared" si="171"/>
        <v>2</v>
      </c>
      <c r="M209" s="2">
        <v>10</v>
      </c>
      <c r="N209" s="2">
        <f t="shared" si="172"/>
        <v>225.28</v>
      </c>
      <c r="O209" s="2">
        <f t="shared" si="173"/>
        <v>22.53</v>
      </c>
      <c r="P209" s="2">
        <f t="shared" si="174"/>
        <v>1760</v>
      </c>
      <c r="Q209" s="2">
        <f t="shared" si="175"/>
        <v>176</v>
      </c>
      <c r="R209" s="2">
        <f t="shared" si="176"/>
        <v>32.18</v>
      </c>
      <c r="S209" s="2">
        <f t="shared" si="177"/>
        <v>3.22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11">
        <v>514012</v>
      </c>
      <c r="Z209" s="12" t="s">
        <v>562</v>
      </c>
      <c r="AA209" s="4">
        <v>1</v>
      </c>
      <c r="AB209" s="4">
        <v>0</v>
      </c>
      <c r="AC209" s="4"/>
      <c r="AD209" s="4">
        <f t="shared" si="167"/>
        <v>9445.9642199999998</v>
      </c>
      <c r="AF209" s="1" t="str">
        <f t="shared" si="147"/>
        <v>1</v>
      </c>
      <c r="AG209">
        <v>8</v>
      </c>
      <c r="AH209">
        <f t="shared" si="149"/>
        <v>225.28000000000003</v>
      </c>
      <c r="AI209">
        <f t="shared" si="150"/>
        <v>22.528000000000006</v>
      </c>
      <c r="AJ209">
        <f t="shared" si="151"/>
        <v>1760.0000000000002</v>
      </c>
      <c r="AK209">
        <f t="shared" si="152"/>
        <v>176.00000000000003</v>
      </c>
      <c r="AL209">
        <f t="shared" si="153"/>
        <v>32.182857142857145</v>
      </c>
      <c r="AM209">
        <f t="shared" si="178"/>
        <v>3.2182857142857149</v>
      </c>
      <c r="AN209">
        <f t="shared" si="154"/>
        <v>1.6</v>
      </c>
      <c r="AO209">
        <f t="shared" si="155"/>
        <v>2</v>
      </c>
      <c r="AP209">
        <f t="shared" si="156"/>
        <v>6</v>
      </c>
      <c r="AQ209">
        <v>401</v>
      </c>
      <c r="AR209">
        <v>5</v>
      </c>
      <c r="BO209" t="s">
        <v>178</v>
      </c>
      <c r="BP209" t="str">
        <f t="shared" si="168"/>
        <v>2</v>
      </c>
    </row>
    <row r="210" spans="1:68" x14ac:dyDescent="0.15">
      <c r="A210">
        <f t="shared" si="169"/>
        <v>5402081</v>
      </c>
      <c r="B210" t="s">
        <v>102</v>
      </c>
      <c r="C210">
        <v>8</v>
      </c>
      <c r="D210">
        <v>4</v>
      </c>
      <c r="E210">
        <v>1</v>
      </c>
      <c r="F210" t="s">
        <v>213</v>
      </c>
      <c r="G210" t="s">
        <v>213</v>
      </c>
      <c r="H210">
        <v>0</v>
      </c>
      <c r="I210" s="28" t="s">
        <v>714</v>
      </c>
      <c r="J210" s="2">
        <f t="shared" si="166"/>
        <v>6</v>
      </c>
      <c r="K210" s="2">
        <f t="shared" si="170"/>
        <v>1.5</v>
      </c>
      <c r="L210" s="2">
        <f t="shared" si="171"/>
        <v>1.5</v>
      </c>
      <c r="M210" s="2">
        <v>10</v>
      </c>
      <c r="N210" s="2">
        <f t="shared" si="172"/>
        <v>211.2</v>
      </c>
      <c r="O210" s="2">
        <f t="shared" si="173"/>
        <v>21.12</v>
      </c>
      <c r="P210" s="2">
        <f t="shared" si="174"/>
        <v>1760</v>
      </c>
      <c r="Q210" s="2">
        <f t="shared" si="175"/>
        <v>176</v>
      </c>
      <c r="R210" s="2">
        <f t="shared" si="176"/>
        <v>30.17</v>
      </c>
      <c r="S210" s="2">
        <f t="shared" si="177"/>
        <v>3.02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11">
        <v>514022</v>
      </c>
      <c r="Z210" s="12" t="s">
        <v>563</v>
      </c>
      <c r="AA210" s="4">
        <v>1</v>
      </c>
      <c r="AB210" s="4">
        <v>0</v>
      </c>
      <c r="AC210" s="4"/>
      <c r="AD210" s="4">
        <f t="shared" si="167"/>
        <v>9445.2019199999995</v>
      </c>
      <c r="AF210" s="1" t="str">
        <f t="shared" si="147"/>
        <v>2</v>
      </c>
      <c r="AG210">
        <v>8</v>
      </c>
      <c r="AH210">
        <f t="shared" si="149"/>
        <v>211.20000000000002</v>
      </c>
      <c r="AI210">
        <f t="shared" si="150"/>
        <v>21.120000000000005</v>
      </c>
      <c r="AJ210">
        <f t="shared" si="151"/>
        <v>1760.0000000000002</v>
      </c>
      <c r="AK210">
        <f t="shared" si="152"/>
        <v>176.00000000000003</v>
      </c>
      <c r="AL210">
        <f t="shared" si="153"/>
        <v>30.171428571428574</v>
      </c>
      <c r="AM210">
        <f t="shared" si="178"/>
        <v>3.0171428571428578</v>
      </c>
      <c r="AN210">
        <f t="shared" si="154"/>
        <v>1.5</v>
      </c>
      <c r="AO210">
        <f t="shared" si="155"/>
        <v>1.5</v>
      </c>
      <c r="AP210">
        <f t="shared" si="156"/>
        <v>6</v>
      </c>
      <c r="AQ210">
        <v>402</v>
      </c>
      <c r="AR210">
        <v>5</v>
      </c>
      <c r="BO210" t="s">
        <v>188</v>
      </c>
      <c r="BP210" t="str">
        <f t="shared" si="168"/>
        <v>0</v>
      </c>
    </row>
    <row r="211" spans="1:68" x14ac:dyDescent="0.15">
      <c r="A211">
        <f t="shared" si="169"/>
        <v>5500081</v>
      </c>
      <c r="B211" t="s">
        <v>411</v>
      </c>
      <c r="C211">
        <v>8</v>
      </c>
      <c r="D211">
        <v>5</v>
      </c>
      <c r="E211">
        <v>1</v>
      </c>
      <c r="F211" t="s">
        <v>214</v>
      </c>
      <c r="G211" t="s">
        <v>214</v>
      </c>
      <c r="H211">
        <v>0</v>
      </c>
      <c r="I211" s="2" t="s">
        <v>109</v>
      </c>
      <c r="J211" s="2">
        <f t="shared" si="166"/>
        <v>6</v>
      </c>
      <c r="K211" s="2">
        <f t="shared" si="170"/>
        <v>1.5</v>
      </c>
      <c r="L211" s="2">
        <f t="shared" si="171"/>
        <v>1.5</v>
      </c>
      <c r="M211" s="2">
        <v>10</v>
      </c>
      <c r="N211" s="2">
        <f t="shared" si="172"/>
        <v>246.4</v>
      </c>
      <c r="O211" s="2">
        <f t="shared" si="173"/>
        <v>24.64</v>
      </c>
      <c r="P211" s="2">
        <f t="shared" si="174"/>
        <v>1508.57</v>
      </c>
      <c r="Q211" s="2">
        <f t="shared" si="175"/>
        <v>150.86000000000001</v>
      </c>
      <c r="R211" s="2">
        <f t="shared" si="176"/>
        <v>30.8</v>
      </c>
      <c r="S211" s="2">
        <f t="shared" si="177"/>
        <v>3.08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11">
        <v>515002</v>
      </c>
      <c r="Z211" s="12" t="s">
        <v>564</v>
      </c>
      <c r="AA211" s="4">
        <v>1</v>
      </c>
      <c r="AB211" s="4">
        <v>0</v>
      </c>
      <c r="AC211" s="4"/>
      <c r="AD211" s="4">
        <f t="shared" si="167"/>
        <v>9445.3637308800025</v>
      </c>
      <c r="AF211" s="1" t="str">
        <f t="shared" si="147"/>
        <v>0</v>
      </c>
      <c r="AG211">
        <v>8</v>
      </c>
      <c r="AH211">
        <f t="shared" si="149"/>
        <v>246.39999999999995</v>
      </c>
      <c r="AI211">
        <f t="shared" si="150"/>
        <v>24.639999999999997</v>
      </c>
      <c r="AJ211">
        <f t="shared" si="151"/>
        <v>1508.5714285714289</v>
      </c>
      <c r="AK211">
        <f t="shared" si="152"/>
        <v>150.85714285714289</v>
      </c>
      <c r="AL211">
        <f t="shared" si="153"/>
        <v>30.799999999999994</v>
      </c>
      <c r="AM211">
        <f t="shared" si="178"/>
        <v>3.0799999999999996</v>
      </c>
      <c r="AN211">
        <f t="shared" si="154"/>
        <v>1.5</v>
      </c>
      <c r="AO211">
        <f t="shared" si="155"/>
        <v>1.5</v>
      </c>
      <c r="AP211">
        <f t="shared" si="156"/>
        <v>6</v>
      </c>
      <c r="AQ211">
        <v>500</v>
      </c>
      <c r="AR211">
        <v>5</v>
      </c>
      <c r="BO211" t="s">
        <v>180</v>
      </c>
      <c r="BP211" t="str">
        <f t="shared" si="168"/>
        <v>2</v>
      </c>
    </row>
    <row r="212" spans="1:68" x14ac:dyDescent="0.15">
      <c r="A212">
        <f t="shared" si="169"/>
        <v>5502081</v>
      </c>
      <c r="B212" t="s">
        <v>115</v>
      </c>
      <c r="C212">
        <v>8</v>
      </c>
      <c r="D212">
        <v>5</v>
      </c>
      <c r="E212">
        <v>1</v>
      </c>
      <c r="F212" t="s">
        <v>215</v>
      </c>
      <c r="G212" t="s">
        <v>215</v>
      </c>
      <c r="H212" s="2">
        <v>0</v>
      </c>
      <c r="I212" s="2" t="s">
        <v>113</v>
      </c>
      <c r="J212" s="2">
        <f t="shared" si="166"/>
        <v>6</v>
      </c>
      <c r="K212" s="2">
        <f t="shared" si="170"/>
        <v>1.4000000000000001</v>
      </c>
      <c r="L212" s="2">
        <f t="shared" si="171"/>
        <v>2</v>
      </c>
      <c r="M212" s="2">
        <v>10</v>
      </c>
      <c r="N212" s="2">
        <f t="shared" si="172"/>
        <v>229.97</v>
      </c>
      <c r="O212" s="2">
        <f t="shared" si="173"/>
        <v>23</v>
      </c>
      <c r="P212" s="2">
        <f t="shared" si="174"/>
        <v>1508.57</v>
      </c>
      <c r="Q212" s="2">
        <f t="shared" si="175"/>
        <v>150.86000000000001</v>
      </c>
      <c r="R212" s="2">
        <f t="shared" si="176"/>
        <v>28.75</v>
      </c>
      <c r="S212" s="2">
        <f t="shared" si="177"/>
        <v>2.87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11">
        <v>515022</v>
      </c>
      <c r="Z212" s="12" t="s">
        <v>565</v>
      </c>
      <c r="AA212" s="4">
        <v>1</v>
      </c>
      <c r="AB212" s="4">
        <v>0</v>
      </c>
      <c r="AC212" s="4"/>
      <c r="AD212" s="4">
        <f t="shared" si="167"/>
        <v>9446.346959152499</v>
      </c>
      <c r="AF212" s="1" t="str">
        <f t="shared" si="147"/>
        <v>2</v>
      </c>
      <c r="AG212">
        <v>8</v>
      </c>
      <c r="AH212">
        <f t="shared" si="149"/>
        <v>229.97333333333333</v>
      </c>
      <c r="AI212">
        <f t="shared" si="150"/>
        <v>22.997333333333334</v>
      </c>
      <c r="AJ212">
        <f t="shared" si="151"/>
        <v>1508.5714285714289</v>
      </c>
      <c r="AK212">
        <f t="shared" si="152"/>
        <v>150.85714285714289</v>
      </c>
      <c r="AL212">
        <f t="shared" si="153"/>
        <v>28.746666666666666</v>
      </c>
      <c r="AM212">
        <f t="shared" si="178"/>
        <v>2.8746666666666667</v>
      </c>
      <c r="AN212">
        <f t="shared" si="154"/>
        <v>1.4</v>
      </c>
      <c r="AO212">
        <f t="shared" si="155"/>
        <v>2</v>
      </c>
      <c r="AP212">
        <f t="shared" si="156"/>
        <v>6</v>
      </c>
      <c r="AQ212">
        <v>502</v>
      </c>
      <c r="AR212">
        <v>5</v>
      </c>
      <c r="BO212" t="s">
        <v>173</v>
      </c>
      <c r="BP212" t="str">
        <f t="shared" si="168"/>
        <v>0</v>
      </c>
    </row>
    <row r="213" spans="1:68" x14ac:dyDescent="0.15">
      <c r="A213">
        <f t="shared" si="169"/>
        <v>5601081</v>
      </c>
      <c r="B213" t="s">
        <v>412</v>
      </c>
      <c r="C213">
        <v>8</v>
      </c>
      <c r="D213">
        <v>6</v>
      </c>
      <c r="E213">
        <v>1</v>
      </c>
      <c r="F213" t="s">
        <v>216</v>
      </c>
      <c r="G213" t="s">
        <v>216</v>
      </c>
      <c r="H213">
        <v>0</v>
      </c>
      <c r="I213" s="2" t="s">
        <v>116</v>
      </c>
      <c r="J213" s="2">
        <f t="shared" si="166"/>
        <v>6</v>
      </c>
      <c r="K213" s="2">
        <f t="shared" si="170"/>
        <v>1.5</v>
      </c>
      <c r="L213" s="2">
        <f t="shared" si="171"/>
        <v>2</v>
      </c>
      <c r="M213" s="2">
        <v>10</v>
      </c>
      <c r="N213" s="2">
        <f t="shared" si="172"/>
        <v>272.8</v>
      </c>
      <c r="O213" s="2">
        <f t="shared" si="173"/>
        <v>27.28</v>
      </c>
      <c r="P213" s="2">
        <f t="shared" si="174"/>
        <v>1362.58</v>
      </c>
      <c r="Q213" s="2">
        <f t="shared" si="175"/>
        <v>136.26</v>
      </c>
      <c r="R213" s="2">
        <f t="shared" si="176"/>
        <v>27.28</v>
      </c>
      <c r="S213" s="2">
        <f t="shared" si="177"/>
        <v>2.73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11">
        <v>516012</v>
      </c>
      <c r="Z213" s="12" t="s">
        <v>566</v>
      </c>
      <c r="AA213" s="4">
        <v>1</v>
      </c>
      <c r="AB213" s="4">
        <v>0</v>
      </c>
      <c r="AC213" s="4"/>
      <c r="AD213" s="4">
        <f t="shared" si="167"/>
        <v>9445.3234814399984</v>
      </c>
      <c r="AF213" s="1" t="str">
        <f t="shared" si="147"/>
        <v>1</v>
      </c>
      <c r="AG213">
        <v>8</v>
      </c>
      <c r="AH213">
        <f t="shared" si="149"/>
        <v>272.8</v>
      </c>
      <c r="AI213">
        <f t="shared" si="150"/>
        <v>27.28</v>
      </c>
      <c r="AJ213">
        <f t="shared" si="151"/>
        <v>1362.5806451612905</v>
      </c>
      <c r="AK213">
        <f t="shared" si="152"/>
        <v>136.25806451612905</v>
      </c>
      <c r="AL213">
        <f t="shared" si="153"/>
        <v>27.28</v>
      </c>
      <c r="AM213">
        <f t="shared" si="178"/>
        <v>2.7280000000000002</v>
      </c>
      <c r="AN213">
        <f t="shared" si="154"/>
        <v>1.5</v>
      </c>
      <c r="AO213">
        <f t="shared" si="155"/>
        <v>2</v>
      </c>
      <c r="AP213">
        <f t="shared" si="156"/>
        <v>6</v>
      </c>
      <c r="AQ213">
        <v>601</v>
      </c>
      <c r="AR213">
        <v>5</v>
      </c>
      <c r="BO213" t="s">
        <v>182</v>
      </c>
      <c r="BP213" t="str">
        <f t="shared" si="168"/>
        <v>2</v>
      </c>
    </row>
    <row r="214" spans="1:68" x14ac:dyDescent="0.15">
      <c r="A214">
        <f t="shared" si="169"/>
        <v>5200082</v>
      </c>
      <c r="B214" t="s">
        <v>160</v>
      </c>
      <c r="C214">
        <v>8</v>
      </c>
      <c r="D214">
        <v>2</v>
      </c>
      <c r="E214">
        <v>2</v>
      </c>
      <c r="F214" t="s">
        <v>217</v>
      </c>
      <c r="G214" t="s">
        <v>217</v>
      </c>
      <c r="H214">
        <v>0</v>
      </c>
      <c r="I214" s="28" t="s">
        <v>715</v>
      </c>
      <c r="J214" s="2">
        <f t="shared" si="166"/>
        <v>3</v>
      </c>
      <c r="K214" s="2">
        <f t="shared" si="170"/>
        <v>1.5</v>
      </c>
      <c r="L214" s="2">
        <f t="shared" si="171"/>
        <v>1.2</v>
      </c>
      <c r="M214" s="2">
        <v>10</v>
      </c>
      <c r="N214" s="2">
        <f t="shared" si="172"/>
        <v>176</v>
      </c>
      <c r="O214" s="2">
        <f t="shared" si="173"/>
        <v>17.600000000000001</v>
      </c>
      <c r="P214" s="2">
        <f t="shared" si="174"/>
        <v>2112</v>
      </c>
      <c r="Q214" s="2">
        <f t="shared" si="175"/>
        <v>211.2</v>
      </c>
      <c r="R214" s="2">
        <f t="shared" si="176"/>
        <v>44</v>
      </c>
      <c r="S214" s="2">
        <f t="shared" si="177"/>
        <v>4.4000000000000004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11">
        <v>522002</v>
      </c>
      <c r="Z214" s="12" t="s">
        <v>567</v>
      </c>
      <c r="AA214" s="4">
        <v>1</v>
      </c>
      <c r="AB214" s="4">
        <v>0</v>
      </c>
      <c r="AC214" s="4"/>
      <c r="AD214" s="4">
        <f t="shared" si="167"/>
        <v>9445.2019200000013</v>
      </c>
      <c r="AF214" s="1" t="str">
        <f t="shared" si="147"/>
        <v>0</v>
      </c>
      <c r="AG214">
        <v>8</v>
      </c>
      <c r="AH214">
        <f t="shared" si="149"/>
        <v>176</v>
      </c>
      <c r="AI214">
        <f t="shared" si="150"/>
        <v>17.600000000000001</v>
      </c>
      <c r="AJ214">
        <f t="shared" si="151"/>
        <v>2112</v>
      </c>
      <c r="AK214">
        <f t="shared" si="152"/>
        <v>211.20000000000002</v>
      </c>
      <c r="AL214">
        <f t="shared" si="153"/>
        <v>44</v>
      </c>
      <c r="AM214">
        <f t="shared" si="178"/>
        <v>4.4000000000000004</v>
      </c>
      <c r="AN214">
        <f t="shared" si="154"/>
        <v>1.5</v>
      </c>
      <c r="AO214">
        <f t="shared" si="155"/>
        <v>1.2</v>
      </c>
      <c r="AP214">
        <f t="shared" si="156"/>
        <v>3</v>
      </c>
      <c r="AQ214">
        <v>200</v>
      </c>
      <c r="AR214">
        <v>5</v>
      </c>
      <c r="BO214" t="s">
        <v>184</v>
      </c>
      <c r="BP214" t="str">
        <f t="shared" si="168"/>
        <v>0</v>
      </c>
    </row>
    <row r="215" spans="1:68" x14ac:dyDescent="0.15">
      <c r="A215">
        <f t="shared" si="169"/>
        <v>5201082</v>
      </c>
      <c r="B215" t="s">
        <v>407</v>
      </c>
      <c r="C215">
        <v>8</v>
      </c>
      <c r="D215">
        <v>2</v>
      </c>
      <c r="E215">
        <v>2</v>
      </c>
      <c r="F215" t="s">
        <v>218</v>
      </c>
      <c r="G215" t="s">
        <v>218</v>
      </c>
      <c r="H215">
        <v>0</v>
      </c>
      <c r="I215" s="28" t="s">
        <v>722</v>
      </c>
      <c r="J215" s="2">
        <f t="shared" si="166"/>
        <v>3</v>
      </c>
      <c r="K215" s="2">
        <f t="shared" si="170"/>
        <v>1.8</v>
      </c>
      <c r="L215" s="2">
        <f t="shared" si="171"/>
        <v>1.8</v>
      </c>
      <c r="M215" s="2">
        <v>10</v>
      </c>
      <c r="N215" s="2">
        <f t="shared" si="172"/>
        <v>168.96</v>
      </c>
      <c r="O215" s="2">
        <f t="shared" si="173"/>
        <v>16.899999999999999</v>
      </c>
      <c r="P215" s="2">
        <f t="shared" si="174"/>
        <v>2640</v>
      </c>
      <c r="Q215" s="2">
        <f t="shared" si="175"/>
        <v>264</v>
      </c>
      <c r="R215" s="2">
        <f t="shared" si="176"/>
        <v>56.32</v>
      </c>
      <c r="S215" s="2">
        <f t="shared" si="177"/>
        <v>5.63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11">
        <v>522012</v>
      </c>
      <c r="Z215" s="12" t="s">
        <v>568</v>
      </c>
      <c r="AA215" s="4">
        <v>1</v>
      </c>
      <c r="AB215" s="4">
        <v>0</v>
      </c>
      <c r="AC215" s="4"/>
      <c r="AD215" s="4">
        <f t="shared" si="167"/>
        <v>9447.2347199999967</v>
      </c>
      <c r="AF215" s="1" t="str">
        <f t="shared" si="147"/>
        <v>1</v>
      </c>
      <c r="AG215">
        <v>8</v>
      </c>
      <c r="AH215">
        <f t="shared" si="149"/>
        <v>168.96000000000004</v>
      </c>
      <c r="AI215">
        <f t="shared" si="150"/>
        <v>16.896000000000004</v>
      </c>
      <c r="AJ215">
        <f t="shared" si="151"/>
        <v>2640</v>
      </c>
      <c r="AK215">
        <f t="shared" si="152"/>
        <v>264</v>
      </c>
      <c r="AL215">
        <f t="shared" si="153"/>
        <v>56.320000000000014</v>
      </c>
      <c r="AM215">
        <f t="shared" si="178"/>
        <v>5.6320000000000014</v>
      </c>
      <c r="AN215">
        <f t="shared" si="154"/>
        <v>1.8</v>
      </c>
      <c r="AO215">
        <f t="shared" si="155"/>
        <v>1.8</v>
      </c>
      <c r="AP215">
        <f t="shared" si="156"/>
        <v>3</v>
      </c>
      <c r="AQ215">
        <v>201</v>
      </c>
      <c r="AR215">
        <v>5</v>
      </c>
      <c r="BO215" t="s">
        <v>165</v>
      </c>
      <c r="BP215" t="str">
        <f t="shared" si="168"/>
        <v>2</v>
      </c>
    </row>
    <row r="216" spans="1:68" x14ac:dyDescent="0.15">
      <c r="A216">
        <f t="shared" si="169"/>
        <v>5202082</v>
      </c>
      <c r="B216" t="s">
        <v>408</v>
      </c>
      <c r="C216">
        <v>8</v>
      </c>
      <c r="D216">
        <v>2</v>
      </c>
      <c r="E216">
        <v>2</v>
      </c>
      <c r="F216" t="s">
        <v>219</v>
      </c>
      <c r="G216" t="s">
        <v>219</v>
      </c>
      <c r="H216" s="2">
        <v>0</v>
      </c>
      <c r="I216" s="2" t="s">
        <v>96</v>
      </c>
      <c r="J216" s="2">
        <f t="shared" si="166"/>
        <v>3</v>
      </c>
      <c r="K216" s="2">
        <f t="shared" si="170"/>
        <v>1.8</v>
      </c>
      <c r="L216" s="2">
        <f t="shared" si="171"/>
        <v>2</v>
      </c>
      <c r="M216" s="2">
        <v>10</v>
      </c>
      <c r="N216" s="2">
        <f t="shared" si="172"/>
        <v>190.08</v>
      </c>
      <c r="O216" s="2">
        <f t="shared" si="173"/>
        <v>19.010000000000002</v>
      </c>
      <c r="P216" s="2">
        <f t="shared" si="174"/>
        <v>2346.67</v>
      </c>
      <c r="Q216" s="2">
        <f t="shared" si="175"/>
        <v>234.67</v>
      </c>
      <c r="R216" s="2">
        <f t="shared" si="176"/>
        <v>38.020000000000003</v>
      </c>
      <c r="S216" s="2">
        <f t="shared" si="177"/>
        <v>3.8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11">
        <v>522022</v>
      </c>
      <c r="Z216" s="12" t="s">
        <v>569</v>
      </c>
      <c r="AA216" s="4">
        <v>1</v>
      </c>
      <c r="AB216" s="4">
        <v>0</v>
      </c>
      <c r="AC216" s="4"/>
      <c r="AD216" s="4">
        <f t="shared" si="167"/>
        <v>9446.2285861299988</v>
      </c>
      <c r="AF216" s="1" t="str">
        <f t="shared" ref="AF216:AF279" si="179">RIGHT(AQ216,1)</f>
        <v>2</v>
      </c>
      <c r="AG216">
        <v>8</v>
      </c>
      <c r="AH216">
        <f t="shared" si="149"/>
        <v>190.08000000000004</v>
      </c>
      <c r="AI216">
        <f t="shared" si="150"/>
        <v>19.008000000000006</v>
      </c>
      <c r="AJ216">
        <f t="shared" si="151"/>
        <v>2346.666666666667</v>
      </c>
      <c r="AK216">
        <f t="shared" si="152"/>
        <v>234.66666666666671</v>
      </c>
      <c r="AL216">
        <f t="shared" si="153"/>
        <v>38.016000000000005</v>
      </c>
      <c r="AM216">
        <f t="shared" si="178"/>
        <v>3.8016000000000005</v>
      </c>
      <c r="AN216">
        <f t="shared" si="154"/>
        <v>1.8</v>
      </c>
      <c r="AO216">
        <f t="shared" si="155"/>
        <v>2</v>
      </c>
      <c r="AP216">
        <f t="shared" si="156"/>
        <v>3</v>
      </c>
      <c r="AQ216">
        <v>202</v>
      </c>
      <c r="AR216">
        <v>5</v>
      </c>
      <c r="BO216" t="s">
        <v>186</v>
      </c>
      <c r="BP216" t="str">
        <f t="shared" si="168"/>
        <v>0</v>
      </c>
    </row>
    <row r="217" spans="1:68" ht="14.25" customHeight="1" x14ac:dyDescent="0.15">
      <c r="A217">
        <f t="shared" si="169"/>
        <v>5301082</v>
      </c>
      <c r="B217" t="s">
        <v>409</v>
      </c>
      <c r="C217">
        <v>8</v>
      </c>
      <c r="D217">
        <v>3</v>
      </c>
      <c r="E217">
        <v>2</v>
      </c>
      <c r="F217" t="s">
        <v>220</v>
      </c>
      <c r="G217" t="s">
        <v>220</v>
      </c>
      <c r="H217">
        <v>0</v>
      </c>
      <c r="I217" s="2" t="s">
        <v>100</v>
      </c>
      <c r="J217" s="2">
        <f t="shared" si="166"/>
        <v>3</v>
      </c>
      <c r="K217" s="2">
        <f t="shared" si="170"/>
        <v>1.2</v>
      </c>
      <c r="L217" s="2">
        <f t="shared" si="171"/>
        <v>2</v>
      </c>
      <c r="M217" s="2">
        <v>10</v>
      </c>
      <c r="N217" s="2">
        <f t="shared" si="172"/>
        <v>126.72</v>
      </c>
      <c r="O217" s="2">
        <f t="shared" si="173"/>
        <v>12.67</v>
      </c>
      <c r="P217" s="2">
        <f t="shared" si="174"/>
        <v>2346.67</v>
      </c>
      <c r="Q217" s="2">
        <f t="shared" si="175"/>
        <v>234.67</v>
      </c>
      <c r="R217" s="2">
        <f t="shared" si="176"/>
        <v>25.34</v>
      </c>
      <c r="S217" s="2">
        <f t="shared" si="177"/>
        <v>2.5299999999999998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11">
        <v>523012</v>
      </c>
      <c r="Z217" s="12" t="s">
        <v>570</v>
      </c>
      <c r="AA217" s="4">
        <v>1</v>
      </c>
      <c r="AB217" s="4">
        <v>0</v>
      </c>
      <c r="AC217" s="4"/>
      <c r="AD217" s="4">
        <f t="shared" si="167"/>
        <v>9443.9698900050007</v>
      </c>
      <c r="AF217" s="1" t="str">
        <f t="shared" si="179"/>
        <v>1</v>
      </c>
      <c r="AG217">
        <v>8</v>
      </c>
      <c r="AH217">
        <f t="shared" si="149"/>
        <v>126.72000000000003</v>
      </c>
      <c r="AI217">
        <f t="shared" si="150"/>
        <v>12.672000000000004</v>
      </c>
      <c r="AJ217">
        <f t="shared" si="151"/>
        <v>2346.666666666667</v>
      </c>
      <c r="AK217">
        <f t="shared" si="152"/>
        <v>234.66666666666671</v>
      </c>
      <c r="AL217">
        <f t="shared" si="153"/>
        <v>25.344000000000005</v>
      </c>
      <c r="AM217">
        <f t="shared" si="178"/>
        <v>2.5344000000000007</v>
      </c>
      <c r="AN217">
        <f t="shared" si="154"/>
        <v>1.2</v>
      </c>
      <c r="AO217">
        <f t="shared" si="155"/>
        <v>2</v>
      </c>
      <c r="AP217">
        <f t="shared" si="156"/>
        <v>3</v>
      </c>
      <c r="AQ217">
        <v>301</v>
      </c>
      <c r="AR217">
        <v>5</v>
      </c>
      <c r="BO217" t="s">
        <v>167</v>
      </c>
      <c r="BP217" t="str">
        <f t="shared" si="168"/>
        <v>1</v>
      </c>
    </row>
    <row r="218" spans="1:68" x14ac:dyDescent="0.15">
      <c r="A218">
        <f t="shared" si="169"/>
        <v>5401082</v>
      </c>
      <c r="B218" t="s">
        <v>410</v>
      </c>
      <c r="C218">
        <v>8</v>
      </c>
      <c r="D218">
        <v>4</v>
      </c>
      <c r="E218">
        <v>2</v>
      </c>
      <c r="F218" t="s">
        <v>221</v>
      </c>
      <c r="G218" t="s">
        <v>221</v>
      </c>
      <c r="H218" s="2">
        <v>0</v>
      </c>
      <c r="I218" s="28" t="s">
        <v>716</v>
      </c>
      <c r="J218" s="2">
        <f t="shared" si="166"/>
        <v>6</v>
      </c>
      <c r="K218" s="2">
        <f t="shared" si="170"/>
        <v>1.6</v>
      </c>
      <c r="L218" s="2">
        <f t="shared" si="171"/>
        <v>2</v>
      </c>
      <c r="M218" s="2">
        <v>10</v>
      </c>
      <c r="N218" s="2">
        <f t="shared" si="172"/>
        <v>225.28</v>
      </c>
      <c r="O218" s="2">
        <f t="shared" si="173"/>
        <v>22.53</v>
      </c>
      <c r="P218" s="2">
        <f t="shared" si="174"/>
        <v>1760</v>
      </c>
      <c r="Q218" s="2">
        <f t="shared" si="175"/>
        <v>176</v>
      </c>
      <c r="R218" s="2">
        <f t="shared" si="176"/>
        <v>32.18</v>
      </c>
      <c r="S218" s="2">
        <f t="shared" si="177"/>
        <v>3.22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11">
        <v>524012</v>
      </c>
      <c r="Z218" s="12" t="s">
        <v>571</v>
      </c>
      <c r="AA218" s="4">
        <v>1</v>
      </c>
      <c r="AB218" s="4">
        <v>0</v>
      </c>
      <c r="AC218" s="4"/>
      <c r="AD218" s="4">
        <f t="shared" si="167"/>
        <v>9445.9642199999998</v>
      </c>
      <c r="AF218" s="1" t="str">
        <f t="shared" si="179"/>
        <v>1</v>
      </c>
      <c r="AG218">
        <v>8</v>
      </c>
      <c r="AH218">
        <f t="shared" si="149"/>
        <v>225.28000000000003</v>
      </c>
      <c r="AI218">
        <f t="shared" si="150"/>
        <v>22.528000000000006</v>
      </c>
      <c r="AJ218">
        <f t="shared" si="151"/>
        <v>1760.0000000000002</v>
      </c>
      <c r="AK218">
        <f t="shared" si="152"/>
        <v>176.00000000000003</v>
      </c>
      <c r="AL218">
        <f t="shared" si="153"/>
        <v>32.182857142857145</v>
      </c>
      <c r="AM218">
        <f t="shared" si="178"/>
        <v>3.2182857142857149</v>
      </c>
      <c r="AN218">
        <f t="shared" si="154"/>
        <v>1.6</v>
      </c>
      <c r="AO218">
        <f t="shared" si="155"/>
        <v>2</v>
      </c>
      <c r="AP218">
        <f t="shared" si="156"/>
        <v>6</v>
      </c>
      <c r="AQ218">
        <v>401</v>
      </c>
      <c r="AR218">
        <v>5</v>
      </c>
      <c r="BO218" t="s">
        <v>159</v>
      </c>
      <c r="BP218" t="str">
        <f t="shared" si="168"/>
        <v>1</v>
      </c>
    </row>
    <row r="219" spans="1:68" x14ac:dyDescent="0.15">
      <c r="A219">
        <f t="shared" si="169"/>
        <v>5402082</v>
      </c>
      <c r="B219" t="s">
        <v>102</v>
      </c>
      <c r="C219">
        <v>8</v>
      </c>
      <c r="D219">
        <v>4</v>
      </c>
      <c r="E219">
        <v>2</v>
      </c>
      <c r="F219" t="s">
        <v>222</v>
      </c>
      <c r="G219" t="s">
        <v>222</v>
      </c>
      <c r="H219">
        <v>0</v>
      </c>
      <c r="I219" s="2" t="s">
        <v>106</v>
      </c>
      <c r="J219" s="2">
        <f t="shared" si="166"/>
        <v>6</v>
      </c>
      <c r="K219" s="2">
        <f t="shared" si="170"/>
        <v>1.5</v>
      </c>
      <c r="L219" s="2">
        <f t="shared" si="171"/>
        <v>1.5</v>
      </c>
      <c r="M219" s="2">
        <v>10</v>
      </c>
      <c r="N219" s="2">
        <f t="shared" si="172"/>
        <v>211.2</v>
      </c>
      <c r="O219" s="2">
        <f t="shared" si="173"/>
        <v>21.12</v>
      </c>
      <c r="P219" s="2">
        <f t="shared" si="174"/>
        <v>1760</v>
      </c>
      <c r="Q219" s="2">
        <f t="shared" si="175"/>
        <v>176</v>
      </c>
      <c r="R219" s="2">
        <f t="shared" si="176"/>
        <v>30.17</v>
      </c>
      <c r="S219" s="2">
        <f t="shared" si="177"/>
        <v>3.02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11">
        <v>524022</v>
      </c>
      <c r="Z219" s="12" t="s">
        <v>572</v>
      </c>
      <c r="AA219" s="4">
        <v>1</v>
      </c>
      <c r="AB219" s="4">
        <v>0</v>
      </c>
      <c r="AC219" s="4"/>
      <c r="AD219" s="4">
        <f t="shared" si="167"/>
        <v>9445.2019199999995</v>
      </c>
      <c r="AF219" s="1" t="str">
        <f t="shared" si="179"/>
        <v>2</v>
      </c>
      <c r="AG219">
        <v>8</v>
      </c>
      <c r="AH219">
        <f t="shared" si="149"/>
        <v>211.20000000000002</v>
      </c>
      <c r="AI219">
        <f t="shared" si="150"/>
        <v>21.120000000000005</v>
      </c>
      <c r="AJ219">
        <f t="shared" si="151"/>
        <v>1760.0000000000002</v>
      </c>
      <c r="AK219">
        <f t="shared" si="152"/>
        <v>176.00000000000003</v>
      </c>
      <c r="AL219">
        <f t="shared" si="153"/>
        <v>30.171428571428574</v>
      </c>
      <c r="AM219">
        <f t="shared" si="178"/>
        <v>3.0171428571428578</v>
      </c>
      <c r="AN219">
        <f t="shared" si="154"/>
        <v>1.5</v>
      </c>
      <c r="AO219">
        <f t="shared" si="155"/>
        <v>1.5</v>
      </c>
      <c r="AP219">
        <f t="shared" si="156"/>
        <v>6</v>
      </c>
      <c r="AQ219">
        <v>402</v>
      </c>
      <c r="AR219">
        <v>5</v>
      </c>
      <c r="BO219" t="s">
        <v>178</v>
      </c>
      <c r="BP219" t="str">
        <f t="shared" si="168"/>
        <v>2</v>
      </c>
    </row>
    <row r="220" spans="1:68" x14ac:dyDescent="0.15">
      <c r="A220">
        <f t="shared" si="169"/>
        <v>5500082</v>
      </c>
      <c r="B220" t="s">
        <v>411</v>
      </c>
      <c r="C220">
        <v>8</v>
      </c>
      <c r="D220">
        <v>5</v>
      </c>
      <c r="E220">
        <v>2</v>
      </c>
      <c r="F220" t="s">
        <v>223</v>
      </c>
      <c r="G220" t="s">
        <v>223</v>
      </c>
      <c r="H220" s="2">
        <v>0</v>
      </c>
      <c r="I220" s="2" t="s">
        <v>109</v>
      </c>
      <c r="J220" s="2">
        <f t="shared" si="166"/>
        <v>6</v>
      </c>
      <c r="K220" s="2">
        <f t="shared" si="170"/>
        <v>1.5</v>
      </c>
      <c r="L220" s="2">
        <f t="shared" si="171"/>
        <v>1.5</v>
      </c>
      <c r="M220" s="2">
        <v>10</v>
      </c>
      <c r="N220" s="2">
        <f t="shared" si="172"/>
        <v>246.4</v>
      </c>
      <c r="O220" s="2">
        <f t="shared" si="173"/>
        <v>24.64</v>
      </c>
      <c r="P220" s="2">
        <f t="shared" si="174"/>
        <v>1508.57</v>
      </c>
      <c r="Q220" s="2">
        <f t="shared" si="175"/>
        <v>150.86000000000001</v>
      </c>
      <c r="R220" s="2">
        <f t="shared" si="176"/>
        <v>30.8</v>
      </c>
      <c r="S220" s="2">
        <f t="shared" si="177"/>
        <v>3.08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11">
        <v>525002</v>
      </c>
      <c r="Z220" s="12" t="s">
        <v>573</v>
      </c>
      <c r="AA220" s="4">
        <v>1</v>
      </c>
      <c r="AB220" s="4">
        <v>0</v>
      </c>
      <c r="AC220" s="4"/>
      <c r="AD220" s="4">
        <f t="shared" si="167"/>
        <v>9445.3637308800025</v>
      </c>
      <c r="AF220" s="1" t="str">
        <f t="shared" si="179"/>
        <v>0</v>
      </c>
      <c r="AG220">
        <v>8</v>
      </c>
      <c r="AH220">
        <f t="shared" si="149"/>
        <v>246.39999999999995</v>
      </c>
      <c r="AI220">
        <f t="shared" si="150"/>
        <v>24.639999999999997</v>
      </c>
      <c r="AJ220">
        <f t="shared" si="151"/>
        <v>1508.5714285714289</v>
      </c>
      <c r="AK220">
        <f t="shared" si="152"/>
        <v>150.85714285714289</v>
      </c>
      <c r="AL220">
        <f t="shared" si="153"/>
        <v>30.799999999999994</v>
      </c>
      <c r="AM220">
        <f t="shared" si="178"/>
        <v>3.0799999999999996</v>
      </c>
      <c r="AN220">
        <f t="shared" si="154"/>
        <v>1.5</v>
      </c>
      <c r="AO220">
        <f t="shared" si="155"/>
        <v>1.5</v>
      </c>
      <c r="AP220">
        <f t="shared" si="156"/>
        <v>6</v>
      </c>
      <c r="AQ220">
        <v>500</v>
      </c>
      <c r="AR220">
        <v>5</v>
      </c>
      <c r="BO220" t="s">
        <v>188</v>
      </c>
      <c r="BP220" t="str">
        <f t="shared" si="168"/>
        <v>0</v>
      </c>
    </row>
    <row r="221" spans="1:68" x14ac:dyDescent="0.15">
      <c r="A221">
        <f t="shared" si="169"/>
        <v>5502082</v>
      </c>
      <c r="B221" t="s">
        <v>115</v>
      </c>
      <c r="C221">
        <v>8</v>
      </c>
      <c r="D221">
        <v>5</v>
      </c>
      <c r="E221">
        <v>2</v>
      </c>
      <c r="F221" t="s">
        <v>224</v>
      </c>
      <c r="G221" t="s">
        <v>224</v>
      </c>
      <c r="H221" s="2">
        <v>0</v>
      </c>
      <c r="I221" s="2" t="s">
        <v>113</v>
      </c>
      <c r="J221" s="2">
        <f t="shared" si="166"/>
        <v>6</v>
      </c>
      <c r="K221" s="2">
        <f t="shared" si="170"/>
        <v>1.4000000000000001</v>
      </c>
      <c r="L221" s="2">
        <f t="shared" si="171"/>
        <v>2</v>
      </c>
      <c r="M221" s="2">
        <v>10</v>
      </c>
      <c r="N221" s="2">
        <f t="shared" si="172"/>
        <v>229.97</v>
      </c>
      <c r="O221" s="2">
        <f t="shared" si="173"/>
        <v>23</v>
      </c>
      <c r="P221" s="2">
        <f t="shared" si="174"/>
        <v>1508.57</v>
      </c>
      <c r="Q221" s="2">
        <f t="shared" si="175"/>
        <v>150.86000000000001</v>
      </c>
      <c r="R221" s="2">
        <f t="shared" si="176"/>
        <v>28.75</v>
      </c>
      <c r="S221" s="2">
        <f t="shared" si="177"/>
        <v>2.87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11">
        <v>525022</v>
      </c>
      <c r="Z221" s="12" t="s">
        <v>574</v>
      </c>
      <c r="AA221" s="4">
        <v>1</v>
      </c>
      <c r="AB221" s="4">
        <v>0</v>
      </c>
      <c r="AC221" s="4"/>
      <c r="AD221" s="4">
        <f t="shared" si="167"/>
        <v>9446.346959152499</v>
      </c>
      <c r="AF221" s="1" t="str">
        <f t="shared" si="179"/>
        <v>2</v>
      </c>
      <c r="AG221">
        <v>8</v>
      </c>
      <c r="AH221">
        <f t="shared" ref="AH221:AH284" si="180">INDEX($AV$5:$AV$50,MATCH($AQ221,$AT$5:$AT$50))*$AN221/1.5*$AZ$4*INDEX($AV$87:$BI$87,MATCH($AG221,$AV$86:$BI$86))</f>
        <v>229.97333333333333</v>
      </c>
      <c r="AI221">
        <f t="shared" ref="AI221:AI284" si="181">(INDEX($AV$5:$AV$50,MATCH($AQ221,$AT$5:$AT$50))*$AN221/1.5*$AZ$4*INDEX($AV$87:$BI$87,MATCH($AG221,$AV$86:$BI$86)))*0.1</f>
        <v>22.997333333333334</v>
      </c>
      <c r="AJ221">
        <f t="shared" ref="AJ221:AJ284" si="182">INDEX($AW$5:$AW$50,MATCH($AQ221,$AT$5:$AT$50))*$BA$4*INDEX($AV$87:$BI$87,MATCH($AG221,$AV$86:$BI$86))</f>
        <v>1508.5714285714289</v>
      </c>
      <c r="AK221">
        <f t="shared" ref="AK221:AK284" si="183">(INDEX($AW$5:$AW$50,MATCH($AQ221,$AT$5:$AT$50))*$BA$4*INDEX($AV$87:$BI$87,MATCH($AG221,$AV$86:$BI$86)))*0.1</f>
        <v>150.85714285714289</v>
      </c>
      <c r="AL221">
        <f t="shared" ref="AL221:AL284" si="184">$AH221/INDEX($AX$5:$AX$50,MATCH($AQ221,$AT$5:$AT$50))</f>
        <v>28.746666666666666</v>
      </c>
      <c r="AM221">
        <f t="shared" si="178"/>
        <v>2.8746666666666667</v>
      </c>
      <c r="AN221">
        <f t="shared" ref="AN221:AN284" si="185">INDEX($AY$5:$AY$50,MATCH($AQ221,$AT$5:$AT$50,0))</f>
        <v>1.4</v>
      </c>
      <c r="AO221">
        <f t="shared" ref="AO221:AO284" si="186">ROUND(IF(INDEX($BG$5:$BG$50,MATCH($AQ221,$AT$5:$AT$50,0))&lt;2,INDEX($BG$5:$BG$49,MATCH($AQ221,$AT$5:$AT$49,0))+0.2,2),1)</f>
        <v>2</v>
      </c>
      <c r="AP221">
        <f t="shared" ref="AP221:AP284" si="187">INDEX($BC$5:$BC$50,MATCH($AQ221,$AT$5:$AT$50,0))</f>
        <v>6</v>
      </c>
      <c r="AQ221">
        <v>502</v>
      </c>
      <c r="AR221">
        <v>5</v>
      </c>
      <c r="BO221" t="s">
        <v>171</v>
      </c>
      <c r="BP221" t="str">
        <f t="shared" si="168"/>
        <v>1</v>
      </c>
    </row>
    <row r="222" spans="1:68" x14ac:dyDescent="0.15">
      <c r="A222">
        <f t="shared" si="169"/>
        <v>5601082</v>
      </c>
      <c r="B222" t="s">
        <v>412</v>
      </c>
      <c r="C222">
        <v>8</v>
      </c>
      <c r="D222">
        <v>6</v>
      </c>
      <c r="E222">
        <v>2</v>
      </c>
      <c r="F222" t="s">
        <v>225</v>
      </c>
      <c r="G222" t="s">
        <v>225</v>
      </c>
      <c r="H222" s="2">
        <v>0</v>
      </c>
      <c r="I222" s="2" t="s">
        <v>116</v>
      </c>
      <c r="J222" s="2">
        <f t="shared" si="166"/>
        <v>6</v>
      </c>
      <c r="K222" s="2">
        <f t="shared" si="170"/>
        <v>1.5</v>
      </c>
      <c r="L222" s="2">
        <f t="shared" si="171"/>
        <v>2</v>
      </c>
      <c r="M222" s="2">
        <v>10</v>
      </c>
      <c r="N222" s="2">
        <f t="shared" si="172"/>
        <v>272.8</v>
      </c>
      <c r="O222" s="2">
        <f t="shared" si="173"/>
        <v>27.28</v>
      </c>
      <c r="P222" s="2">
        <f t="shared" si="174"/>
        <v>1362.58</v>
      </c>
      <c r="Q222" s="2">
        <f t="shared" si="175"/>
        <v>136.26</v>
      </c>
      <c r="R222" s="2">
        <f t="shared" si="176"/>
        <v>27.28</v>
      </c>
      <c r="S222" s="2">
        <f t="shared" si="177"/>
        <v>2.73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11">
        <v>526012</v>
      </c>
      <c r="Z222" s="12" t="s">
        <v>575</v>
      </c>
      <c r="AA222" s="4">
        <v>1</v>
      </c>
      <c r="AB222" s="4">
        <v>0</v>
      </c>
      <c r="AC222" s="4"/>
      <c r="AD222" s="4">
        <f t="shared" si="167"/>
        <v>9445.3234814399984</v>
      </c>
      <c r="AF222" s="1" t="str">
        <f t="shared" si="179"/>
        <v>1</v>
      </c>
      <c r="AG222">
        <v>8</v>
      </c>
      <c r="AH222">
        <f t="shared" si="180"/>
        <v>272.8</v>
      </c>
      <c r="AI222">
        <f t="shared" si="181"/>
        <v>27.28</v>
      </c>
      <c r="AJ222">
        <f t="shared" si="182"/>
        <v>1362.5806451612905</v>
      </c>
      <c r="AK222">
        <f t="shared" si="183"/>
        <v>136.25806451612905</v>
      </c>
      <c r="AL222">
        <f t="shared" si="184"/>
        <v>27.28</v>
      </c>
      <c r="AM222">
        <f t="shared" si="178"/>
        <v>2.7280000000000002</v>
      </c>
      <c r="AN222">
        <f t="shared" si="185"/>
        <v>1.5</v>
      </c>
      <c r="AO222">
        <f t="shared" si="186"/>
        <v>2</v>
      </c>
      <c r="AP222">
        <f t="shared" si="187"/>
        <v>6</v>
      </c>
      <c r="AQ222">
        <v>601</v>
      </c>
      <c r="AR222">
        <v>5</v>
      </c>
      <c r="BO222" t="s">
        <v>173</v>
      </c>
      <c r="BP222" t="str">
        <f t="shared" si="168"/>
        <v>0</v>
      </c>
    </row>
    <row r="223" spans="1:68" x14ac:dyDescent="0.15">
      <c r="A223">
        <f t="shared" si="169"/>
        <v>5200083</v>
      </c>
      <c r="B223" t="s">
        <v>160</v>
      </c>
      <c r="C223">
        <v>8</v>
      </c>
      <c r="D223">
        <v>2</v>
      </c>
      <c r="E223">
        <v>3</v>
      </c>
      <c r="F223" t="s">
        <v>226</v>
      </c>
      <c r="G223" t="s">
        <v>226</v>
      </c>
      <c r="H223">
        <v>0</v>
      </c>
      <c r="I223" s="2" t="s">
        <v>78</v>
      </c>
      <c r="J223" s="2">
        <f t="shared" si="166"/>
        <v>3</v>
      </c>
      <c r="K223" s="2">
        <f t="shared" si="170"/>
        <v>1.5</v>
      </c>
      <c r="L223" s="2">
        <f t="shared" si="171"/>
        <v>1.2</v>
      </c>
      <c r="M223" s="2">
        <v>10</v>
      </c>
      <c r="N223" s="2">
        <f t="shared" si="172"/>
        <v>176</v>
      </c>
      <c r="O223" s="2">
        <f t="shared" si="173"/>
        <v>17.600000000000001</v>
      </c>
      <c r="P223" s="2">
        <f t="shared" si="174"/>
        <v>2112</v>
      </c>
      <c r="Q223" s="2">
        <f t="shared" si="175"/>
        <v>211.2</v>
      </c>
      <c r="R223" s="2">
        <f t="shared" si="176"/>
        <v>44</v>
      </c>
      <c r="S223" s="2">
        <f t="shared" si="177"/>
        <v>4.4000000000000004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11">
        <v>532002</v>
      </c>
      <c r="Z223" s="12" t="s">
        <v>576</v>
      </c>
      <c r="AA223" s="4">
        <v>1</v>
      </c>
      <c r="AB223" s="4">
        <v>0</v>
      </c>
      <c r="AC223" s="4"/>
      <c r="AD223" s="4">
        <f t="shared" si="167"/>
        <v>9445.2019200000013</v>
      </c>
      <c r="AF223" s="1" t="str">
        <f t="shared" si="179"/>
        <v>0</v>
      </c>
      <c r="AG223">
        <v>8</v>
      </c>
      <c r="AH223">
        <f t="shared" si="180"/>
        <v>176</v>
      </c>
      <c r="AI223">
        <f t="shared" si="181"/>
        <v>17.600000000000001</v>
      </c>
      <c r="AJ223">
        <f t="shared" si="182"/>
        <v>2112</v>
      </c>
      <c r="AK223">
        <f t="shared" si="183"/>
        <v>211.20000000000002</v>
      </c>
      <c r="AL223">
        <f t="shared" si="184"/>
        <v>44</v>
      </c>
      <c r="AM223">
        <f t="shared" si="178"/>
        <v>4.4000000000000004</v>
      </c>
      <c r="AN223">
        <f t="shared" si="185"/>
        <v>1.5</v>
      </c>
      <c r="AO223">
        <f t="shared" si="186"/>
        <v>1.2</v>
      </c>
      <c r="AP223">
        <f t="shared" si="187"/>
        <v>3</v>
      </c>
      <c r="AQ223">
        <v>200</v>
      </c>
      <c r="AR223">
        <v>5</v>
      </c>
      <c r="BO223" t="s">
        <v>136</v>
      </c>
      <c r="BP223" t="str">
        <f t="shared" si="168"/>
        <v>1</v>
      </c>
    </row>
    <row r="224" spans="1:68" x14ac:dyDescent="0.15">
      <c r="A224">
        <f t="shared" si="169"/>
        <v>5201083</v>
      </c>
      <c r="B224" t="s">
        <v>407</v>
      </c>
      <c r="C224">
        <v>8</v>
      </c>
      <c r="D224">
        <v>2</v>
      </c>
      <c r="E224">
        <v>3</v>
      </c>
      <c r="F224" t="s">
        <v>227</v>
      </c>
      <c r="G224" t="s">
        <v>227</v>
      </c>
      <c r="H224" s="2">
        <v>0</v>
      </c>
      <c r="I224" s="28" t="s">
        <v>746</v>
      </c>
      <c r="J224" s="2">
        <f t="shared" si="166"/>
        <v>3</v>
      </c>
      <c r="K224" s="2">
        <f t="shared" si="170"/>
        <v>1.8</v>
      </c>
      <c r="L224" s="2">
        <f t="shared" si="171"/>
        <v>1.8</v>
      </c>
      <c r="M224" s="2">
        <v>10</v>
      </c>
      <c r="N224" s="2">
        <f t="shared" si="172"/>
        <v>168.96</v>
      </c>
      <c r="O224" s="2">
        <f t="shared" si="173"/>
        <v>16.899999999999999</v>
      </c>
      <c r="P224" s="2">
        <f t="shared" si="174"/>
        <v>2640</v>
      </c>
      <c r="Q224" s="2">
        <f t="shared" si="175"/>
        <v>264</v>
      </c>
      <c r="R224" s="2">
        <f t="shared" si="176"/>
        <v>56.32</v>
      </c>
      <c r="S224" s="2">
        <f t="shared" si="177"/>
        <v>5.63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11">
        <v>532012</v>
      </c>
      <c r="Z224" s="12" t="s">
        <v>577</v>
      </c>
      <c r="AA224" s="4">
        <v>1</v>
      </c>
      <c r="AB224" s="4">
        <v>0</v>
      </c>
      <c r="AC224" s="4"/>
      <c r="AD224" s="4">
        <f t="shared" si="167"/>
        <v>9447.2347199999967</v>
      </c>
      <c r="AF224" s="1" t="str">
        <f t="shared" si="179"/>
        <v>1</v>
      </c>
      <c r="AG224">
        <v>8</v>
      </c>
      <c r="AH224">
        <f t="shared" si="180"/>
        <v>168.96000000000004</v>
      </c>
      <c r="AI224">
        <f t="shared" si="181"/>
        <v>16.896000000000004</v>
      </c>
      <c r="AJ224">
        <f t="shared" si="182"/>
        <v>2640</v>
      </c>
      <c r="AK224">
        <f t="shared" si="183"/>
        <v>264</v>
      </c>
      <c r="AL224">
        <f t="shared" si="184"/>
        <v>56.320000000000014</v>
      </c>
      <c r="AM224">
        <f t="shared" si="178"/>
        <v>5.6320000000000014</v>
      </c>
      <c r="AN224">
        <f t="shared" si="185"/>
        <v>1.8</v>
      </c>
      <c r="AO224">
        <f t="shared" si="186"/>
        <v>1.8</v>
      </c>
      <c r="AP224">
        <f t="shared" si="187"/>
        <v>3</v>
      </c>
      <c r="AQ224">
        <v>201</v>
      </c>
      <c r="AR224">
        <v>5</v>
      </c>
      <c r="BO224" t="s">
        <v>141</v>
      </c>
      <c r="BP224" t="str">
        <f t="shared" si="168"/>
        <v>1</v>
      </c>
    </row>
    <row r="225" spans="1:68" x14ac:dyDescent="0.15">
      <c r="A225">
        <f t="shared" si="169"/>
        <v>5202083</v>
      </c>
      <c r="B225" t="s">
        <v>408</v>
      </c>
      <c r="C225">
        <v>8</v>
      </c>
      <c r="D225">
        <v>2</v>
      </c>
      <c r="E225">
        <v>3</v>
      </c>
      <c r="F225" t="s">
        <v>228</v>
      </c>
      <c r="G225" t="s">
        <v>228</v>
      </c>
      <c r="H225">
        <v>0</v>
      </c>
      <c r="I225" s="28" t="s">
        <v>717</v>
      </c>
      <c r="J225" s="2">
        <f t="shared" si="166"/>
        <v>3</v>
      </c>
      <c r="K225" s="2">
        <f t="shared" si="170"/>
        <v>1.8</v>
      </c>
      <c r="L225" s="2">
        <f t="shared" si="171"/>
        <v>2</v>
      </c>
      <c r="M225" s="2">
        <v>10</v>
      </c>
      <c r="N225" s="2">
        <f t="shared" si="172"/>
        <v>190.08</v>
      </c>
      <c r="O225" s="2">
        <f t="shared" si="173"/>
        <v>19.010000000000002</v>
      </c>
      <c r="P225" s="2">
        <f t="shared" si="174"/>
        <v>2346.67</v>
      </c>
      <c r="Q225" s="2">
        <f t="shared" si="175"/>
        <v>234.67</v>
      </c>
      <c r="R225" s="2">
        <f t="shared" si="176"/>
        <v>38.020000000000003</v>
      </c>
      <c r="S225" s="2">
        <f t="shared" si="177"/>
        <v>3.8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11">
        <v>532022</v>
      </c>
      <c r="Z225" s="12" t="s">
        <v>578</v>
      </c>
      <c r="AA225" s="4">
        <v>1</v>
      </c>
      <c r="AB225" s="4">
        <v>0</v>
      </c>
      <c r="AC225" s="4"/>
      <c r="AD225" s="4">
        <f t="shared" si="167"/>
        <v>9446.2285861299988</v>
      </c>
      <c r="AF225" s="1" t="str">
        <f t="shared" si="179"/>
        <v>2</v>
      </c>
      <c r="AG225">
        <v>8</v>
      </c>
      <c r="AH225">
        <f t="shared" si="180"/>
        <v>190.08000000000004</v>
      </c>
      <c r="AI225">
        <f t="shared" si="181"/>
        <v>19.008000000000006</v>
      </c>
      <c r="AJ225">
        <f t="shared" si="182"/>
        <v>2346.666666666667</v>
      </c>
      <c r="AK225">
        <f t="shared" si="183"/>
        <v>234.66666666666671</v>
      </c>
      <c r="AL225">
        <f t="shared" si="184"/>
        <v>38.016000000000005</v>
      </c>
      <c r="AM225">
        <f t="shared" si="178"/>
        <v>3.8016000000000005</v>
      </c>
      <c r="AN225">
        <f t="shared" si="185"/>
        <v>1.8</v>
      </c>
      <c r="AO225">
        <f t="shared" si="186"/>
        <v>2</v>
      </c>
      <c r="AP225">
        <f t="shared" si="187"/>
        <v>3</v>
      </c>
      <c r="AQ225">
        <v>202</v>
      </c>
      <c r="AR225">
        <v>5</v>
      </c>
      <c r="BO225" t="s">
        <v>165</v>
      </c>
      <c r="BP225" t="str">
        <f t="shared" si="168"/>
        <v>2</v>
      </c>
    </row>
    <row r="226" spans="1:68" x14ac:dyDescent="0.15">
      <c r="A226">
        <f t="shared" si="169"/>
        <v>5301083</v>
      </c>
      <c r="B226" t="s">
        <v>409</v>
      </c>
      <c r="C226">
        <v>8</v>
      </c>
      <c r="D226">
        <v>3</v>
      </c>
      <c r="E226">
        <v>3</v>
      </c>
      <c r="F226" t="s">
        <v>229</v>
      </c>
      <c r="G226" t="s">
        <v>229</v>
      </c>
      <c r="H226" s="2">
        <v>0</v>
      </c>
      <c r="I226" s="28" t="s">
        <v>717</v>
      </c>
      <c r="J226" s="2">
        <f t="shared" si="166"/>
        <v>3</v>
      </c>
      <c r="K226" s="2">
        <f t="shared" si="170"/>
        <v>1.2</v>
      </c>
      <c r="L226" s="2">
        <f t="shared" si="171"/>
        <v>2</v>
      </c>
      <c r="M226" s="2">
        <v>10</v>
      </c>
      <c r="N226" s="2">
        <f t="shared" si="172"/>
        <v>126.72</v>
      </c>
      <c r="O226" s="2">
        <f t="shared" si="173"/>
        <v>12.67</v>
      </c>
      <c r="P226" s="2">
        <f t="shared" si="174"/>
        <v>2346.67</v>
      </c>
      <c r="Q226" s="2">
        <f t="shared" si="175"/>
        <v>234.67</v>
      </c>
      <c r="R226" s="2">
        <f t="shared" si="176"/>
        <v>25.34</v>
      </c>
      <c r="S226" s="2">
        <f t="shared" si="177"/>
        <v>2.5299999999999998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11">
        <v>533012</v>
      </c>
      <c r="Z226" s="12" t="s">
        <v>579</v>
      </c>
      <c r="AA226" s="4">
        <v>1</v>
      </c>
      <c r="AB226" s="4">
        <v>0</v>
      </c>
      <c r="AC226" s="4"/>
      <c r="AD226" s="4">
        <f t="shared" si="167"/>
        <v>9443.9698900050007</v>
      </c>
      <c r="AF226" s="1" t="str">
        <f t="shared" si="179"/>
        <v>1</v>
      </c>
      <c r="AG226">
        <v>8</v>
      </c>
      <c r="AH226">
        <f t="shared" si="180"/>
        <v>126.72000000000003</v>
      </c>
      <c r="AI226">
        <f t="shared" si="181"/>
        <v>12.672000000000004</v>
      </c>
      <c r="AJ226">
        <f t="shared" si="182"/>
        <v>2346.666666666667</v>
      </c>
      <c r="AK226">
        <f t="shared" si="183"/>
        <v>234.66666666666671</v>
      </c>
      <c r="AL226">
        <f t="shared" si="184"/>
        <v>25.344000000000005</v>
      </c>
      <c r="AM226">
        <f t="shared" si="178"/>
        <v>2.5344000000000007</v>
      </c>
      <c r="AN226">
        <f t="shared" si="185"/>
        <v>1.2</v>
      </c>
      <c r="AO226">
        <f t="shared" si="186"/>
        <v>2</v>
      </c>
      <c r="AP226">
        <f t="shared" si="187"/>
        <v>3</v>
      </c>
      <c r="AQ226">
        <v>301</v>
      </c>
      <c r="AR226">
        <v>5</v>
      </c>
      <c r="BO226" t="s">
        <v>167</v>
      </c>
      <c r="BP226" t="str">
        <f t="shared" si="168"/>
        <v>1</v>
      </c>
    </row>
    <row r="227" spans="1:68" x14ac:dyDescent="0.15">
      <c r="A227">
        <f t="shared" si="169"/>
        <v>5401083</v>
      </c>
      <c r="B227" t="s">
        <v>410</v>
      </c>
      <c r="C227">
        <v>8</v>
      </c>
      <c r="D227">
        <v>4</v>
      </c>
      <c r="E227">
        <v>3</v>
      </c>
      <c r="F227" t="s">
        <v>230</v>
      </c>
      <c r="G227" t="s">
        <v>230</v>
      </c>
      <c r="H227">
        <v>0</v>
      </c>
      <c r="I227" s="2" t="s">
        <v>103</v>
      </c>
      <c r="J227" s="2">
        <f t="shared" si="166"/>
        <v>6</v>
      </c>
      <c r="K227" s="2">
        <f t="shared" si="170"/>
        <v>1.6</v>
      </c>
      <c r="L227" s="2">
        <f t="shared" si="171"/>
        <v>2</v>
      </c>
      <c r="M227" s="2">
        <v>10</v>
      </c>
      <c r="N227" s="2">
        <f t="shared" si="172"/>
        <v>225.28</v>
      </c>
      <c r="O227" s="2">
        <f t="shared" si="173"/>
        <v>22.53</v>
      </c>
      <c r="P227" s="2">
        <f t="shared" si="174"/>
        <v>1760</v>
      </c>
      <c r="Q227" s="2">
        <f t="shared" si="175"/>
        <v>176</v>
      </c>
      <c r="R227" s="2">
        <f t="shared" si="176"/>
        <v>32.18</v>
      </c>
      <c r="S227" s="2">
        <f t="shared" si="177"/>
        <v>3.22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11">
        <v>534012</v>
      </c>
      <c r="Z227" s="12" t="s">
        <v>580</v>
      </c>
      <c r="AA227" s="4">
        <v>1</v>
      </c>
      <c r="AB227" s="4">
        <v>0</v>
      </c>
      <c r="AC227" s="4"/>
      <c r="AD227" s="4">
        <f t="shared" si="167"/>
        <v>9445.9642199999998</v>
      </c>
      <c r="AF227" s="1" t="str">
        <f t="shared" si="179"/>
        <v>1</v>
      </c>
      <c r="AG227">
        <v>8</v>
      </c>
      <c r="AH227">
        <f t="shared" si="180"/>
        <v>225.28000000000003</v>
      </c>
      <c r="AI227">
        <f t="shared" si="181"/>
        <v>22.528000000000006</v>
      </c>
      <c r="AJ227">
        <f t="shared" si="182"/>
        <v>1760.0000000000002</v>
      </c>
      <c r="AK227">
        <f t="shared" si="183"/>
        <v>176.00000000000003</v>
      </c>
      <c r="AL227">
        <f t="shared" si="184"/>
        <v>32.182857142857145</v>
      </c>
      <c r="AM227">
        <f t="shared" si="178"/>
        <v>3.2182857142857149</v>
      </c>
      <c r="AN227">
        <f t="shared" si="185"/>
        <v>1.6</v>
      </c>
      <c r="AO227">
        <f t="shared" si="186"/>
        <v>2</v>
      </c>
      <c r="AP227">
        <f t="shared" si="187"/>
        <v>6</v>
      </c>
      <c r="AQ227">
        <v>401</v>
      </c>
      <c r="AR227">
        <v>5</v>
      </c>
      <c r="BO227" t="s">
        <v>176</v>
      </c>
      <c r="BP227" t="str">
        <f t="shared" si="168"/>
        <v>2</v>
      </c>
    </row>
    <row r="228" spans="1:68" x14ac:dyDescent="0.15">
      <c r="A228">
        <f t="shared" si="169"/>
        <v>5402083</v>
      </c>
      <c r="B228" t="s">
        <v>102</v>
      </c>
      <c r="C228">
        <v>8</v>
      </c>
      <c r="D228">
        <v>4</v>
      </c>
      <c r="E228">
        <v>3</v>
      </c>
      <c r="F228" t="s">
        <v>231</v>
      </c>
      <c r="G228" t="s">
        <v>231</v>
      </c>
      <c r="H228" s="2">
        <v>0</v>
      </c>
      <c r="I228" s="28" t="s">
        <v>718</v>
      </c>
      <c r="J228" s="2">
        <f t="shared" si="166"/>
        <v>6</v>
      </c>
      <c r="K228" s="2">
        <f t="shared" si="170"/>
        <v>1.5</v>
      </c>
      <c r="L228" s="2">
        <f t="shared" si="171"/>
        <v>1.5</v>
      </c>
      <c r="M228" s="2">
        <v>10</v>
      </c>
      <c r="N228" s="2">
        <f t="shared" si="172"/>
        <v>211.2</v>
      </c>
      <c r="O228" s="2">
        <f t="shared" si="173"/>
        <v>21.12</v>
      </c>
      <c r="P228" s="2">
        <f t="shared" si="174"/>
        <v>1760</v>
      </c>
      <c r="Q228" s="2">
        <f t="shared" si="175"/>
        <v>176</v>
      </c>
      <c r="R228" s="2">
        <f t="shared" si="176"/>
        <v>30.17</v>
      </c>
      <c r="S228" s="2">
        <f t="shared" si="177"/>
        <v>3.02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11">
        <v>534022</v>
      </c>
      <c r="Z228" s="12" t="s">
        <v>581</v>
      </c>
      <c r="AA228" s="4">
        <v>1</v>
      </c>
      <c r="AB228" s="4">
        <v>0</v>
      </c>
      <c r="AC228" s="4"/>
      <c r="AD228" s="4">
        <f t="shared" si="167"/>
        <v>9445.2019199999995</v>
      </c>
      <c r="AF228" s="1" t="str">
        <f t="shared" si="179"/>
        <v>2</v>
      </c>
      <c r="AG228">
        <v>8</v>
      </c>
      <c r="AH228">
        <f t="shared" si="180"/>
        <v>211.20000000000002</v>
      </c>
      <c r="AI228">
        <f t="shared" si="181"/>
        <v>21.120000000000005</v>
      </c>
      <c r="AJ228">
        <f t="shared" si="182"/>
        <v>1760.0000000000002</v>
      </c>
      <c r="AK228">
        <f t="shared" si="183"/>
        <v>176.00000000000003</v>
      </c>
      <c r="AL228">
        <f t="shared" si="184"/>
        <v>30.171428571428574</v>
      </c>
      <c r="AM228">
        <f t="shared" si="178"/>
        <v>3.0171428571428578</v>
      </c>
      <c r="AN228">
        <f t="shared" si="185"/>
        <v>1.5</v>
      </c>
      <c r="AO228">
        <f t="shared" si="186"/>
        <v>1.5</v>
      </c>
      <c r="AP228">
        <f t="shared" si="187"/>
        <v>6</v>
      </c>
      <c r="AQ228">
        <v>402</v>
      </c>
      <c r="AR228">
        <v>5</v>
      </c>
      <c r="BO228" t="s">
        <v>159</v>
      </c>
      <c r="BP228" t="str">
        <f t="shared" si="168"/>
        <v>1</v>
      </c>
    </row>
    <row r="229" spans="1:68" x14ac:dyDescent="0.15">
      <c r="A229">
        <f t="shared" si="169"/>
        <v>5500083</v>
      </c>
      <c r="B229" t="s">
        <v>411</v>
      </c>
      <c r="C229">
        <v>8</v>
      </c>
      <c r="D229">
        <v>5</v>
      </c>
      <c r="E229">
        <v>3</v>
      </c>
      <c r="F229" t="s">
        <v>232</v>
      </c>
      <c r="G229" t="s">
        <v>232</v>
      </c>
      <c r="H229" s="2">
        <v>0</v>
      </c>
      <c r="I229" s="2" t="s">
        <v>109</v>
      </c>
      <c r="J229" s="2">
        <f t="shared" si="166"/>
        <v>6</v>
      </c>
      <c r="K229" s="2">
        <f t="shared" si="170"/>
        <v>1.5</v>
      </c>
      <c r="L229" s="2">
        <f t="shared" si="171"/>
        <v>1.5</v>
      </c>
      <c r="M229" s="2">
        <v>10</v>
      </c>
      <c r="N229" s="2">
        <f t="shared" si="172"/>
        <v>246.4</v>
      </c>
      <c r="O229" s="2">
        <f t="shared" si="173"/>
        <v>24.64</v>
      </c>
      <c r="P229" s="2">
        <f t="shared" si="174"/>
        <v>1508.57</v>
      </c>
      <c r="Q229" s="2">
        <f t="shared" si="175"/>
        <v>150.86000000000001</v>
      </c>
      <c r="R229" s="2">
        <f t="shared" si="176"/>
        <v>30.8</v>
      </c>
      <c r="S229" s="2">
        <f t="shared" si="177"/>
        <v>3.08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11">
        <v>535002</v>
      </c>
      <c r="Z229" s="12" t="s">
        <v>582</v>
      </c>
      <c r="AA229" s="4">
        <v>1</v>
      </c>
      <c r="AB229" s="4">
        <v>0</v>
      </c>
      <c r="AC229" s="4"/>
      <c r="AD229" s="4">
        <f t="shared" si="167"/>
        <v>9445.3637308800025</v>
      </c>
      <c r="AF229" s="1" t="str">
        <f t="shared" si="179"/>
        <v>0</v>
      </c>
      <c r="AG229">
        <v>8</v>
      </c>
      <c r="AH229">
        <f t="shared" si="180"/>
        <v>246.39999999999995</v>
      </c>
      <c r="AI229">
        <f t="shared" si="181"/>
        <v>24.639999999999997</v>
      </c>
      <c r="AJ229">
        <f t="shared" si="182"/>
        <v>1508.5714285714289</v>
      </c>
      <c r="AK229">
        <f t="shared" si="183"/>
        <v>150.85714285714289</v>
      </c>
      <c r="AL229">
        <f t="shared" si="184"/>
        <v>30.799999999999994</v>
      </c>
      <c r="AM229">
        <f t="shared" si="178"/>
        <v>3.0799999999999996</v>
      </c>
      <c r="AN229">
        <f t="shared" si="185"/>
        <v>1.5</v>
      </c>
      <c r="AO229">
        <f t="shared" si="186"/>
        <v>1.5</v>
      </c>
      <c r="AP229">
        <f t="shared" si="187"/>
        <v>6</v>
      </c>
      <c r="AQ229">
        <v>500</v>
      </c>
      <c r="AR229">
        <v>5</v>
      </c>
    </row>
    <row r="230" spans="1:68" x14ac:dyDescent="0.15">
      <c r="A230">
        <f t="shared" si="169"/>
        <v>5502083</v>
      </c>
      <c r="B230" t="s">
        <v>115</v>
      </c>
      <c r="C230">
        <v>8</v>
      </c>
      <c r="D230">
        <v>5</v>
      </c>
      <c r="E230">
        <v>3</v>
      </c>
      <c r="F230" t="s">
        <v>233</v>
      </c>
      <c r="G230" t="s">
        <v>233</v>
      </c>
      <c r="H230" s="2">
        <v>0</v>
      </c>
      <c r="I230" s="28" t="s">
        <v>719</v>
      </c>
      <c r="J230" s="2">
        <f t="shared" si="166"/>
        <v>6</v>
      </c>
      <c r="K230" s="2">
        <f t="shared" si="170"/>
        <v>1.4000000000000001</v>
      </c>
      <c r="L230" s="2">
        <f t="shared" si="171"/>
        <v>2</v>
      </c>
      <c r="M230" s="2">
        <v>10</v>
      </c>
      <c r="N230" s="2">
        <f t="shared" si="172"/>
        <v>229.97</v>
      </c>
      <c r="O230" s="2">
        <f t="shared" si="173"/>
        <v>23</v>
      </c>
      <c r="P230" s="2">
        <f t="shared" si="174"/>
        <v>1508.57</v>
      </c>
      <c r="Q230" s="2">
        <f t="shared" si="175"/>
        <v>150.86000000000001</v>
      </c>
      <c r="R230" s="2">
        <f t="shared" si="176"/>
        <v>28.75</v>
      </c>
      <c r="S230" s="2">
        <f t="shared" si="177"/>
        <v>2.87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11">
        <v>535022</v>
      </c>
      <c r="Z230" s="12" t="s">
        <v>583</v>
      </c>
      <c r="AA230" s="4">
        <v>1</v>
      </c>
      <c r="AB230" s="4">
        <v>0</v>
      </c>
      <c r="AC230" s="4"/>
      <c r="AD230" s="4">
        <f t="shared" si="167"/>
        <v>9446.346959152499</v>
      </c>
      <c r="AF230" s="1" t="str">
        <f t="shared" si="179"/>
        <v>2</v>
      </c>
      <c r="AG230">
        <v>8</v>
      </c>
      <c r="AH230">
        <f t="shared" si="180"/>
        <v>229.97333333333333</v>
      </c>
      <c r="AI230">
        <f t="shared" si="181"/>
        <v>22.997333333333334</v>
      </c>
      <c r="AJ230">
        <f t="shared" si="182"/>
        <v>1508.5714285714289</v>
      </c>
      <c r="AK230">
        <f t="shared" si="183"/>
        <v>150.85714285714289</v>
      </c>
      <c r="AL230">
        <f t="shared" si="184"/>
        <v>28.746666666666666</v>
      </c>
      <c r="AM230">
        <f t="shared" si="178"/>
        <v>2.8746666666666667</v>
      </c>
      <c r="AN230">
        <f t="shared" si="185"/>
        <v>1.4</v>
      </c>
      <c r="AO230">
        <f t="shared" si="186"/>
        <v>2</v>
      </c>
      <c r="AP230">
        <f t="shared" si="187"/>
        <v>6</v>
      </c>
      <c r="AQ230">
        <v>502</v>
      </c>
      <c r="AR230">
        <v>5</v>
      </c>
    </row>
    <row r="231" spans="1:68" x14ac:dyDescent="0.15">
      <c r="A231">
        <f t="shared" si="169"/>
        <v>5601083</v>
      </c>
      <c r="B231" t="s">
        <v>412</v>
      </c>
      <c r="C231">
        <v>8</v>
      </c>
      <c r="D231">
        <v>6</v>
      </c>
      <c r="E231">
        <v>3</v>
      </c>
      <c r="F231" t="s">
        <v>234</v>
      </c>
      <c r="G231" t="s">
        <v>234</v>
      </c>
      <c r="H231">
        <v>0</v>
      </c>
      <c r="I231" s="2" t="s">
        <v>116</v>
      </c>
      <c r="J231" s="2">
        <f t="shared" si="166"/>
        <v>6</v>
      </c>
      <c r="K231" s="2">
        <f t="shared" si="170"/>
        <v>1.5</v>
      </c>
      <c r="L231" s="2">
        <f t="shared" si="171"/>
        <v>2</v>
      </c>
      <c r="M231" s="2">
        <v>10</v>
      </c>
      <c r="N231" s="2">
        <f t="shared" si="172"/>
        <v>272.8</v>
      </c>
      <c r="O231" s="2">
        <f t="shared" si="173"/>
        <v>27.28</v>
      </c>
      <c r="P231" s="2">
        <f t="shared" si="174"/>
        <v>1362.58</v>
      </c>
      <c r="Q231" s="2">
        <f t="shared" si="175"/>
        <v>136.26</v>
      </c>
      <c r="R231" s="2">
        <f t="shared" si="176"/>
        <v>27.28</v>
      </c>
      <c r="S231" s="2">
        <f t="shared" si="177"/>
        <v>2.73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11">
        <v>536012</v>
      </c>
      <c r="Z231" s="12" t="s">
        <v>584</v>
      </c>
      <c r="AA231" s="4">
        <v>1</v>
      </c>
      <c r="AB231" s="4">
        <v>0</v>
      </c>
      <c r="AC231" s="4"/>
      <c r="AD231" s="4">
        <f t="shared" si="167"/>
        <v>9445.3234814399984</v>
      </c>
      <c r="AF231" s="1" t="str">
        <f t="shared" si="179"/>
        <v>1</v>
      </c>
      <c r="AG231">
        <v>8</v>
      </c>
      <c r="AH231">
        <f t="shared" si="180"/>
        <v>272.8</v>
      </c>
      <c r="AI231">
        <f t="shared" si="181"/>
        <v>27.28</v>
      </c>
      <c r="AJ231">
        <f t="shared" si="182"/>
        <v>1362.5806451612905</v>
      </c>
      <c r="AK231">
        <f t="shared" si="183"/>
        <v>136.25806451612905</v>
      </c>
      <c r="AL231">
        <f t="shared" si="184"/>
        <v>27.28</v>
      </c>
      <c r="AM231">
        <f t="shared" si="178"/>
        <v>2.7280000000000002</v>
      </c>
      <c r="AN231">
        <f t="shared" si="185"/>
        <v>1.5</v>
      </c>
      <c r="AO231">
        <f t="shared" si="186"/>
        <v>2</v>
      </c>
      <c r="AP231">
        <f t="shared" si="187"/>
        <v>6</v>
      </c>
      <c r="AQ231">
        <v>601</v>
      </c>
      <c r="AR231">
        <v>5</v>
      </c>
      <c r="BO231" t="s">
        <v>178</v>
      </c>
      <c r="BP231" t="str">
        <f t="shared" si="168"/>
        <v>2</v>
      </c>
    </row>
    <row r="232" spans="1:68" x14ac:dyDescent="0.15">
      <c r="A232">
        <f t="shared" si="169"/>
        <v>5201084</v>
      </c>
      <c r="B232" t="s">
        <v>407</v>
      </c>
      <c r="C232">
        <v>8</v>
      </c>
      <c r="D232">
        <v>2</v>
      </c>
      <c r="E232">
        <v>4</v>
      </c>
      <c r="F232" t="s">
        <v>706</v>
      </c>
      <c r="G232" t="s">
        <v>706</v>
      </c>
      <c r="H232" s="23">
        <v>0</v>
      </c>
      <c r="I232" s="2" t="s">
        <v>92</v>
      </c>
      <c r="J232" s="2">
        <f t="shared" ref="J232:J278" si="188">AP232</f>
        <v>3</v>
      </c>
      <c r="K232" s="2">
        <f t="shared" si="170"/>
        <v>1.8</v>
      </c>
      <c r="L232" s="2">
        <f t="shared" si="171"/>
        <v>1.8</v>
      </c>
      <c r="M232" s="2">
        <v>11</v>
      </c>
      <c r="N232" s="2">
        <f t="shared" si="172"/>
        <v>168.96</v>
      </c>
      <c r="O232" s="2">
        <f t="shared" si="173"/>
        <v>16.899999999999999</v>
      </c>
      <c r="P232" s="2">
        <f t="shared" si="174"/>
        <v>2640</v>
      </c>
      <c r="Q232" s="2">
        <f t="shared" si="175"/>
        <v>264</v>
      </c>
      <c r="R232" s="2">
        <f t="shared" si="176"/>
        <v>56.32</v>
      </c>
      <c r="S232" s="2">
        <f t="shared" si="177"/>
        <v>5.63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11">
        <v>542012</v>
      </c>
      <c r="Z232" s="26" t="s">
        <v>585</v>
      </c>
      <c r="AA232" s="4">
        <v>1</v>
      </c>
      <c r="AB232" s="4">
        <v>0</v>
      </c>
      <c r="AC232" s="4"/>
      <c r="AD232" s="4">
        <f t="shared" ref="AD232:AD278" si="189">(N232+O232*$AD$2)*(P232+Q232*$AD$2)/K232*0.945/3000</f>
        <v>9447.2347199999967</v>
      </c>
      <c r="AF232" s="1" t="str">
        <f t="shared" si="179"/>
        <v>1</v>
      </c>
      <c r="AG232">
        <v>8</v>
      </c>
      <c r="AH232">
        <f t="shared" si="180"/>
        <v>168.96000000000004</v>
      </c>
      <c r="AI232">
        <f t="shared" si="181"/>
        <v>16.896000000000004</v>
      </c>
      <c r="AJ232">
        <f>INDEX($AW$5:$AW$50,MATCH($AQ232,$AT$5:$AT$50))*$BA$4*INDEX($AV$87:$BI$87,MATCH($AG232,$AV$86:$BI$86))</f>
        <v>2640</v>
      </c>
      <c r="AK232">
        <f t="shared" si="183"/>
        <v>264</v>
      </c>
      <c r="AL232">
        <f t="shared" si="184"/>
        <v>56.320000000000014</v>
      </c>
      <c r="AM232">
        <f t="shared" si="178"/>
        <v>5.6320000000000014</v>
      </c>
      <c r="AN232">
        <f t="shared" si="185"/>
        <v>1.8</v>
      </c>
      <c r="AO232">
        <f t="shared" si="186"/>
        <v>1.8</v>
      </c>
      <c r="AP232">
        <f t="shared" si="187"/>
        <v>3</v>
      </c>
      <c r="AQ232">
        <v>201</v>
      </c>
      <c r="AR232">
        <v>5</v>
      </c>
      <c r="BO232" t="s">
        <v>188</v>
      </c>
      <c r="BP232" t="str">
        <f t="shared" si="168"/>
        <v>0</v>
      </c>
    </row>
    <row r="233" spans="1:68" x14ac:dyDescent="0.15">
      <c r="A233">
        <f t="shared" si="169"/>
        <v>5302084</v>
      </c>
      <c r="B233" t="s">
        <v>143</v>
      </c>
      <c r="C233">
        <v>8</v>
      </c>
      <c r="D233">
        <v>3</v>
      </c>
      <c r="E233">
        <v>4</v>
      </c>
      <c r="F233" s="22" t="s">
        <v>707</v>
      </c>
      <c r="G233" s="22" t="s">
        <v>707</v>
      </c>
      <c r="H233" s="23">
        <v>0</v>
      </c>
      <c r="I233" s="2" t="s">
        <v>157</v>
      </c>
      <c r="J233" s="2">
        <f t="shared" si="188"/>
        <v>3</v>
      </c>
      <c r="K233" s="2">
        <f t="shared" si="170"/>
        <v>1.4000000000000001</v>
      </c>
      <c r="L233" s="2">
        <f t="shared" si="171"/>
        <v>1.7</v>
      </c>
      <c r="M233" s="2">
        <v>12</v>
      </c>
      <c r="N233" s="2">
        <f t="shared" si="172"/>
        <v>147.84</v>
      </c>
      <c r="O233" s="2">
        <f t="shared" si="173"/>
        <v>14.78</v>
      </c>
      <c r="P233" s="2">
        <f t="shared" si="174"/>
        <v>2346.67</v>
      </c>
      <c r="Q233" s="2">
        <f t="shared" si="175"/>
        <v>234.67</v>
      </c>
      <c r="R233" s="2">
        <f t="shared" si="176"/>
        <v>29.57</v>
      </c>
      <c r="S233" s="2">
        <f t="shared" si="177"/>
        <v>2.96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11">
        <v>543022</v>
      </c>
      <c r="Z233" s="26" t="s">
        <v>586</v>
      </c>
      <c r="AA233" s="4">
        <v>1</v>
      </c>
      <c r="AB233" s="4">
        <v>0</v>
      </c>
      <c r="AC233" s="4"/>
      <c r="AD233" s="4">
        <f t="shared" si="189"/>
        <v>9443.0018773799966</v>
      </c>
      <c r="AF233" s="1" t="str">
        <f t="shared" si="179"/>
        <v>2</v>
      </c>
      <c r="AG233">
        <v>8</v>
      </c>
      <c r="AH233">
        <f t="shared" si="180"/>
        <v>147.84000000000003</v>
      </c>
      <c r="AI233">
        <f t="shared" si="181"/>
        <v>14.784000000000004</v>
      </c>
      <c r="AJ233">
        <f t="shared" si="182"/>
        <v>2346.666666666667</v>
      </c>
      <c r="AK233">
        <f t="shared" si="183"/>
        <v>234.66666666666671</v>
      </c>
      <c r="AL233">
        <f t="shared" si="184"/>
        <v>29.568000000000005</v>
      </c>
      <c r="AM233">
        <f t="shared" si="178"/>
        <v>2.9568000000000008</v>
      </c>
      <c r="AN233">
        <f t="shared" si="185"/>
        <v>1.4</v>
      </c>
      <c r="AO233">
        <f t="shared" si="186"/>
        <v>1.7</v>
      </c>
      <c r="AP233">
        <f t="shared" si="187"/>
        <v>3</v>
      </c>
      <c r="AQ233">
        <v>302</v>
      </c>
      <c r="AR233">
        <v>5</v>
      </c>
      <c r="BO233" t="s">
        <v>171</v>
      </c>
      <c r="BP233" t="str">
        <f t="shared" si="168"/>
        <v>1</v>
      </c>
    </row>
    <row r="234" spans="1:68" x14ac:dyDescent="0.15">
      <c r="A234">
        <f t="shared" si="169"/>
        <v>5501084</v>
      </c>
      <c r="B234" t="s">
        <v>413</v>
      </c>
      <c r="C234">
        <v>8</v>
      </c>
      <c r="D234">
        <v>5</v>
      </c>
      <c r="E234">
        <v>4</v>
      </c>
      <c r="F234" t="s">
        <v>235</v>
      </c>
      <c r="G234" t="s">
        <v>235</v>
      </c>
      <c r="H234">
        <v>0</v>
      </c>
      <c r="I234" s="2" t="s">
        <v>144</v>
      </c>
      <c r="J234" s="2">
        <f t="shared" si="188"/>
        <v>6</v>
      </c>
      <c r="K234" s="2">
        <f t="shared" si="170"/>
        <v>1.6</v>
      </c>
      <c r="L234" s="2">
        <f t="shared" si="171"/>
        <v>2</v>
      </c>
      <c r="M234" s="2">
        <v>10</v>
      </c>
      <c r="N234" s="2">
        <f t="shared" si="172"/>
        <v>262.83</v>
      </c>
      <c r="O234" s="2">
        <f t="shared" si="173"/>
        <v>26.28</v>
      </c>
      <c r="P234" s="2">
        <f t="shared" si="174"/>
        <v>1508.57</v>
      </c>
      <c r="Q234" s="2">
        <f t="shared" si="175"/>
        <v>150.86000000000001</v>
      </c>
      <c r="R234" s="2">
        <f t="shared" si="176"/>
        <v>32.85</v>
      </c>
      <c r="S234" s="2">
        <f t="shared" si="177"/>
        <v>3.29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11">
        <v>545012</v>
      </c>
      <c r="Z234" s="12" t="s">
        <v>587</v>
      </c>
      <c r="AA234" s="4">
        <v>1</v>
      </c>
      <c r="AB234" s="4">
        <v>0</v>
      </c>
      <c r="AC234" s="4"/>
      <c r="AD234" s="4">
        <f t="shared" si="189"/>
        <v>9444.5034061415627</v>
      </c>
      <c r="AF234" s="1" t="str">
        <f t="shared" si="179"/>
        <v>1</v>
      </c>
      <c r="AG234">
        <v>8</v>
      </c>
      <c r="AH234">
        <f t="shared" si="180"/>
        <v>262.82666666666665</v>
      </c>
      <c r="AI234">
        <f t="shared" si="181"/>
        <v>26.282666666666668</v>
      </c>
      <c r="AJ234">
        <f t="shared" si="182"/>
        <v>1508.5714285714289</v>
      </c>
      <c r="AK234">
        <f t="shared" si="183"/>
        <v>150.85714285714289</v>
      </c>
      <c r="AL234">
        <f t="shared" si="184"/>
        <v>32.853333333333332</v>
      </c>
      <c r="AM234">
        <f t="shared" si="178"/>
        <v>3.2853333333333334</v>
      </c>
      <c r="AN234">
        <f t="shared" si="185"/>
        <v>1.6</v>
      </c>
      <c r="AO234">
        <f t="shared" si="186"/>
        <v>2</v>
      </c>
      <c r="AP234">
        <f t="shared" si="187"/>
        <v>6</v>
      </c>
      <c r="AQ234">
        <v>501</v>
      </c>
      <c r="AR234">
        <v>5</v>
      </c>
    </row>
    <row r="235" spans="1:68" x14ac:dyDescent="0.15">
      <c r="A235">
        <f t="shared" si="169"/>
        <v>5600084</v>
      </c>
      <c r="B235" t="s">
        <v>209</v>
      </c>
      <c r="C235">
        <v>8</v>
      </c>
      <c r="D235">
        <v>6</v>
      </c>
      <c r="E235">
        <v>4</v>
      </c>
      <c r="F235" t="s">
        <v>236</v>
      </c>
      <c r="G235" t="s">
        <v>236</v>
      </c>
      <c r="H235" s="2">
        <v>0</v>
      </c>
      <c r="I235" s="2" t="s">
        <v>147</v>
      </c>
      <c r="J235" s="2">
        <f t="shared" si="188"/>
        <v>3</v>
      </c>
      <c r="K235" s="2">
        <f t="shared" si="170"/>
        <v>1.4000000000000001</v>
      </c>
      <c r="L235" s="2">
        <f t="shared" si="171"/>
        <v>1.9000000000000001</v>
      </c>
      <c r="M235" s="2">
        <v>10</v>
      </c>
      <c r="N235" s="2">
        <f t="shared" si="172"/>
        <v>254.61</v>
      </c>
      <c r="O235" s="2">
        <f t="shared" si="173"/>
        <v>25.46</v>
      </c>
      <c r="P235" s="2">
        <f t="shared" si="174"/>
        <v>1362.58</v>
      </c>
      <c r="Q235" s="2">
        <f t="shared" si="175"/>
        <v>136.26</v>
      </c>
      <c r="R235" s="2">
        <f t="shared" si="176"/>
        <v>25.46</v>
      </c>
      <c r="S235" s="2">
        <f t="shared" si="177"/>
        <v>2.5499999999999998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11">
        <v>546002</v>
      </c>
      <c r="Z235" s="12" t="s">
        <v>588</v>
      </c>
      <c r="AA235" s="4">
        <v>1</v>
      </c>
      <c r="AB235" s="4">
        <v>0</v>
      </c>
      <c r="AC235" s="4"/>
      <c r="AD235" s="4">
        <f t="shared" si="189"/>
        <v>9444.8625826049974</v>
      </c>
      <c r="AF235" s="1" t="str">
        <f t="shared" si="179"/>
        <v>0</v>
      </c>
      <c r="AG235">
        <v>8</v>
      </c>
      <c r="AH235">
        <f t="shared" si="180"/>
        <v>254.61333333333332</v>
      </c>
      <c r="AI235">
        <f t="shared" si="181"/>
        <v>25.461333333333332</v>
      </c>
      <c r="AJ235">
        <f t="shared" si="182"/>
        <v>1362.5806451612905</v>
      </c>
      <c r="AK235">
        <f t="shared" si="183"/>
        <v>136.25806451612905</v>
      </c>
      <c r="AL235">
        <f t="shared" si="184"/>
        <v>25.461333333333332</v>
      </c>
      <c r="AM235">
        <f t="shared" si="178"/>
        <v>2.5461333333333336</v>
      </c>
      <c r="AN235">
        <f t="shared" si="185"/>
        <v>1.4</v>
      </c>
      <c r="AO235">
        <f t="shared" si="186"/>
        <v>1.9</v>
      </c>
      <c r="AP235">
        <f t="shared" si="187"/>
        <v>3</v>
      </c>
      <c r="AQ235">
        <v>600</v>
      </c>
      <c r="AR235">
        <v>5</v>
      </c>
      <c r="BO235" t="s">
        <v>136</v>
      </c>
      <c r="BP235" t="str">
        <f t="shared" si="168"/>
        <v>1</v>
      </c>
    </row>
    <row r="236" spans="1:68" x14ac:dyDescent="0.15">
      <c r="A236">
        <f t="shared" si="169"/>
        <v>5602084</v>
      </c>
      <c r="B236" t="s">
        <v>414</v>
      </c>
      <c r="C236">
        <v>8</v>
      </c>
      <c r="D236">
        <v>6</v>
      </c>
      <c r="E236">
        <v>4</v>
      </c>
      <c r="F236" t="s">
        <v>237</v>
      </c>
      <c r="G236" t="s">
        <v>237</v>
      </c>
      <c r="H236" t="s">
        <v>150</v>
      </c>
      <c r="I236" s="2" t="s">
        <v>151</v>
      </c>
      <c r="J236" s="2">
        <f t="shared" si="188"/>
        <v>6</v>
      </c>
      <c r="K236" s="2">
        <f t="shared" si="170"/>
        <v>1.8</v>
      </c>
      <c r="L236" s="2">
        <f t="shared" si="171"/>
        <v>2</v>
      </c>
      <c r="M236" s="2">
        <v>10</v>
      </c>
      <c r="N236" s="2">
        <f t="shared" si="172"/>
        <v>327.36</v>
      </c>
      <c r="O236" s="2">
        <f t="shared" si="173"/>
        <v>32.74</v>
      </c>
      <c r="P236" s="2">
        <f t="shared" si="174"/>
        <v>1362.58</v>
      </c>
      <c r="Q236" s="2">
        <f t="shared" si="175"/>
        <v>136.26</v>
      </c>
      <c r="R236" s="2">
        <f t="shared" si="176"/>
        <v>32.74</v>
      </c>
      <c r="S236" s="2">
        <f t="shared" si="177"/>
        <v>3.27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11">
        <v>546022</v>
      </c>
      <c r="Z236" s="12" t="s">
        <v>589</v>
      </c>
      <c r="AA236" s="4">
        <v>1</v>
      </c>
      <c r="AB236" s="4">
        <v>0</v>
      </c>
      <c r="AC236" s="4"/>
      <c r="AD236" s="4">
        <f t="shared" si="189"/>
        <v>9446.3726820399988</v>
      </c>
      <c r="AF236" s="1" t="str">
        <f t="shared" si="179"/>
        <v>2</v>
      </c>
      <c r="AG236">
        <v>8</v>
      </c>
      <c r="AH236">
        <f t="shared" si="180"/>
        <v>327.36000000000007</v>
      </c>
      <c r="AI236">
        <f t="shared" si="181"/>
        <v>32.736000000000011</v>
      </c>
      <c r="AJ236">
        <f t="shared" si="182"/>
        <v>1362.5806451612905</v>
      </c>
      <c r="AK236">
        <f t="shared" si="183"/>
        <v>136.25806451612905</v>
      </c>
      <c r="AL236">
        <f t="shared" si="184"/>
        <v>32.736000000000004</v>
      </c>
      <c r="AM236">
        <f t="shared" si="178"/>
        <v>3.2736000000000005</v>
      </c>
      <c r="AN236">
        <f t="shared" si="185"/>
        <v>1.8</v>
      </c>
      <c r="AO236">
        <f t="shared" si="186"/>
        <v>2</v>
      </c>
      <c r="AP236">
        <f t="shared" si="187"/>
        <v>6</v>
      </c>
      <c r="AQ236">
        <v>602</v>
      </c>
      <c r="AR236">
        <v>5</v>
      </c>
      <c r="BO236" t="s">
        <v>182</v>
      </c>
      <c r="BP236" t="str">
        <f t="shared" si="168"/>
        <v>2</v>
      </c>
    </row>
    <row r="237" spans="1:68" x14ac:dyDescent="0.15">
      <c r="A237">
        <f t="shared" si="169"/>
        <v>5202085</v>
      </c>
      <c r="B237" t="s">
        <v>408</v>
      </c>
      <c r="C237">
        <v>8</v>
      </c>
      <c r="D237">
        <v>2</v>
      </c>
      <c r="E237">
        <v>5</v>
      </c>
      <c r="F237" t="s">
        <v>708</v>
      </c>
      <c r="G237" t="s">
        <v>708</v>
      </c>
      <c r="H237" s="22">
        <v>0</v>
      </c>
      <c r="I237" s="2" t="s">
        <v>96</v>
      </c>
      <c r="J237" s="2">
        <f t="shared" si="188"/>
        <v>3</v>
      </c>
      <c r="K237" s="2">
        <f t="shared" si="170"/>
        <v>1.8</v>
      </c>
      <c r="L237" s="2">
        <f t="shared" si="171"/>
        <v>2</v>
      </c>
      <c r="M237" s="2">
        <v>11</v>
      </c>
      <c r="N237" s="2">
        <f t="shared" si="172"/>
        <v>190.08</v>
      </c>
      <c r="O237" s="2">
        <f t="shared" si="173"/>
        <v>19.010000000000002</v>
      </c>
      <c r="P237" s="2">
        <f t="shared" si="174"/>
        <v>2346.67</v>
      </c>
      <c r="Q237" s="2">
        <f t="shared" si="175"/>
        <v>234.67</v>
      </c>
      <c r="R237" s="2">
        <f t="shared" si="176"/>
        <v>38.020000000000003</v>
      </c>
      <c r="S237" s="2">
        <f t="shared" si="177"/>
        <v>3.8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11">
        <v>552022</v>
      </c>
      <c r="Z237" s="26" t="s">
        <v>590</v>
      </c>
      <c r="AA237" s="4">
        <v>1</v>
      </c>
      <c r="AB237" s="4">
        <v>0</v>
      </c>
      <c r="AC237" s="4"/>
      <c r="AD237" s="4">
        <f t="shared" si="189"/>
        <v>9446.2285861299988</v>
      </c>
      <c r="AF237" s="1" t="str">
        <f t="shared" si="179"/>
        <v>2</v>
      </c>
      <c r="AG237">
        <v>8</v>
      </c>
      <c r="AH237">
        <f t="shared" si="180"/>
        <v>190.08000000000004</v>
      </c>
      <c r="AI237">
        <f t="shared" si="181"/>
        <v>19.008000000000006</v>
      </c>
      <c r="AJ237">
        <f t="shared" si="182"/>
        <v>2346.666666666667</v>
      </c>
      <c r="AK237">
        <f t="shared" si="183"/>
        <v>234.66666666666671</v>
      </c>
      <c r="AL237">
        <f t="shared" si="184"/>
        <v>38.016000000000005</v>
      </c>
      <c r="AM237">
        <f t="shared" si="178"/>
        <v>3.8016000000000005</v>
      </c>
      <c r="AN237">
        <f t="shared" si="185"/>
        <v>1.8</v>
      </c>
      <c r="AO237">
        <f t="shared" si="186"/>
        <v>2</v>
      </c>
      <c r="AP237">
        <f t="shared" si="187"/>
        <v>3</v>
      </c>
      <c r="AQ237">
        <v>202</v>
      </c>
      <c r="AR237">
        <v>5</v>
      </c>
      <c r="BO237" t="s">
        <v>184</v>
      </c>
      <c r="BP237" t="str">
        <f t="shared" si="168"/>
        <v>0</v>
      </c>
    </row>
    <row r="238" spans="1:68" x14ac:dyDescent="0.15">
      <c r="A238">
        <f t="shared" si="169"/>
        <v>5300085</v>
      </c>
      <c r="B238" t="s">
        <v>415</v>
      </c>
      <c r="C238">
        <v>8</v>
      </c>
      <c r="D238">
        <v>3</v>
      </c>
      <c r="E238">
        <v>5</v>
      </c>
      <c r="F238" t="s">
        <v>238</v>
      </c>
      <c r="G238" t="s">
        <v>238</v>
      </c>
      <c r="H238" s="2">
        <v>0</v>
      </c>
      <c r="I238" s="28" t="s">
        <v>720</v>
      </c>
      <c r="J238" s="2">
        <f t="shared" si="188"/>
        <v>3</v>
      </c>
      <c r="K238" s="2">
        <f t="shared" si="170"/>
        <v>1.3</v>
      </c>
      <c r="L238" s="2">
        <f t="shared" si="171"/>
        <v>1.9000000000000001</v>
      </c>
      <c r="M238" s="2">
        <v>12</v>
      </c>
      <c r="N238" s="2">
        <f t="shared" si="172"/>
        <v>137.28</v>
      </c>
      <c r="O238" s="2">
        <f t="shared" si="173"/>
        <v>13.73</v>
      </c>
      <c r="P238" s="2">
        <f t="shared" si="174"/>
        <v>2346.67</v>
      </c>
      <c r="Q238" s="2">
        <f t="shared" si="175"/>
        <v>234.67</v>
      </c>
      <c r="R238" s="2">
        <f t="shared" si="176"/>
        <v>27.46</v>
      </c>
      <c r="S238" s="2">
        <f t="shared" si="177"/>
        <v>2.75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11">
        <v>553002</v>
      </c>
      <c r="Z238" s="12" t="s">
        <v>591</v>
      </c>
      <c r="AA238" s="4">
        <v>1</v>
      </c>
      <c r="AB238" s="4">
        <v>0</v>
      </c>
      <c r="AC238" s="4"/>
      <c r="AD238" s="4">
        <f t="shared" si="189"/>
        <v>9446.576077841537</v>
      </c>
      <c r="AF238" s="1" t="str">
        <f t="shared" si="179"/>
        <v>0</v>
      </c>
      <c r="AG238">
        <v>8</v>
      </c>
      <c r="AH238">
        <f t="shared" si="180"/>
        <v>137.28000000000003</v>
      </c>
      <c r="AI238">
        <f t="shared" si="181"/>
        <v>13.728000000000003</v>
      </c>
      <c r="AJ238">
        <f t="shared" si="182"/>
        <v>2346.666666666667</v>
      </c>
      <c r="AK238">
        <f t="shared" si="183"/>
        <v>234.66666666666671</v>
      </c>
      <c r="AL238">
        <f t="shared" si="184"/>
        <v>27.456000000000007</v>
      </c>
      <c r="AM238">
        <f t="shared" si="178"/>
        <v>2.7456000000000009</v>
      </c>
      <c r="AN238">
        <f t="shared" si="185"/>
        <v>1.3</v>
      </c>
      <c r="AO238">
        <f t="shared" si="186"/>
        <v>1.9</v>
      </c>
      <c r="AP238">
        <f t="shared" si="187"/>
        <v>3</v>
      </c>
      <c r="AQ238">
        <v>300</v>
      </c>
      <c r="AR238">
        <v>5</v>
      </c>
    </row>
    <row r="239" spans="1:68" x14ac:dyDescent="0.15">
      <c r="A239">
        <f t="shared" si="169"/>
        <v>5302085</v>
      </c>
      <c r="B239" t="s">
        <v>143</v>
      </c>
      <c r="C239">
        <v>8</v>
      </c>
      <c r="D239">
        <v>3</v>
      </c>
      <c r="E239">
        <v>5</v>
      </c>
      <c r="F239" t="s">
        <v>239</v>
      </c>
      <c r="G239" t="s">
        <v>239</v>
      </c>
      <c r="H239" s="2">
        <v>0</v>
      </c>
      <c r="I239" s="2" t="s">
        <v>157</v>
      </c>
      <c r="J239" s="2">
        <f t="shared" si="188"/>
        <v>3</v>
      </c>
      <c r="K239" s="2">
        <f t="shared" si="170"/>
        <v>1.4000000000000001</v>
      </c>
      <c r="L239" s="2">
        <f t="shared" si="171"/>
        <v>1.7</v>
      </c>
      <c r="M239" s="2">
        <v>13</v>
      </c>
      <c r="N239" s="2">
        <f t="shared" si="172"/>
        <v>147.84</v>
      </c>
      <c r="O239" s="2">
        <f t="shared" si="173"/>
        <v>14.78</v>
      </c>
      <c r="P239" s="2">
        <f t="shared" si="174"/>
        <v>2346.67</v>
      </c>
      <c r="Q239" s="2">
        <f t="shared" si="175"/>
        <v>234.67</v>
      </c>
      <c r="R239" s="2">
        <f t="shared" si="176"/>
        <v>29.57</v>
      </c>
      <c r="S239" s="2">
        <f t="shared" si="177"/>
        <v>2.96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11">
        <v>553022</v>
      </c>
      <c r="Z239" s="12" t="s">
        <v>592</v>
      </c>
      <c r="AA239" s="4">
        <v>1</v>
      </c>
      <c r="AB239" s="4">
        <v>0</v>
      </c>
      <c r="AC239" s="4"/>
      <c r="AD239" s="4">
        <f t="shared" si="189"/>
        <v>9443.0018773799966</v>
      </c>
      <c r="AF239" s="1" t="str">
        <f t="shared" si="179"/>
        <v>2</v>
      </c>
      <c r="AG239">
        <v>8</v>
      </c>
      <c r="AH239">
        <f t="shared" si="180"/>
        <v>147.84000000000003</v>
      </c>
      <c r="AI239">
        <f t="shared" si="181"/>
        <v>14.784000000000004</v>
      </c>
      <c r="AJ239">
        <f t="shared" si="182"/>
        <v>2346.666666666667</v>
      </c>
      <c r="AK239">
        <f t="shared" si="183"/>
        <v>234.66666666666671</v>
      </c>
      <c r="AL239">
        <f t="shared" si="184"/>
        <v>29.568000000000005</v>
      </c>
      <c r="AM239">
        <f t="shared" si="178"/>
        <v>2.9568000000000008</v>
      </c>
      <c r="AN239">
        <f t="shared" si="185"/>
        <v>1.4</v>
      </c>
      <c r="AO239">
        <f t="shared" si="186"/>
        <v>1.7</v>
      </c>
      <c r="AP239">
        <f t="shared" si="187"/>
        <v>3</v>
      </c>
      <c r="AQ239">
        <v>302</v>
      </c>
      <c r="AR239">
        <v>5</v>
      </c>
      <c r="BO239" t="s">
        <v>165</v>
      </c>
      <c r="BP239" t="str">
        <f t="shared" si="168"/>
        <v>2</v>
      </c>
    </row>
    <row r="240" spans="1:68" x14ac:dyDescent="0.15">
      <c r="A240">
        <f t="shared" si="169"/>
        <v>5400085</v>
      </c>
      <c r="B240" t="s">
        <v>149</v>
      </c>
      <c r="C240">
        <v>8</v>
      </c>
      <c r="D240">
        <v>4</v>
      </c>
      <c r="E240">
        <v>5</v>
      </c>
      <c r="F240" t="s">
        <v>240</v>
      </c>
      <c r="G240" t="s">
        <v>240</v>
      </c>
      <c r="H240">
        <v>0</v>
      </c>
      <c r="I240" s="2" t="s">
        <v>161</v>
      </c>
      <c r="J240" s="2">
        <f t="shared" si="188"/>
        <v>6</v>
      </c>
      <c r="K240" s="2">
        <f t="shared" si="170"/>
        <v>1.4000000000000001</v>
      </c>
      <c r="L240" s="2">
        <f t="shared" si="171"/>
        <v>1.4000000000000001</v>
      </c>
      <c r="M240" s="2">
        <v>14</v>
      </c>
      <c r="N240" s="2">
        <f t="shared" si="172"/>
        <v>197.12</v>
      </c>
      <c r="O240" s="2">
        <f t="shared" si="173"/>
        <v>19.71</v>
      </c>
      <c r="P240" s="2">
        <f t="shared" si="174"/>
        <v>1760</v>
      </c>
      <c r="Q240" s="2">
        <f t="shared" si="175"/>
        <v>176</v>
      </c>
      <c r="R240" s="2">
        <f t="shared" si="176"/>
        <v>28.16</v>
      </c>
      <c r="S240" s="2">
        <f t="shared" si="177"/>
        <v>2.82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11">
        <v>554002</v>
      </c>
      <c r="Z240" s="12" t="s">
        <v>593</v>
      </c>
      <c r="AA240" s="4">
        <v>1</v>
      </c>
      <c r="AB240" s="4">
        <v>0</v>
      </c>
      <c r="AC240" s="4"/>
      <c r="AD240" s="4">
        <f t="shared" si="189"/>
        <v>9444.3307199999981</v>
      </c>
      <c r="AF240" s="1" t="str">
        <f t="shared" si="179"/>
        <v>0</v>
      </c>
      <c r="AG240">
        <v>8</v>
      </c>
      <c r="AH240">
        <f t="shared" si="180"/>
        <v>197.12</v>
      </c>
      <c r="AI240">
        <f t="shared" si="181"/>
        <v>19.712000000000003</v>
      </c>
      <c r="AJ240">
        <f t="shared" si="182"/>
        <v>1760.0000000000002</v>
      </c>
      <c r="AK240">
        <f t="shared" si="183"/>
        <v>176.00000000000003</v>
      </c>
      <c r="AL240">
        <f t="shared" si="184"/>
        <v>28.16</v>
      </c>
      <c r="AM240">
        <f t="shared" si="178"/>
        <v>2.8160000000000003</v>
      </c>
      <c r="AN240">
        <f t="shared" si="185"/>
        <v>1.4</v>
      </c>
      <c r="AO240">
        <f t="shared" si="186"/>
        <v>1.4</v>
      </c>
      <c r="AP240">
        <f t="shared" si="187"/>
        <v>6</v>
      </c>
      <c r="AQ240">
        <v>400</v>
      </c>
      <c r="AR240">
        <v>5</v>
      </c>
      <c r="BO240" t="s">
        <v>186</v>
      </c>
      <c r="BP240" t="str">
        <f t="shared" si="168"/>
        <v>0</v>
      </c>
    </row>
    <row r="241" spans="1:68" x14ac:dyDescent="0.15">
      <c r="A241">
        <f t="shared" si="169"/>
        <v>5501085</v>
      </c>
      <c r="B241" t="s">
        <v>413</v>
      </c>
      <c r="C241">
        <v>8</v>
      </c>
      <c r="D241">
        <v>5</v>
      </c>
      <c r="E241">
        <v>5</v>
      </c>
      <c r="F241" t="s">
        <v>709</v>
      </c>
      <c r="G241" t="s">
        <v>709</v>
      </c>
      <c r="H241" s="22">
        <v>0</v>
      </c>
      <c r="I241" s="28" t="s">
        <v>721</v>
      </c>
      <c r="J241" s="2">
        <f t="shared" si="188"/>
        <v>6</v>
      </c>
      <c r="K241" s="2">
        <f t="shared" si="170"/>
        <v>1.6</v>
      </c>
      <c r="L241" s="2">
        <f t="shared" si="171"/>
        <v>2</v>
      </c>
      <c r="M241" s="2">
        <v>15</v>
      </c>
      <c r="N241" s="2">
        <f t="shared" si="172"/>
        <v>262.83</v>
      </c>
      <c r="O241" s="2">
        <f t="shared" si="173"/>
        <v>26.28</v>
      </c>
      <c r="P241" s="2">
        <f t="shared" si="174"/>
        <v>1508.57</v>
      </c>
      <c r="Q241" s="2">
        <f t="shared" si="175"/>
        <v>150.86000000000001</v>
      </c>
      <c r="R241" s="2">
        <f t="shared" si="176"/>
        <v>32.85</v>
      </c>
      <c r="S241" s="2">
        <f t="shared" si="177"/>
        <v>3.29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11">
        <v>555012</v>
      </c>
      <c r="Z241" s="26" t="s">
        <v>594</v>
      </c>
      <c r="AA241" s="4">
        <v>1</v>
      </c>
      <c r="AB241" s="4">
        <v>0</v>
      </c>
      <c r="AC241" s="4"/>
      <c r="AD241" s="4">
        <f t="shared" si="189"/>
        <v>9444.5034061415627</v>
      </c>
      <c r="AF241" s="1" t="str">
        <f t="shared" si="179"/>
        <v>1</v>
      </c>
      <c r="AG241">
        <v>8</v>
      </c>
      <c r="AH241">
        <f t="shared" si="180"/>
        <v>262.82666666666665</v>
      </c>
      <c r="AI241">
        <f t="shared" si="181"/>
        <v>26.282666666666668</v>
      </c>
      <c r="AJ241">
        <f t="shared" si="182"/>
        <v>1508.5714285714289</v>
      </c>
      <c r="AK241">
        <f t="shared" si="183"/>
        <v>150.85714285714289</v>
      </c>
      <c r="AL241">
        <f t="shared" si="184"/>
        <v>32.853333333333332</v>
      </c>
      <c r="AM241">
        <f t="shared" si="178"/>
        <v>3.2853333333333334</v>
      </c>
      <c r="AN241">
        <f t="shared" si="185"/>
        <v>1.6</v>
      </c>
      <c r="AO241">
        <f t="shared" si="186"/>
        <v>2</v>
      </c>
      <c r="AP241">
        <f t="shared" si="187"/>
        <v>6</v>
      </c>
      <c r="AQ241">
        <v>501</v>
      </c>
      <c r="AR241">
        <v>5</v>
      </c>
      <c r="BO241" t="s">
        <v>176</v>
      </c>
      <c r="BP241" t="str">
        <f t="shared" si="168"/>
        <v>2</v>
      </c>
    </row>
    <row r="242" spans="1:68" x14ac:dyDescent="0.15">
      <c r="A242">
        <f t="shared" si="169"/>
        <v>5200091</v>
      </c>
      <c r="B242" t="s">
        <v>160</v>
      </c>
      <c r="C242">
        <v>9</v>
      </c>
      <c r="D242">
        <v>2</v>
      </c>
      <c r="E242">
        <v>1</v>
      </c>
      <c r="F242" t="s">
        <v>207</v>
      </c>
      <c r="G242" t="s">
        <v>207</v>
      </c>
      <c r="H242" s="2">
        <v>0</v>
      </c>
      <c r="I242" s="28" t="s">
        <v>711</v>
      </c>
      <c r="J242" s="2">
        <f t="shared" si="188"/>
        <v>3</v>
      </c>
      <c r="K242" s="2">
        <f t="shared" si="170"/>
        <v>1.5</v>
      </c>
      <c r="L242" s="2">
        <f t="shared" si="171"/>
        <v>1.2</v>
      </c>
      <c r="M242" s="2">
        <v>10</v>
      </c>
      <c r="N242" s="2">
        <f t="shared" si="172"/>
        <v>192</v>
      </c>
      <c r="O242" s="2">
        <f t="shared" si="173"/>
        <v>19.2</v>
      </c>
      <c r="P242" s="2">
        <f t="shared" si="174"/>
        <v>2304</v>
      </c>
      <c r="Q242" s="2">
        <f t="shared" si="175"/>
        <v>230.4</v>
      </c>
      <c r="R242" s="2">
        <f t="shared" si="176"/>
        <v>48</v>
      </c>
      <c r="S242" s="2">
        <f t="shared" si="177"/>
        <v>4.8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11">
        <v>512002</v>
      </c>
      <c r="Z242" s="12" t="s">
        <v>595</v>
      </c>
      <c r="AA242" s="4">
        <v>1</v>
      </c>
      <c r="AB242" s="4">
        <v>0</v>
      </c>
      <c r="AC242" s="4"/>
      <c r="AD242" s="4">
        <f t="shared" si="189"/>
        <v>11240.570879999999</v>
      </c>
      <c r="AF242" s="1" t="str">
        <f t="shared" si="179"/>
        <v>0</v>
      </c>
      <c r="AG242">
        <v>9</v>
      </c>
      <c r="AH242">
        <f t="shared" si="180"/>
        <v>192</v>
      </c>
      <c r="AI242">
        <f t="shared" si="181"/>
        <v>19.200000000000003</v>
      </c>
      <c r="AJ242">
        <f t="shared" si="182"/>
        <v>2304</v>
      </c>
      <c r="AK242">
        <f t="shared" si="183"/>
        <v>230.4</v>
      </c>
      <c r="AL242">
        <f t="shared" si="184"/>
        <v>48</v>
      </c>
      <c r="AM242">
        <f t="shared" si="178"/>
        <v>4.8000000000000007</v>
      </c>
      <c r="AN242">
        <f t="shared" si="185"/>
        <v>1.5</v>
      </c>
      <c r="AO242">
        <f t="shared" si="186"/>
        <v>1.2</v>
      </c>
      <c r="AP242">
        <f t="shared" si="187"/>
        <v>3</v>
      </c>
      <c r="AQ242">
        <v>200</v>
      </c>
      <c r="AR242">
        <v>5</v>
      </c>
      <c r="BO242" t="s">
        <v>169</v>
      </c>
      <c r="BP242" t="str">
        <f t="shared" si="168"/>
        <v>0</v>
      </c>
    </row>
    <row r="243" spans="1:68" x14ac:dyDescent="0.15">
      <c r="A243">
        <f t="shared" si="169"/>
        <v>5201091</v>
      </c>
      <c r="B243" t="s">
        <v>407</v>
      </c>
      <c r="C243">
        <v>9</v>
      </c>
      <c r="D243">
        <v>2</v>
      </c>
      <c r="E243">
        <v>1</v>
      </c>
      <c r="F243" t="s">
        <v>208</v>
      </c>
      <c r="G243" t="s">
        <v>208</v>
      </c>
      <c r="H243" s="2">
        <v>0</v>
      </c>
      <c r="I243" s="2" t="s">
        <v>92</v>
      </c>
      <c r="J243" s="2">
        <f t="shared" si="188"/>
        <v>3</v>
      </c>
      <c r="K243" s="2">
        <f t="shared" si="170"/>
        <v>1.8</v>
      </c>
      <c r="L243" s="2">
        <f t="shared" si="171"/>
        <v>1.8</v>
      </c>
      <c r="M243" s="2">
        <v>10</v>
      </c>
      <c r="N243" s="2">
        <f t="shared" si="172"/>
        <v>184.32</v>
      </c>
      <c r="O243" s="2">
        <f t="shared" si="173"/>
        <v>18.43</v>
      </c>
      <c r="P243" s="2">
        <f t="shared" si="174"/>
        <v>2880</v>
      </c>
      <c r="Q243" s="2">
        <f t="shared" si="175"/>
        <v>288</v>
      </c>
      <c r="R243" s="2">
        <f t="shared" si="176"/>
        <v>61.44</v>
      </c>
      <c r="S243" s="2">
        <f t="shared" si="177"/>
        <v>6.14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11">
        <v>512012</v>
      </c>
      <c r="Z243" s="12" t="s">
        <v>596</v>
      </c>
      <c r="AA243" s="4">
        <v>1</v>
      </c>
      <c r="AB243" s="4">
        <v>0</v>
      </c>
      <c r="AC243" s="4"/>
      <c r="AD243" s="4">
        <f t="shared" si="189"/>
        <v>11239.462079999998</v>
      </c>
      <c r="AF243" s="1" t="str">
        <f t="shared" si="179"/>
        <v>1</v>
      </c>
      <c r="AG243">
        <v>9</v>
      </c>
      <c r="AH243">
        <f t="shared" si="180"/>
        <v>184.32000000000002</v>
      </c>
      <c r="AI243">
        <f t="shared" si="181"/>
        <v>18.432000000000002</v>
      </c>
      <c r="AJ243">
        <f t="shared" si="182"/>
        <v>2880</v>
      </c>
      <c r="AK243">
        <f t="shared" si="183"/>
        <v>288</v>
      </c>
      <c r="AL243">
        <f t="shared" si="184"/>
        <v>61.440000000000005</v>
      </c>
      <c r="AM243">
        <f t="shared" si="178"/>
        <v>6.144000000000001</v>
      </c>
      <c r="AN243">
        <f t="shared" si="185"/>
        <v>1.8</v>
      </c>
      <c r="AO243">
        <f t="shared" si="186"/>
        <v>1.8</v>
      </c>
      <c r="AP243">
        <f t="shared" si="187"/>
        <v>3</v>
      </c>
      <c r="AQ243">
        <v>201</v>
      </c>
      <c r="AR243">
        <v>5</v>
      </c>
      <c r="BO243" t="s">
        <v>178</v>
      </c>
      <c r="BP243" t="str">
        <f t="shared" si="168"/>
        <v>2</v>
      </c>
    </row>
    <row r="244" spans="1:68" x14ac:dyDescent="0.15">
      <c r="A244">
        <f t="shared" si="169"/>
        <v>5202091</v>
      </c>
      <c r="B244" t="s">
        <v>408</v>
      </c>
      <c r="C244">
        <v>9</v>
      </c>
      <c r="D244">
        <v>2</v>
      </c>
      <c r="E244">
        <v>1</v>
      </c>
      <c r="F244" t="s">
        <v>210</v>
      </c>
      <c r="G244" t="s">
        <v>210</v>
      </c>
      <c r="H244">
        <v>0</v>
      </c>
      <c r="I244" s="28" t="s">
        <v>712</v>
      </c>
      <c r="J244" s="2">
        <f t="shared" si="188"/>
        <v>3</v>
      </c>
      <c r="K244" s="2">
        <f t="shared" si="170"/>
        <v>1.8</v>
      </c>
      <c r="L244" s="2">
        <f t="shared" si="171"/>
        <v>2</v>
      </c>
      <c r="M244" s="2">
        <v>10</v>
      </c>
      <c r="N244" s="2">
        <f t="shared" si="172"/>
        <v>207.36</v>
      </c>
      <c r="O244" s="2">
        <f t="shared" si="173"/>
        <v>20.74</v>
      </c>
      <c r="P244" s="2">
        <f t="shared" si="174"/>
        <v>2560</v>
      </c>
      <c r="Q244" s="2">
        <f t="shared" si="175"/>
        <v>256</v>
      </c>
      <c r="R244" s="2">
        <f t="shared" si="176"/>
        <v>41.47</v>
      </c>
      <c r="S244" s="2">
        <f t="shared" si="177"/>
        <v>4.1500000000000004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11">
        <v>512022</v>
      </c>
      <c r="Z244" s="12" t="s">
        <v>597</v>
      </c>
      <c r="AA244" s="4">
        <v>1</v>
      </c>
      <c r="AB244" s="4">
        <v>0</v>
      </c>
      <c r="AC244" s="4"/>
      <c r="AD244" s="4">
        <f t="shared" si="189"/>
        <v>11242.542079999997</v>
      </c>
      <c r="AF244" s="1" t="str">
        <f t="shared" si="179"/>
        <v>2</v>
      </c>
      <c r="AG244">
        <v>9</v>
      </c>
      <c r="AH244">
        <f t="shared" si="180"/>
        <v>207.36</v>
      </c>
      <c r="AI244">
        <f t="shared" si="181"/>
        <v>20.736000000000004</v>
      </c>
      <c r="AJ244">
        <f t="shared" si="182"/>
        <v>2560</v>
      </c>
      <c r="AK244">
        <f t="shared" si="183"/>
        <v>256</v>
      </c>
      <c r="AL244">
        <f t="shared" si="184"/>
        <v>41.472000000000001</v>
      </c>
      <c r="AM244">
        <f t="shared" si="178"/>
        <v>4.1472000000000007</v>
      </c>
      <c r="AN244">
        <f t="shared" si="185"/>
        <v>1.8</v>
      </c>
      <c r="AO244">
        <f t="shared" si="186"/>
        <v>2</v>
      </c>
      <c r="AP244">
        <f t="shared" si="187"/>
        <v>3</v>
      </c>
      <c r="AQ244">
        <v>202</v>
      </c>
      <c r="AR244">
        <v>5</v>
      </c>
      <c r="BO244" t="s">
        <v>188</v>
      </c>
      <c r="BP244" t="str">
        <f t="shared" si="168"/>
        <v>0</v>
      </c>
    </row>
    <row r="245" spans="1:68" x14ac:dyDescent="0.15">
      <c r="A245">
        <f t="shared" si="169"/>
        <v>5301091</v>
      </c>
      <c r="B245" t="s">
        <v>409</v>
      </c>
      <c r="C245">
        <v>9</v>
      </c>
      <c r="D245">
        <v>3</v>
      </c>
      <c r="E245">
        <v>1</v>
      </c>
      <c r="F245" t="s">
        <v>211</v>
      </c>
      <c r="G245" t="s">
        <v>211</v>
      </c>
      <c r="H245" s="2">
        <v>0</v>
      </c>
      <c r="I245" s="28" t="s">
        <v>713</v>
      </c>
      <c r="J245" s="2">
        <f t="shared" si="188"/>
        <v>3</v>
      </c>
      <c r="K245" s="2">
        <f t="shared" si="170"/>
        <v>1.2</v>
      </c>
      <c r="L245" s="2">
        <f t="shared" si="171"/>
        <v>2</v>
      </c>
      <c r="M245" s="2">
        <v>10</v>
      </c>
      <c r="N245" s="2">
        <f t="shared" si="172"/>
        <v>138.24</v>
      </c>
      <c r="O245" s="2">
        <f t="shared" si="173"/>
        <v>13.82</v>
      </c>
      <c r="P245" s="2">
        <f t="shared" si="174"/>
        <v>2560</v>
      </c>
      <c r="Q245" s="2">
        <f t="shared" si="175"/>
        <v>256</v>
      </c>
      <c r="R245" s="2">
        <f t="shared" si="176"/>
        <v>27.65</v>
      </c>
      <c r="S245" s="2">
        <f t="shared" si="177"/>
        <v>2.76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11">
        <v>513012</v>
      </c>
      <c r="Z245" s="12" t="s">
        <v>598</v>
      </c>
      <c r="AA245" s="4">
        <v>1</v>
      </c>
      <c r="AB245" s="4">
        <v>0</v>
      </c>
      <c r="AC245" s="4"/>
      <c r="AD245" s="4">
        <f t="shared" si="189"/>
        <v>11237.614080000001</v>
      </c>
      <c r="AF245" s="1" t="str">
        <f t="shared" si="179"/>
        <v>1</v>
      </c>
      <c r="AG245">
        <v>9</v>
      </c>
      <c r="AH245">
        <f t="shared" si="180"/>
        <v>138.24</v>
      </c>
      <c r="AI245">
        <f t="shared" si="181"/>
        <v>13.824000000000002</v>
      </c>
      <c r="AJ245">
        <f t="shared" si="182"/>
        <v>2560</v>
      </c>
      <c r="AK245">
        <f t="shared" si="183"/>
        <v>256</v>
      </c>
      <c r="AL245">
        <f t="shared" si="184"/>
        <v>27.648000000000003</v>
      </c>
      <c r="AM245">
        <f t="shared" si="178"/>
        <v>2.7648000000000006</v>
      </c>
      <c r="AN245">
        <f t="shared" si="185"/>
        <v>1.2</v>
      </c>
      <c r="AO245">
        <f t="shared" si="186"/>
        <v>2</v>
      </c>
      <c r="AP245">
        <f t="shared" si="187"/>
        <v>3</v>
      </c>
      <c r="AQ245">
        <v>301</v>
      </c>
      <c r="AR245">
        <v>5</v>
      </c>
      <c r="BO245" t="s">
        <v>180</v>
      </c>
      <c r="BP245" t="str">
        <f t="shared" si="168"/>
        <v>2</v>
      </c>
    </row>
    <row r="246" spans="1:68" x14ac:dyDescent="0.15">
      <c r="A246">
        <f t="shared" si="169"/>
        <v>5401091</v>
      </c>
      <c r="B246" t="s">
        <v>410</v>
      </c>
      <c r="C246">
        <v>9</v>
      </c>
      <c r="D246">
        <v>4</v>
      </c>
      <c r="E246">
        <v>1</v>
      </c>
      <c r="F246" t="s">
        <v>212</v>
      </c>
      <c r="G246" t="s">
        <v>212</v>
      </c>
      <c r="H246" s="2">
        <v>0</v>
      </c>
      <c r="I246" s="2" t="s">
        <v>103</v>
      </c>
      <c r="J246" s="2">
        <f t="shared" si="188"/>
        <v>6</v>
      </c>
      <c r="K246" s="2">
        <f t="shared" si="170"/>
        <v>1.6</v>
      </c>
      <c r="L246" s="2">
        <f t="shared" si="171"/>
        <v>2</v>
      </c>
      <c r="M246" s="2">
        <v>10</v>
      </c>
      <c r="N246" s="2">
        <f t="shared" si="172"/>
        <v>245.76</v>
      </c>
      <c r="O246" s="2">
        <f t="shared" si="173"/>
        <v>24.58</v>
      </c>
      <c r="P246" s="2">
        <f t="shared" si="174"/>
        <v>1920</v>
      </c>
      <c r="Q246" s="2">
        <f t="shared" si="175"/>
        <v>192</v>
      </c>
      <c r="R246" s="2">
        <f t="shared" si="176"/>
        <v>35.11</v>
      </c>
      <c r="S246" s="2">
        <f t="shared" si="177"/>
        <v>3.51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11">
        <v>514012</v>
      </c>
      <c r="Z246" s="12" t="s">
        <v>599</v>
      </c>
      <c r="AA246" s="4">
        <v>1</v>
      </c>
      <c r="AB246" s="4">
        <v>0</v>
      </c>
      <c r="AC246" s="4"/>
      <c r="AD246" s="4">
        <f t="shared" si="189"/>
        <v>11242.234079999998</v>
      </c>
      <c r="AF246" s="1" t="str">
        <f t="shared" si="179"/>
        <v>1</v>
      </c>
      <c r="AG246">
        <v>9</v>
      </c>
      <c r="AH246">
        <f t="shared" si="180"/>
        <v>245.76</v>
      </c>
      <c r="AI246">
        <f t="shared" si="181"/>
        <v>24.576000000000001</v>
      </c>
      <c r="AJ246">
        <f t="shared" si="182"/>
        <v>1920</v>
      </c>
      <c r="AK246">
        <f t="shared" si="183"/>
        <v>192</v>
      </c>
      <c r="AL246">
        <f t="shared" si="184"/>
        <v>35.10857142857143</v>
      </c>
      <c r="AM246">
        <f t="shared" si="178"/>
        <v>3.5108571428571431</v>
      </c>
      <c r="AN246">
        <f t="shared" si="185"/>
        <v>1.6</v>
      </c>
      <c r="AO246">
        <f t="shared" si="186"/>
        <v>2</v>
      </c>
      <c r="AP246">
        <f t="shared" si="187"/>
        <v>6</v>
      </c>
      <c r="AQ246">
        <v>401</v>
      </c>
      <c r="AR246">
        <v>5</v>
      </c>
      <c r="BO246" t="s">
        <v>173</v>
      </c>
      <c r="BP246" t="str">
        <f t="shared" si="168"/>
        <v>0</v>
      </c>
    </row>
    <row r="247" spans="1:68" x14ac:dyDescent="0.15">
      <c r="A247">
        <f t="shared" si="169"/>
        <v>5402091</v>
      </c>
      <c r="B247" t="s">
        <v>102</v>
      </c>
      <c r="C247">
        <v>9</v>
      </c>
      <c r="D247">
        <v>4</v>
      </c>
      <c r="E247">
        <v>1</v>
      </c>
      <c r="F247" t="s">
        <v>213</v>
      </c>
      <c r="G247" t="s">
        <v>213</v>
      </c>
      <c r="H247">
        <v>0</v>
      </c>
      <c r="I247" s="28" t="s">
        <v>714</v>
      </c>
      <c r="J247" s="2">
        <f t="shared" si="188"/>
        <v>6</v>
      </c>
      <c r="K247" s="2">
        <f t="shared" si="170"/>
        <v>1.5</v>
      </c>
      <c r="L247" s="2">
        <f t="shared" si="171"/>
        <v>1.5</v>
      </c>
      <c r="M247" s="2">
        <v>10</v>
      </c>
      <c r="N247" s="2">
        <f t="shared" si="172"/>
        <v>230.4</v>
      </c>
      <c r="O247" s="2">
        <f t="shared" si="173"/>
        <v>23.04</v>
      </c>
      <c r="P247" s="2">
        <f t="shared" si="174"/>
        <v>1920</v>
      </c>
      <c r="Q247" s="2">
        <f t="shared" si="175"/>
        <v>192</v>
      </c>
      <c r="R247" s="2">
        <f t="shared" si="176"/>
        <v>32.909999999999997</v>
      </c>
      <c r="S247" s="2">
        <f t="shared" si="177"/>
        <v>3.29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11">
        <v>514022</v>
      </c>
      <c r="Z247" s="12" t="s">
        <v>600</v>
      </c>
      <c r="AA247" s="4">
        <v>1</v>
      </c>
      <c r="AB247" s="4">
        <v>0</v>
      </c>
      <c r="AC247" s="4"/>
      <c r="AD247" s="4">
        <f t="shared" si="189"/>
        <v>11240.570879999999</v>
      </c>
      <c r="AF247" s="1" t="str">
        <f t="shared" si="179"/>
        <v>2</v>
      </c>
      <c r="AG247">
        <v>9</v>
      </c>
      <c r="AH247">
        <f t="shared" si="180"/>
        <v>230.39999999999998</v>
      </c>
      <c r="AI247">
        <f t="shared" si="181"/>
        <v>23.04</v>
      </c>
      <c r="AJ247">
        <f t="shared" si="182"/>
        <v>1920</v>
      </c>
      <c r="AK247">
        <f t="shared" si="183"/>
        <v>192</v>
      </c>
      <c r="AL247">
        <f t="shared" si="184"/>
        <v>32.914285714285711</v>
      </c>
      <c r="AM247">
        <f t="shared" si="178"/>
        <v>3.2914285714285714</v>
      </c>
      <c r="AN247">
        <f t="shared" si="185"/>
        <v>1.5</v>
      </c>
      <c r="AO247">
        <f t="shared" si="186"/>
        <v>1.5</v>
      </c>
      <c r="AP247">
        <f t="shared" si="187"/>
        <v>6</v>
      </c>
      <c r="AQ247">
        <v>402</v>
      </c>
      <c r="AR247">
        <v>5</v>
      </c>
      <c r="BO247" t="s">
        <v>136</v>
      </c>
      <c r="BP247" t="str">
        <f t="shared" si="168"/>
        <v>1</v>
      </c>
    </row>
    <row r="248" spans="1:68" x14ac:dyDescent="0.15">
      <c r="A248">
        <f t="shared" si="169"/>
        <v>5500091</v>
      </c>
      <c r="B248" t="s">
        <v>411</v>
      </c>
      <c r="C248">
        <v>9</v>
      </c>
      <c r="D248">
        <v>5</v>
      </c>
      <c r="E248">
        <v>1</v>
      </c>
      <c r="F248" t="s">
        <v>214</v>
      </c>
      <c r="G248" t="s">
        <v>214</v>
      </c>
      <c r="H248">
        <v>0</v>
      </c>
      <c r="I248" s="2" t="s">
        <v>109</v>
      </c>
      <c r="J248" s="2">
        <f t="shared" si="188"/>
        <v>6</v>
      </c>
      <c r="K248" s="2">
        <f t="shared" si="170"/>
        <v>1.5</v>
      </c>
      <c r="L248" s="2">
        <f t="shared" si="171"/>
        <v>1.5</v>
      </c>
      <c r="M248" s="2">
        <v>10</v>
      </c>
      <c r="N248" s="2">
        <f t="shared" si="172"/>
        <v>268.8</v>
      </c>
      <c r="O248" s="2">
        <f t="shared" si="173"/>
        <v>26.88</v>
      </c>
      <c r="P248" s="2">
        <f t="shared" si="174"/>
        <v>1645.71</v>
      </c>
      <c r="Q248" s="2">
        <f t="shared" si="175"/>
        <v>164.57</v>
      </c>
      <c r="R248" s="2">
        <f t="shared" si="176"/>
        <v>33.6</v>
      </c>
      <c r="S248" s="2">
        <f t="shared" si="177"/>
        <v>3.36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11">
        <v>515002</v>
      </c>
      <c r="Z248" s="12" t="s">
        <v>601</v>
      </c>
      <c r="AA248" s="4">
        <v>1</v>
      </c>
      <c r="AB248" s="4">
        <v>0</v>
      </c>
      <c r="AC248" s="4"/>
      <c r="AD248" s="4">
        <f t="shared" si="189"/>
        <v>11240.479514879999</v>
      </c>
      <c r="AF248" s="1" t="str">
        <f t="shared" si="179"/>
        <v>0</v>
      </c>
      <c r="AG248">
        <v>9</v>
      </c>
      <c r="AH248">
        <f t="shared" si="180"/>
        <v>268.7999999999999</v>
      </c>
      <c r="AI248">
        <f t="shared" si="181"/>
        <v>26.879999999999992</v>
      </c>
      <c r="AJ248">
        <f t="shared" si="182"/>
        <v>1645.7142857142858</v>
      </c>
      <c r="AK248">
        <f t="shared" si="183"/>
        <v>164.57142857142858</v>
      </c>
      <c r="AL248">
        <f t="shared" si="184"/>
        <v>33.599999999999987</v>
      </c>
      <c r="AM248">
        <f t="shared" si="178"/>
        <v>3.359999999999999</v>
      </c>
      <c r="AN248">
        <f t="shared" si="185"/>
        <v>1.5</v>
      </c>
      <c r="AO248">
        <f t="shared" si="186"/>
        <v>1.5</v>
      </c>
      <c r="AP248">
        <f t="shared" si="187"/>
        <v>6</v>
      </c>
      <c r="AQ248">
        <v>500</v>
      </c>
      <c r="AR248">
        <v>5</v>
      </c>
      <c r="BO248" t="s">
        <v>141</v>
      </c>
      <c r="BP248" t="str">
        <f t="shared" si="168"/>
        <v>1</v>
      </c>
    </row>
    <row r="249" spans="1:68" x14ac:dyDescent="0.15">
      <c r="A249">
        <f t="shared" si="169"/>
        <v>5502091</v>
      </c>
      <c r="B249" t="s">
        <v>115</v>
      </c>
      <c r="C249">
        <v>9</v>
      </c>
      <c r="D249">
        <v>5</v>
      </c>
      <c r="E249">
        <v>1</v>
      </c>
      <c r="F249" t="s">
        <v>215</v>
      </c>
      <c r="G249" t="s">
        <v>215</v>
      </c>
      <c r="H249" s="2">
        <v>0</v>
      </c>
      <c r="I249" s="2" t="s">
        <v>113</v>
      </c>
      <c r="J249" s="2">
        <f t="shared" si="188"/>
        <v>6</v>
      </c>
      <c r="K249" s="2">
        <f t="shared" si="170"/>
        <v>1.4000000000000001</v>
      </c>
      <c r="L249" s="2">
        <f t="shared" si="171"/>
        <v>2</v>
      </c>
      <c r="M249" s="2">
        <v>10</v>
      </c>
      <c r="N249" s="2">
        <f t="shared" si="172"/>
        <v>250.88</v>
      </c>
      <c r="O249" s="2">
        <f t="shared" si="173"/>
        <v>25.09</v>
      </c>
      <c r="P249" s="2">
        <f t="shared" si="174"/>
        <v>1645.71</v>
      </c>
      <c r="Q249" s="2">
        <f t="shared" si="175"/>
        <v>164.57</v>
      </c>
      <c r="R249" s="2">
        <f t="shared" si="176"/>
        <v>31.36</v>
      </c>
      <c r="S249" s="2">
        <f t="shared" si="177"/>
        <v>3.14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11">
        <v>515022</v>
      </c>
      <c r="Z249" s="12" t="s">
        <v>602</v>
      </c>
      <c r="AA249" s="4">
        <v>1</v>
      </c>
      <c r="AB249" s="4">
        <v>0</v>
      </c>
      <c r="AC249" s="4"/>
      <c r="AD249" s="4">
        <f t="shared" si="189"/>
        <v>11241.294136829996</v>
      </c>
      <c r="AF249" s="1" t="str">
        <f t="shared" si="179"/>
        <v>2</v>
      </c>
      <c r="AG249">
        <v>9</v>
      </c>
      <c r="AH249">
        <f t="shared" si="180"/>
        <v>250.87999999999994</v>
      </c>
      <c r="AI249">
        <f t="shared" si="181"/>
        <v>25.087999999999994</v>
      </c>
      <c r="AJ249">
        <f t="shared" si="182"/>
        <v>1645.7142857142858</v>
      </c>
      <c r="AK249">
        <f t="shared" si="183"/>
        <v>164.57142857142858</v>
      </c>
      <c r="AL249">
        <f t="shared" si="184"/>
        <v>31.359999999999992</v>
      </c>
      <c r="AM249">
        <f t="shared" si="178"/>
        <v>3.1359999999999992</v>
      </c>
      <c r="AN249">
        <f t="shared" si="185"/>
        <v>1.4</v>
      </c>
      <c r="AO249">
        <f t="shared" si="186"/>
        <v>2</v>
      </c>
      <c r="AP249">
        <f t="shared" si="187"/>
        <v>6</v>
      </c>
      <c r="AQ249">
        <v>502</v>
      </c>
      <c r="AR249">
        <v>5</v>
      </c>
      <c r="BO249" t="s">
        <v>165</v>
      </c>
      <c r="BP249" t="str">
        <f t="shared" si="168"/>
        <v>2</v>
      </c>
    </row>
    <row r="250" spans="1:68" x14ac:dyDescent="0.15">
      <c r="A250">
        <f t="shared" si="169"/>
        <v>5601091</v>
      </c>
      <c r="B250" t="s">
        <v>412</v>
      </c>
      <c r="C250">
        <v>9</v>
      </c>
      <c r="D250">
        <v>6</v>
      </c>
      <c r="E250">
        <v>1</v>
      </c>
      <c r="F250" t="s">
        <v>216</v>
      </c>
      <c r="G250" t="s">
        <v>216</v>
      </c>
      <c r="H250">
        <v>0</v>
      </c>
      <c r="I250" s="2" t="s">
        <v>116</v>
      </c>
      <c r="J250" s="2">
        <f t="shared" si="188"/>
        <v>6</v>
      </c>
      <c r="K250" s="2">
        <f t="shared" si="170"/>
        <v>1.5</v>
      </c>
      <c r="L250" s="2">
        <f t="shared" si="171"/>
        <v>2</v>
      </c>
      <c r="M250" s="2">
        <v>10</v>
      </c>
      <c r="N250" s="2">
        <f t="shared" si="172"/>
        <v>297.60000000000002</v>
      </c>
      <c r="O250" s="2">
        <f t="shared" si="173"/>
        <v>29.76</v>
      </c>
      <c r="P250" s="2">
        <f t="shared" si="174"/>
        <v>1486.45</v>
      </c>
      <c r="Q250" s="2">
        <f t="shared" si="175"/>
        <v>148.65</v>
      </c>
      <c r="R250" s="2">
        <f t="shared" si="176"/>
        <v>29.76</v>
      </c>
      <c r="S250" s="2">
        <f t="shared" si="177"/>
        <v>2.98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11">
        <v>516012</v>
      </c>
      <c r="Z250" s="12" t="s">
        <v>603</v>
      </c>
      <c r="AA250" s="4">
        <v>1</v>
      </c>
      <c r="AB250" s="4">
        <v>0</v>
      </c>
      <c r="AC250" s="4"/>
      <c r="AD250" s="4">
        <f t="shared" si="189"/>
        <v>11240.902411199999</v>
      </c>
      <c r="AF250" s="1" t="str">
        <f t="shared" si="179"/>
        <v>1</v>
      </c>
      <c r="AG250">
        <v>9</v>
      </c>
      <c r="AH250">
        <f t="shared" si="180"/>
        <v>297.59999999999997</v>
      </c>
      <c r="AI250">
        <f t="shared" si="181"/>
        <v>29.759999999999998</v>
      </c>
      <c r="AJ250">
        <f t="shared" si="182"/>
        <v>1486.4516129032259</v>
      </c>
      <c r="AK250">
        <f t="shared" si="183"/>
        <v>148.64516129032259</v>
      </c>
      <c r="AL250">
        <f t="shared" si="184"/>
        <v>29.759999999999998</v>
      </c>
      <c r="AM250">
        <f t="shared" si="178"/>
        <v>2.976</v>
      </c>
      <c r="AN250">
        <f t="shared" si="185"/>
        <v>1.5</v>
      </c>
      <c r="AO250">
        <f t="shared" si="186"/>
        <v>2</v>
      </c>
      <c r="AP250">
        <f t="shared" si="187"/>
        <v>6</v>
      </c>
      <c r="AQ250">
        <v>601</v>
      </c>
      <c r="AR250">
        <v>5</v>
      </c>
      <c r="BO250" t="s">
        <v>167</v>
      </c>
      <c r="BP250" t="str">
        <f t="shared" si="168"/>
        <v>1</v>
      </c>
    </row>
    <row r="251" spans="1:68" x14ac:dyDescent="0.15">
      <c r="A251">
        <f t="shared" si="169"/>
        <v>5200092</v>
      </c>
      <c r="B251" t="s">
        <v>160</v>
      </c>
      <c r="C251">
        <v>9</v>
      </c>
      <c r="D251">
        <v>2</v>
      </c>
      <c r="E251">
        <v>2</v>
      </c>
      <c r="F251" t="s">
        <v>217</v>
      </c>
      <c r="G251" t="s">
        <v>217</v>
      </c>
      <c r="H251">
        <v>0</v>
      </c>
      <c r="I251" s="28" t="s">
        <v>715</v>
      </c>
      <c r="J251" s="2">
        <f t="shared" si="188"/>
        <v>3</v>
      </c>
      <c r="K251" s="2">
        <f t="shared" si="170"/>
        <v>1.5</v>
      </c>
      <c r="L251" s="2">
        <f t="shared" si="171"/>
        <v>1.2</v>
      </c>
      <c r="M251" s="2">
        <v>10</v>
      </c>
      <c r="N251" s="2">
        <f t="shared" si="172"/>
        <v>192</v>
      </c>
      <c r="O251" s="2">
        <f t="shared" si="173"/>
        <v>19.2</v>
      </c>
      <c r="P251" s="2">
        <f t="shared" si="174"/>
        <v>2304</v>
      </c>
      <c r="Q251" s="2">
        <f t="shared" si="175"/>
        <v>230.4</v>
      </c>
      <c r="R251" s="2">
        <f t="shared" si="176"/>
        <v>48</v>
      </c>
      <c r="S251" s="2">
        <f t="shared" si="177"/>
        <v>4.8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11">
        <v>522002</v>
      </c>
      <c r="Z251" s="12" t="s">
        <v>604</v>
      </c>
      <c r="AA251" s="4">
        <v>1</v>
      </c>
      <c r="AB251" s="4">
        <v>0</v>
      </c>
      <c r="AC251" s="4"/>
      <c r="AD251" s="4">
        <f t="shared" si="189"/>
        <v>11240.570879999999</v>
      </c>
      <c r="AF251" s="1" t="str">
        <f t="shared" si="179"/>
        <v>0</v>
      </c>
      <c r="AG251">
        <v>9</v>
      </c>
      <c r="AH251">
        <f t="shared" si="180"/>
        <v>192</v>
      </c>
      <c r="AI251">
        <f t="shared" si="181"/>
        <v>19.200000000000003</v>
      </c>
      <c r="AJ251">
        <f t="shared" si="182"/>
        <v>2304</v>
      </c>
      <c r="AK251">
        <f t="shared" si="183"/>
        <v>230.4</v>
      </c>
      <c r="AL251">
        <f t="shared" si="184"/>
        <v>48</v>
      </c>
      <c r="AM251">
        <f t="shared" si="178"/>
        <v>4.8000000000000007</v>
      </c>
      <c r="AN251">
        <f t="shared" si="185"/>
        <v>1.5</v>
      </c>
      <c r="AO251">
        <f t="shared" si="186"/>
        <v>1.2</v>
      </c>
      <c r="AP251">
        <f t="shared" si="187"/>
        <v>3</v>
      </c>
      <c r="AQ251">
        <v>200</v>
      </c>
      <c r="AR251">
        <v>5</v>
      </c>
      <c r="BO251" t="s">
        <v>176</v>
      </c>
      <c r="BP251" t="str">
        <f t="shared" si="168"/>
        <v>2</v>
      </c>
    </row>
    <row r="252" spans="1:68" x14ac:dyDescent="0.15">
      <c r="A252">
        <f t="shared" si="169"/>
        <v>5201092</v>
      </c>
      <c r="B252" t="s">
        <v>407</v>
      </c>
      <c r="C252">
        <v>9</v>
      </c>
      <c r="D252">
        <v>2</v>
      </c>
      <c r="E252">
        <v>2</v>
      </c>
      <c r="F252" t="s">
        <v>218</v>
      </c>
      <c r="G252" t="s">
        <v>218</v>
      </c>
      <c r="H252">
        <v>0</v>
      </c>
      <c r="I252" s="28" t="s">
        <v>722</v>
      </c>
      <c r="J252" s="2">
        <f t="shared" si="188"/>
        <v>3</v>
      </c>
      <c r="K252" s="2">
        <f t="shared" si="170"/>
        <v>1.8</v>
      </c>
      <c r="L252" s="2">
        <f t="shared" si="171"/>
        <v>1.8</v>
      </c>
      <c r="M252" s="2">
        <v>10</v>
      </c>
      <c r="N252" s="2">
        <f t="shared" si="172"/>
        <v>184.32</v>
      </c>
      <c r="O252" s="2">
        <f t="shared" si="173"/>
        <v>18.43</v>
      </c>
      <c r="P252" s="2">
        <f t="shared" si="174"/>
        <v>2880</v>
      </c>
      <c r="Q252" s="2">
        <f t="shared" si="175"/>
        <v>288</v>
      </c>
      <c r="R252" s="2">
        <f t="shared" si="176"/>
        <v>61.44</v>
      </c>
      <c r="S252" s="2">
        <f t="shared" si="177"/>
        <v>6.14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11">
        <v>522012</v>
      </c>
      <c r="Z252" s="12" t="s">
        <v>605</v>
      </c>
      <c r="AA252" s="4">
        <v>1</v>
      </c>
      <c r="AB252" s="4">
        <v>0</v>
      </c>
      <c r="AC252" s="4"/>
      <c r="AD252" s="4">
        <f t="shared" si="189"/>
        <v>11239.462079999998</v>
      </c>
      <c r="AF252" s="1" t="str">
        <f t="shared" si="179"/>
        <v>1</v>
      </c>
      <c r="AG252">
        <v>9</v>
      </c>
      <c r="AH252">
        <f t="shared" si="180"/>
        <v>184.32000000000002</v>
      </c>
      <c r="AI252">
        <f t="shared" si="181"/>
        <v>18.432000000000002</v>
      </c>
      <c r="AJ252">
        <f t="shared" si="182"/>
        <v>2880</v>
      </c>
      <c r="AK252">
        <f t="shared" si="183"/>
        <v>288</v>
      </c>
      <c r="AL252">
        <f t="shared" si="184"/>
        <v>61.440000000000005</v>
      </c>
      <c r="AM252">
        <f t="shared" si="178"/>
        <v>6.144000000000001</v>
      </c>
      <c r="AN252">
        <f t="shared" si="185"/>
        <v>1.8</v>
      </c>
      <c r="AO252">
        <f t="shared" si="186"/>
        <v>1.8</v>
      </c>
      <c r="AP252">
        <f t="shared" si="187"/>
        <v>3</v>
      </c>
      <c r="AQ252">
        <v>201</v>
      </c>
      <c r="AR252">
        <v>5</v>
      </c>
      <c r="BO252" t="s">
        <v>169</v>
      </c>
      <c r="BP252" t="str">
        <f t="shared" si="168"/>
        <v>0</v>
      </c>
    </row>
    <row r="253" spans="1:68" x14ac:dyDescent="0.15">
      <c r="A253">
        <f t="shared" si="169"/>
        <v>5202092</v>
      </c>
      <c r="B253" t="s">
        <v>408</v>
      </c>
      <c r="C253">
        <v>9</v>
      </c>
      <c r="D253">
        <v>2</v>
      </c>
      <c r="E253">
        <v>2</v>
      </c>
      <c r="F253" t="s">
        <v>219</v>
      </c>
      <c r="G253" t="s">
        <v>219</v>
      </c>
      <c r="H253" s="2">
        <v>0</v>
      </c>
      <c r="I253" s="2" t="s">
        <v>96</v>
      </c>
      <c r="J253" s="2">
        <f t="shared" si="188"/>
        <v>3</v>
      </c>
      <c r="K253" s="2">
        <f t="shared" si="170"/>
        <v>1.8</v>
      </c>
      <c r="L253" s="2">
        <f t="shared" si="171"/>
        <v>2</v>
      </c>
      <c r="M253" s="2">
        <v>10</v>
      </c>
      <c r="N253" s="2">
        <f t="shared" si="172"/>
        <v>207.36</v>
      </c>
      <c r="O253" s="2">
        <f t="shared" si="173"/>
        <v>20.74</v>
      </c>
      <c r="P253" s="2">
        <f t="shared" si="174"/>
        <v>2560</v>
      </c>
      <c r="Q253" s="2">
        <f t="shared" si="175"/>
        <v>256</v>
      </c>
      <c r="R253" s="2">
        <f t="shared" si="176"/>
        <v>41.47</v>
      </c>
      <c r="S253" s="2">
        <f t="shared" si="177"/>
        <v>4.1500000000000004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11">
        <v>522022</v>
      </c>
      <c r="Z253" s="12" t="s">
        <v>606</v>
      </c>
      <c r="AA253" s="4">
        <v>1</v>
      </c>
      <c r="AB253" s="4">
        <v>0</v>
      </c>
      <c r="AC253" s="4"/>
      <c r="AD253" s="4">
        <f t="shared" si="189"/>
        <v>11242.542079999997</v>
      </c>
      <c r="AF253" s="1" t="str">
        <f t="shared" si="179"/>
        <v>2</v>
      </c>
      <c r="AG253">
        <v>9</v>
      </c>
      <c r="AH253">
        <f t="shared" si="180"/>
        <v>207.36</v>
      </c>
      <c r="AI253">
        <f t="shared" si="181"/>
        <v>20.736000000000004</v>
      </c>
      <c r="AJ253">
        <f t="shared" si="182"/>
        <v>2560</v>
      </c>
      <c r="AK253">
        <f t="shared" si="183"/>
        <v>256</v>
      </c>
      <c r="AL253">
        <f t="shared" si="184"/>
        <v>41.472000000000001</v>
      </c>
      <c r="AM253">
        <f t="shared" si="178"/>
        <v>4.1472000000000007</v>
      </c>
      <c r="AN253">
        <f t="shared" si="185"/>
        <v>1.8</v>
      </c>
      <c r="AO253">
        <f t="shared" si="186"/>
        <v>2</v>
      </c>
      <c r="AP253">
        <f t="shared" si="187"/>
        <v>3</v>
      </c>
      <c r="AQ253">
        <v>202</v>
      </c>
      <c r="AR253">
        <v>5</v>
      </c>
      <c r="BO253" t="s">
        <v>159</v>
      </c>
      <c r="BP253" t="str">
        <f t="shared" si="168"/>
        <v>1</v>
      </c>
    </row>
    <row r="254" spans="1:68" x14ac:dyDescent="0.15">
      <c r="A254">
        <f t="shared" si="169"/>
        <v>5301092</v>
      </c>
      <c r="B254" t="s">
        <v>409</v>
      </c>
      <c r="C254">
        <v>9</v>
      </c>
      <c r="D254">
        <v>3</v>
      </c>
      <c r="E254">
        <v>2</v>
      </c>
      <c r="F254" t="s">
        <v>220</v>
      </c>
      <c r="G254" t="s">
        <v>220</v>
      </c>
      <c r="H254">
        <v>0</v>
      </c>
      <c r="I254" s="2" t="s">
        <v>100</v>
      </c>
      <c r="J254" s="2">
        <f t="shared" si="188"/>
        <v>3</v>
      </c>
      <c r="K254" s="2">
        <f t="shared" si="170"/>
        <v>1.2</v>
      </c>
      <c r="L254" s="2">
        <f t="shared" si="171"/>
        <v>2</v>
      </c>
      <c r="M254" s="2">
        <v>10</v>
      </c>
      <c r="N254" s="2">
        <f t="shared" si="172"/>
        <v>138.24</v>
      </c>
      <c r="O254" s="2">
        <f t="shared" si="173"/>
        <v>13.82</v>
      </c>
      <c r="P254" s="2">
        <f t="shared" si="174"/>
        <v>2560</v>
      </c>
      <c r="Q254" s="2">
        <f t="shared" si="175"/>
        <v>256</v>
      </c>
      <c r="R254" s="2">
        <f t="shared" si="176"/>
        <v>27.65</v>
      </c>
      <c r="S254" s="2">
        <f t="shared" si="177"/>
        <v>2.76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11">
        <v>523012</v>
      </c>
      <c r="Z254" s="12" t="s">
        <v>607</v>
      </c>
      <c r="AA254" s="4">
        <v>1</v>
      </c>
      <c r="AB254" s="4">
        <v>0</v>
      </c>
      <c r="AC254" s="4"/>
      <c r="AD254" s="4">
        <f t="shared" si="189"/>
        <v>11237.614080000001</v>
      </c>
      <c r="AF254" s="1" t="str">
        <f t="shared" si="179"/>
        <v>1</v>
      </c>
      <c r="AG254">
        <v>9</v>
      </c>
      <c r="AH254">
        <f t="shared" si="180"/>
        <v>138.24</v>
      </c>
      <c r="AI254">
        <f t="shared" si="181"/>
        <v>13.824000000000002</v>
      </c>
      <c r="AJ254">
        <f t="shared" si="182"/>
        <v>2560</v>
      </c>
      <c r="AK254">
        <f t="shared" si="183"/>
        <v>256</v>
      </c>
      <c r="AL254">
        <f t="shared" si="184"/>
        <v>27.648000000000003</v>
      </c>
      <c r="AM254">
        <f t="shared" si="178"/>
        <v>2.7648000000000006</v>
      </c>
      <c r="AN254">
        <f t="shared" si="185"/>
        <v>1.2</v>
      </c>
      <c r="AO254">
        <f t="shared" si="186"/>
        <v>2</v>
      </c>
      <c r="AP254">
        <f t="shared" si="187"/>
        <v>3</v>
      </c>
      <c r="AQ254">
        <v>301</v>
      </c>
      <c r="AR254">
        <v>5</v>
      </c>
      <c r="BO254" t="s">
        <v>188</v>
      </c>
      <c r="BP254" t="str">
        <f t="shared" si="168"/>
        <v>0</v>
      </c>
    </row>
    <row r="255" spans="1:68" x14ac:dyDescent="0.15">
      <c r="A255">
        <f t="shared" si="169"/>
        <v>5401092</v>
      </c>
      <c r="B255" t="s">
        <v>410</v>
      </c>
      <c r="C255">
        <v>9</v>
      </c>
      <c r="D255">
        <v>4</v>
      </c>
      <c r="E255">
        <v>2</v>
      </c>
      <c r="F255" t="s">
        <v>221</v>
      </c>
      <c r="G255" t="s">
        <v>221</v>
      </c>
      <c r="H255" s="2">
        <v>0</v>
      </c>
      <c r="I255" s="28" t="s">
        <v>716</v>
      </c>
      <c r="J255" s="2">
        <f t="shared" si="188"/>
        <v>6</v>
      </c>
      <c r="K255" s="2">
        <f t="shared" si="170"/>
        <v>1.6</v>
      </c>
      <c r="L255" s="2">
        <f t="shared" si="171"/>
        <v>2</v>
      </c>
      <c r="M255" s="2">
        <v>10</v>
      </c>
      <c r="N255" s="2">
        <f t="shared" si="172"/>
        <v>245.76</v>
      </c>
      <c r="O255" s="2">
        <f t="shared" si="173"/>
        <v>24.58</v>
      </c>
      <c r="P255" s="2">
        <f t="shared" si="174"/>
        <v>1920</v>
      </c>
      <c r="Q255" s="2">
        <f t="shared" si="175"/>
        <v>192</v>
      </c>
      <c r="R255" s="2">
        <f t="shared" si="176"/>
        <v>35.11</v>
      </c>
      <c r="S255" s="2">
        <f t="shared" si="177"/>
        <v>3.51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11">
        <v>524012</v>
      </c>
      <c r="Z255" s="12" t="s">
        <v>608</v>
      </c>
      <c r="AA255" s="4">
        <v>1</v>
      </c>
      <c r="AB255" s="4">
        <v>0</v>
      </c>
      <c r="AC255" s="4"/>
      <c r="AD255" s="4">
        <f t="shared" si="189"/>
        <v>11242.234079999998</v>
      </c>
      <c r="AF255" s="1" t="str">
        <f t="shared" si="179"/>
        <v>1</v>
      </c>
      <c r="AG255">
        <v>9</v>
      </c>
      <c r="AH255">
        <f t="shared" si="180"/>
        <v>245.76</v>
      </c>
      <c r="AI255">
        <f t="shared" si="181"/>
        <v>24.576000000000001</v>
      </c>
      <c r="AJ255">
        <f t="shared" si="182"/>
        <v>1920</v>
      </c>
      <c r="AK255">
        <f t="shared" si="183"/>
        <v>192</v>
      </c>
      <c r="AL255">
        <f t="shared" si="184"/>
        <v>35.10857142857143</v>
      </c>
      <c r="AM255">
        <f t="shared" si="178"/>
        <v>3.5108571428571431</v>
      </c>
      <c r="AN255">
        <f t="shared" si="185"/>
        <v>1.6</v>
      </c>
      <c r="AO255">
        <f t="shared" si="186"/>
        <v>2</v>
      </c>
      <c r="AP255">
        <f t="shared" si="187"/>
        <v>6</v>
      </c>
      <c r="AQ255">
        <v>401</v>
      </c>
      <c r="AR255">
        <v>5</v>
      </c>
      <c r="BO255" t="s">
        <v>171</v>
      </c>
      <c r="BP255" t="str">
        <f t="shared" si="168"/>
        <v>1</v>
      </c>
    </row>
    <row r="256" spans="1:68" x14ac:dyDescent="0.15">
      <c r="A256">
        <f t="shared" si="169"/>
        <v>5402092</v>
      </c>
      <c r="B256" t="s">
        <v>102</v>
      </c>
      <c r="C256">
        <v>9</v>
      </c>
      <c r="D256">
        <v>4</v>
      </c>
      <c r="E256">
        <v>2</v>
      </c>
      <c r="F256" t="s">
        <v>222</v>
      </c>
      <c r="G256" t="s">
        <v>222</v>
      </c>
      <c r="H256">
        <v>0</v>
      </c>
      <c r="I256" s="2" t="s">
        <v>106</v>
      </c>
      <c r="J256" s="2">
        <f t="shared" si="188"/>
        <v>6</v>
      </c>
      <c r="K256" s="2">
        <f t="shared" si="170"/>
        <v>1.5</v>
      </c>
      <c r="L256" s="2">
        <f t="shared" si="171"/>
        <v>1.5</v>
      </c>
      <c r="M256" s="2">
        <v>10</v>
      </c>
      <c r="N256" s="2">
        <f t="shared" si="172"/>
        <v>230.4</v>
      </c>
      <c r="O256" s="2">
        <f t="shared" si="173"/>
        <v>23.04</v>
      </c>
      <c r="P256" s="2">
        <f t="shared" si="174"/>
        <v>1920</v>
      </c>
      <c r="Q256" s="2">
        <f t="shared" si="175"/>
        <v>192</v>
      </c>
      <c r="R256" s="2">
        <f t="shared" si="176"/>
        <v>32.909999999999997</v>
      </c>
      <c r="S256" s="2">
        <f t="shared" si="177"/>
        <v>3.29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11">
        <v>524022</v>
      </c>
      <c r="Z256" s="12" t="s">
        <v>609</v>
      </c>
      <c r="AA256" s="4">
        <v>1</v>
      </c>
      <c r="AB256" s="4">
        <v>0</v>
      </c>
      <c r="AC256" s="4"/>
      <c r="AD256" s="4">
        <f t="shared" si="189"/>
        <v>11240.570879999999</v>
      </c>
      <c r="AF256" s="1" t="str">
        <f t="shared" si="179"/>
        <v>2</v>
      </c>
      <c r="AG256">
        <v>9</v>
      </c>
      <c r="AH256">
        <f t="shared" si="180"/>
        <v>230.39999999999998</v>
      </c>
      <c r="AI256">
        <f t="shared" si="181"/>
        <v>23.04</v>
      </c>
      <c r="AJ256">
        <f t="shared" si="182"/>
        <v>1920</v>
      </c>
      <c r="AK256">
        <f t="shared" si="183"/>
        <v>192</v>
      </c>
      <c r="AL256">
        <f t="shared" si="184"/>
        <v>32.914285714285711</v>
      </c>
      <c r="AM256">
        <f t="shared" si="178"/>
        <v>3.2914285714285714</v>
      </c>
      <c r="AN256">
        <f t="shared" si="185"/>
        <v>1.5</v>
      </c>
      <c r="AO256">
        <f t="shared" si="186"/>
        <v>1.5</v>
      </c>
      <c r="AP256">
        <f t="shared" si="187"/>
        <v>6</v>
      </c>
      <c r="AQ256">
        <v>402</v>
      </c>
      <c r="AR256">
        <v>5</v>
      </c>
      <c r="BO256" t="s">
        <v>173</v>
      </c>
      <c r="BP256" t="str">
        <f t="shared" si="168"/>
        <v>0</v>
      </c>
    </row>
    <row r="257" spans="1:68" x14ac:dyDescent="0.15">
      <c r="A257">
        <f t="shared" si="169"/>
        <v>5500092</v>
      </c>
      <c r="B257" t="s">
        <v>411</v>
      </c>
      <c r="C257">
        <v>9</v>
      </c>
      <c r="D257">
        <v>5</v>
      </c>
      <c r="E257">
        <v>2</v>
      </c>
      <c r="F257" t="s">
        <v>223</v>
      </c>
      <c r="G257" t="s">
        <v>223</v>
      </c>
      <c r="H257" s="2">
        <v>0</v>
      </c>
      <c r="I257" s="2" t="s">
        <v>109</v>
      </c>
      <c r="J257" s="2">
        <f t="shared" si="188"/>
        <v>6</v>
      </c>
      <c r="K257" s="2">
        <f t="shared" si="170"/>
        <v>1.5</v>
      </c>
      <c r="L257" s="2">
        <f t="shared" si="171"/>
        <v>1.5</v>
      </c>
      <c r="M257" s="2">
        <v>10</v>
      </c>
      <c r="N257" s="2">
        <f t="shared" si="172"/>
        <v>268.8</v>
      </c>
      <c r="O257" s="2">
        <f t="shared" si="173"/>
        <v>26.88</v>
      </c>
      <c r="P257" s="2">
        <f t="shared" si="174"/>
        <v>1645.71</v>
      </c>
      <c r="Q257" s="2">
        <f t="shared" si="175"/>
        <v>164.57</v>
      </c>
      <c r="R257" s="2">
        <f t="shared" si="176"/>
        <v>33.6</v>
      </c>
      <c r="S257" s="2">
        <f t="shared" si="177"/>
        <v>3.36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11">
        <v>525002</v>
      </c>
      <c r="Z257" s="12" t="s">
        <v>610</v>
      </c>
      <c r="AA257" s="4">
        <v>1</v>
      </c>
      <c r="AB257" s="4">
        <v>0</v>
      </c>
      <c r="AC257" s="4"/>
      <c r="AD257" s="4">
        <f t="shared" si="189"/>
        <v>11240.479514879999</v>
      </c>
      <c r="AF257" s="1" t="str">
        <f t="shared" si="179"/>
        <v>0</v>
      </c>
      <c r="AG257">
        <v>9</v>
      </c>
      <c r="AH257">
        <f t="shared" si="180"/>
        <v>268.7999999999999</v>
      </c>
      <c r="AI257">
        <f t="shared" si="181"/>
        <v>26.879999999999992</v>
      </c>
      <c r="AJ257">
        <f t="shared" si="182"/>
        <v>1645.7142857142858</v>
      </c>
      <c r="AK257">
        <f t="shared" si="183"/>
        <v>164.57142857142858</v>
      </c>
      <c r="AL257">
        <f t="shared" si="184"/>
        <v>33.599999999999987</v>
      </c>
      <c r="AM257">
        <f t="shared" si="178"/>
        <v>3.359999999999999</v>
      </c>
      <c r="AN257">
        <f t="shared" si="185"/>
        <v>1.5</v>
      </c>
      <c r="AO257">
        <f t="shared" si="186"/>
        <v>1.5</v>
      </c>
      <c r="AP257">
        <f t="shared" si="187"/>
        <v>6</v>
      </c>
      <c r="AQ257">
        <v>500</v>
      </c>
      <c r="AR257">
        <v>5</v>
      </c>
      <c r="BO257" t="s">
        <v>182</v>
      </c>
      <c r="BP257" t="str">
        <f t="shared" si="168"/>
        <v>2</v>
      </c>
    </row>
    <row r="258" spans="1:68" x14ac:dyDescent="0.15">
      <c r="A258">
        <f t="shared" si="169"/>
        <v>5502092</v>
      </c>
      <c r="B258" t="s">
        <v>115</v>
      </c>
      <c r="C258">
        <v>9</v>
      </c>
      <c r="D258">
        <v>5</v>
      </c>
      <c r="E258">
        <v>2</v>
      </c>
      <c r="F258" t="s">
        <v>224</v>
      </c>
      <c r="G258" t="s">
        <v>224</v>
      </c>
      <c r="H258" s="2">
        <v>0</v>
      </c>
      <c r="I258" s="2" t="s">
        <v>113</v>
      </c>
      <c r="J258" s="2">
        <f t="shared" si="188"/>
        <v>6</v>
      </c>
      <c r="K258" s="2">
        <f t="shared" si="170"/>
        <v>1.4000000000000001</v>
      </c>
      <c r="L258" s="2">
        <f t="shared" si="171"/>
        <v>2</v>
      </c>
      <c r="M258" s="2">
        <v>10</v>
      </c>
      <c r="N258" s="2">
        <f t="shared" si="172"/>
        <v>250.88</v>
      </c>
      <c r="O258" s="2">
        <f t="shared" si="173"/>
        <v>25.09</v>
      </c>
      <c r="P258" s="2">
        <f t="shared" si="174"/>
        <v>1645.71</v>
      </c>
      <c r="Q258" s="2">
        <f t="shared" si="175"/>
        <v>164.57</v>
      </c>
      <c r="R258" s="2">
        <f t="shared" si="176"/>
        <v>31.36</v>
      </c>
      <c r="S258" s="2">
        <f t="shared" si="177"/>
        <v>3.14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11">
        <v>525022</v>
      </c>
      <c r="Z258" s="12" t="s">
        <v>611</v>
      </c>
      <c r="AA258" s="4">
        <v>1</v>
      </c>
      <c r="AB258" s="4">
        <v>0</v>
      </c>
      <c r="AC258" s="4"/>
      <c r="AD258" s="4">
        <f t="shared" si="189"/>
        <v>11241.294136829996</v>
      </c>
      <c r="AF258" s="1" t="str">
        <f t="shared" si="179"/>
        <v>2</v>
      </c>
      <c r="AG258">
        <v>9</v>
      </c>
      <c r="AH258">
        <f t="shared" si="180"/>
        <v>250.87999999999994</v>
      </c>
      <c r="AI258">
        <f t="shared" si="181"/>
        <v>25.087999999999994</v>
      </c>
      <c r="AJ258">
        <f t="shared" si="182"/>
        <v>1645.7142857142858</v>
      </c>
      <c r="AK258">
        <f t="shared" si="183"/>
        <v>164.57142857142858</v>
      </c>
      <c r="AL258">
        <f t="shared" si="184"/>
        <v>31.359999999999992</v>
      </c>
      <c r="AM258">
        <f t="shared" si="178"/>
        <v>3.1359999999999992</v>
      </c>
      <c r="AN258">
        <f t="shared" si="185"/>
        <v>1.4</v>
      </c>
      <c r="AO258">
        <f t="shared" si="186"/>
        <v>2</v>
      </c>
      <c r="AP258">
        <f t="shared" si="187"/>
        <v>6</v>
      </c>
      <c r="AQ258">
        <v>502</v>
      </c>
      <c r="AR258">
        <v>5</v>
      </c>
      <c r="BO258" t="s">
        <v>184</v>
      </c>
      <c r="BP258" t="str">
        <f t="shared" si="168"/>
        <v>0</v>
      </c>
    </row>
    <row r="259" spans="1:68" x14ac:dyDescent="0.15">
      <c r="A259">
        <f t="shared" si="169"/>
        <v>5601092</v>
      </c>
      <c r="B259" t="s">
        <v>412</v>
      </c>
      <c r="C259">
        <v>9</v>
      </c>
      <c r="D259">
        <v>6</v>
      </c>
      <c r="E259">
        <v>2</v>
      </c>
      <c r="F259" t="s">
        <v>225</v>
      </c>
      <c r="G259" t="s">
        <v>225</v>
      </c>
      <c r="H259" s="2">
        <v>0</v>
      </c>
      <c r="I259" s="2" t="s">
        <v>116</v>
      </c>
      <c r="J259" s="2">
        <f t="shared" si="188"/>
        <v>6</v>
      </c>
      <c r="K259" s="2">
        <f t="shared" si="170"/>
        <v>1.5</v>
      </c>
      <c r="L259" s="2">
        <f t="shared" si="171"/>
        <v>2</v>
      </c>
      <c r="M259" s="2">
        <v>10</v>
      </c>
      <c r="N259" s="2">
        <f t="shared" si="172"/>
        <v>297.60000000000002</v>
      </c>
      <c r="O259" s="2">
        <f t="shared" si="173"/>
        <v>29.76</v>
      </c>
      <c r="P259" s="2">
        <f t="shared" si="174"/>
        <v>1486.45</v>
      </c>
      <c r="Q259" s="2">
        <f t="shared" si="175"/>
        <v>148.65</v>
      </c>
      <c r="R259" s="2">
        <f t="shared" si="176"/>
        <v>29.76</v>
      </c>
      <c r="S259" s="2">
        <f t="shared" si="177"/>
        <v>2.98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11">
        <v>526012</v>
      </c>
      <c r="Z259" s="12" t="s">
        <v>612</v>
      </c>
      <c r="AA259" s="4">
        <v>1</v>
      </c>
      <c r="AB259" s="4">
        <v>0</v>
      </c>
      <c r="AC259" s="4"/>
      <c r="AD259" s="4">
        <f t="shared" si="189"/>
        <v>11240.902411199999</v>
      </c>
      <c r="AF259" s="1" t="str">
        <f t="shared" si="179"/>
        <v>1</v>
      </c>
      <c r="AG259">
        <v>9</v>
      </c>
      <c r="AH259">
        <f t="shared" si="180"/>
        <v>297.59999999999997</v>
      </c>
      <c r="AI259">
        <f t="shared" si="181"/>
        <v>29.759999999999998</v>
      </c>
      <c r="AJ259">
        <f t="shared" si="182"/>
        <v>1486.4516129032259</v>
      </c>
      <c r="AK259">
        <f t="shared" si="183"/>
        <v>148.64516129032259</v>
      </c>
      <c r="AL259">
        <f t="shared" si="184"/>
        <v>29.759999999999998</v>
      </c>
      <c r="AM259">
        <f t="shared" si="178"/>
        <v>2.976</v>
      </c>
      <c r="AN259">
        <f t="shared" si="185"/>
        <v>1.5</v>
      </c>
      <c r="AO259">
        <f t="shared" si="186"/>
        <v>2</v>
      </c>
      <c r="AP259">
        <f t="shared" si="187"/>
        <v>6</v>
      </c>
      <c r="AQ259">
        <v>601</v>
      </c>
      <c r="AR259">
        <v>5</v>
      </c>
      <c r="BO259" t="s">
        <v>141</v>
      </c>
      <c r="BP259" t="str">
        <f t="shared" si="168"/>
        <v>1</v>
      </c>
    </row>
    <row r="260" spans="1:68" x14ac:dyDescent="0.15">
      <c r="A260">
        <f t="shared" si="169"/>
        <v>5200093</v>
      </c>
      <c r="B260" t="s">
        <v>160</v>
      </c>
      <c r="C260">
        <v>9</v>
      </c>
      <c r="D260">
        <v>2</v>
      </c>
      <c r="E260">
        <v>3</v>
      </c>
      <c r="F260" t="s">
        <v>226</v>
      </c>
      <c r="G260" t="s">
        <v>226</v>
      </c>
      <c r="H260">
        <v>0</v>
      </c>
      <c r="I260" s="2" t="s">
        <v>78</v>
      </c>
      <c r="J260" s="2">
        <f t="shared" si="188"/>
        <v>3</v>
      </c>
      <c r="K260" s="2">
        <f t="shared" si="170"/>
        <v>1.5</v>
      </c>
      <c r="L260" s="2">
        <f t="shared" si="171"/>
        <v>1.2</v>
      </c>
      <c r="M260" s="2">
        <v>10</v>
      </c>
      <c r="N260" s="2">
        <f t="shared" si="172"/>
        <v>192</v>
      </c>
      <c r="O260" s="2">
        <f t="shared" si="173"/>
        <v>19.2</v>
      </c>
      <c r="P260" s="2">
        <f t="shared" si="174"/>
        <v>2304</v>
      </c>
      <c r="Q260" s="2">
        <f t="shared" si="175"/>
        <v>230.4</v>
      </c>
      <c r="R260" s="2">
        <f t="shared" si="176"/>
        <v>48</v>
      </c>
      <c r="S260" s="2">
        <f t="shared" si="177"/>
        <v>4.8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11">
        <v>532002</v>
      </c>
      <c r="Z260" s="12" t="s">
        <v>613</v>
      </c>
      <c r="AA260" s="4">
        <v>1</v>
      </c>
      <c r="AB260" s="4">
        <v>0</v>
      </c>
      <c r="AC260" s="4"/>
      <c r="AD260" s="4">
        <f t="shared" si="189"/>
        <v>11240.570879999999</v>
      </c>
      <c r="AF260" s="1" t="str">
        <f t="shared" si="179"/>
        <v>0</v>
      </c>
      <c r="AG260">
        <v>9</v>
      </c>
      <c r="AH260">
        <f t="shared" si="180"/>
        <v>192</v>
      </c>
      <c r="AI260">
        <f t="shared" si="181"/>
        <v>19.200000000000003</v>
      </c>
      <c r="AJ260">
        <f t="shared" si="182"/>
        <v>2304</v>
      </c>
      <c r="AK260">
        <f t="shared" si="183"/>
        <v>230.4</v>
      </c>
      <c r="AL260">
        <f t="shared" si="184"/>
        <v>48</v>
      </c>
      <c r="AM260">
        <f t="shared" si="178"/>
        <v>4.8000000000000007</v>
      </c>
      <c r="AN260">
        <f t="shared" si="185"/>
        <v>1.5</v>
      </c>
      <c r="AO260">
        <f t="shared" si="186"/>
        <v>1.2</v>
      </c>
      <c r="AP260">
        <f t="shared" si="187"/>
        <v>3</v>
      </c>
      <c r="AQ260">
        <v>200</v>
      </c>
      <c r="AR260">
        <v>5</v>
      </c>
      <c r="BO260" t="s">
        <v>186</v>
      </c>
      <c r="BP260" t="str">
        <f t="shared" si="168"/>
        <v>0</v>
      </c>
    </row>
    <row r="261" spans="1:68" x14ac:dyDescent="0.15">
      <c r="A261">
        <f t="shared" si="169"/>
        <v>5201093</v>
      </c>
      <c r="B261" t="s">
        <v>407</v>
      </c>
      <c r="C261">
        <v>9</v>
      </c>
      <c r="D261">
        <v>2</v>
      </c>
      <c r="E261">
        <v>3</v>
      </c>
      <c r="F261" t="s">
        <v>227</v>
      </c>
      <c r="G261" t="s">
        <v>227</v>
      </c>
      <c r="H261" s="2">
        <v>0</v>
      </c>
      <c r="I261" s="28" t="s">
        <v>746</v>
      </c>
      <c r="J261" s="2">
        <f t="shared" si="188"/>
        <v>3</v>
      </c>
      <c r="K261" s="2">
        <f t="shared" si="170"/>
        <v>1.8</v>
      </c>
      <c r="L261" s="2">
        <f t="shared" si="171"/>
        <v>1.8</v>
      </c>
      <c r="M261" s="2">
        <v>10</v>
      </c>
      <c r="N261" s="2">
        <f t="shared" si="172"/>
        <v>184.32</v>
      </c>
      <c r="O261" s="2">
        <f t="shared" si="173"/>
        <v>18.43</v>
      </c>
      <c r="P261" s="2">
        <f t="shared" si="174"/>
        <v>2880</v>
      </c>
      <c r="Q261" s="2">
        <f t="shared" si="175"/>
        <v>288</v>
      </c>
      <c r="R261" s="2">
        <f t="shared" si="176"/>
        <v>61.44</v>
      </c>
      <c r="S261" s="2">
        <f t="shared" si="177"/>
        <v>6.14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11">
        <v>532012</v>
      </c>
      <c r="Z261" s="12" t="s">
        <v>614</v>
      </c>
      <c r="AA261" s="4">
        <v>1</v>
      </c>
      <c r="AB261" s="4">
        <v>0</v>
      </c>
      <c r="AC261" s="4"/>
      <c r="AD261" s="4">
        <f t="shared" si="189"/>
        <v>11239.462079999998</v>
      </c>
      <c r="AF261" s="1" t="str">
        <f t="shared" si="179"/>
        <v>1</v>
      </c>
      <c r="AG261">
        <v>9</v>
      </c>
      <c r="AH261">
        <f t="shared" si="180"/>
        <v>184.32000000000002</v>
      </c>
      <c r="AI261">
        <f t="shared" si="181"/>
        <v>18.432000000000002</v>
      </c>
      <c r="AJ261">
        <f t="shared" si="182"/>
        <v>2880</v>
      </c>
      <c r="AK261">
        <f t="shared" si="183"/>
        <v>288</v>
      </c>
      <c r="AL261">
        <f t="shared" si="184"/>
        <v>61.440000000000005</v>
      </c>
      <c r="AM261">
        <f t="shared" si="178"/>
        <v>6.144000000000001</v>
      </c>
      <c r="AN261">
        <f t="shared" si="185"/>
        <v>1.8</v>
      </c>
      <c r="AO261">
        <f t="shared" si="186"/>
        <v>1.8</v>
      </c>
      <c r="AP261">
        <f t="shared" si="187"/>
        <v>3</v>
      </c>
      <c r="AQ261">
        <v>201</v>
      </c>
      <c r="AR261">
        <v>5</v>
      </c>
      <c r="BO261" t="s">
        <v>176</v>
      </c>
      <c r="BP261" t="str">
        <f t="shared" si="168"/>
        <v>2</v>
      </c>
    </row>
    <row r="262" spans="1:68" x14ac:dyDescent="0.15">
      <c r="A262">
        <f t="shared" si="169"/>
        <v>5202093</v>
      </c>
      <c r="B262" t="s">
        <v>408</v>
      </c>
      <c r="C262">
        <v>9</v>
      </c>
      <c r="D262">
        <v>2</v>
      </c>
      <c r="E262">
        <v>3</v>
      </c>
      <c r="F262" t="s">
        <v>228</v>
      </c>
      <c r="G262" t="s">
        <v>228</v>
      </c>
      <c r="H262">
        <v>0</v>
      </c>
      <c r="I262" s="28" t="s">
        <v>717</v>
      </c>
      <c r="J262" s="2">
        <f t="shared" si="188"/>
        <v>3</v>
      </c>
      <c r="K262" s="2">
        <f t="shared" si="170"/>
        <v>1.8</v>
      </c>
      <c r="L262" s="2">
        <f t="shared" si="171"/>
        <v>2</v>
      </c>
      <c r="M262" s="2">
        <v>10</v>
      </c>
      <c r="N262" s="2">
        <f t="shared" si="172"/>
        <v>207.36</v>
      </c>
      <c r="O262" s="2">
        <f t="shared" si="173"/>
        <v>20.74</v>
      </c>
      <c r="P262" s="2">
        <f t="shared" si="174"/>
        <v>2560</v>
      </c>
      <c r="Q262" s="2">
        <f t="shared" si="175"/>
        <v>256</v>
      </c>
      <c r="R262" s="2">
        <f t="shared" si="176"/>
        <v>41.47</v>
      </c>
      <c r="S262" s="2">
        <f t="shared" si="177"/>
        <v>4.1500000000000004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11">
        <v>532022</v>
      </c>
      <c r="Z262" s="12" t="s">
        <v>615</v>
      </c>
      <c r="AA262" s="4">
        <v>1</v>
      </c>
      <c r="AB262" s="4">
        <v>0</v>
      </c>
      <c r="AC262" s="4"/>
      <c r="AD262" s="4">
        <f t="shared" si="189"/>
        <v>11242.542079999997</v>
      </c>
      <c r="AF262" s="1" t="str">
        <f t="shared" si="179"/>
        <v>2</v>
      </c>
      <c r="AG262">
        <v>9</v>
      </c>
      <c r="AH262">
        <f t="shared" si="180"/>
        <v>207.36</v>
      </c>
      <c r="AI262">
        <f t="shared" si="181"/>
        <v>20.736000000000004</v>
      </c>
      <c r="AJ262">
        <f t="shared" si="182"/>
        <v>2560</v>
      </c>
      <c r="AK262">
        <f t="shared" si="183"/>
        <v>256</v>
      </c>
      <c r="AL262">
        <f t="shared" si="184"/>
        <v>41.472000000000001</v>
      </c>
      <c r="AM262">
        <f t="shared" si="178"/>
        <v>4.1472000000000007</v>
      </c>
      <c r="AN262">
        <f t="shared" si="185"/>
        <v>1.8</v>
      </c>
      <c r="AO262">
        <f t="shared" si="186"/>
        <v>2</v>
      </c>
      <c r="AP262">
        <f t="shared" si="187"/>
        <v>3</v>
      </c>
      <c r="AQ262">
        <v>202</v>
      </c>
      <c r="AR262">
        <v>5</v>
      </c>
      <c r="BO262" t="s">
        <v>169</v>
      </c>
      <c r="BP262" t="str">
        <f t="shared" si="168"/>
        <v>0</v>
      </c>
    </row>
    <row r="263" spans="1:68" x14ac:dyDescent="0.15">
      <c r="A263">
        <f t="shared" si="169"/>
        <v>5301093</v>
      </c>
      <c r="B263" t="s">
        <v>409</v>
      </c>
      <c r="C263">
        <v>9</v>
      </c>
      <c r="D263">
        <v>3</v>
      </c>
      <c r="E263">
        <v>3</v>
      </c>
      <c r="F263" t="s">
        <v>229</v>
      </c>
      <c r="G263" t="s">
        <v>229</v>
      </c>
      <c r="H263" s="2">
        <v>0</v>
      </c>
      <c r="I263" s="28" t="s">
        <v>717</v>
      </c>
      <c r="J263" s="2">
        <f t="shared" si="188"/>
        <v>3</v>
      </c>
      <c r="K263" s="2">
        <f t="shared" si="170"/>
        <v>1.2</v>
      </c>
      <c r="L263" s="2">
        <f t="shared" si="171"/>
        <v>2</v>
      </c>
      <c r="M263" s="2">
        <v>10</v>
      </c>
      <c r="N263" s="2">
        <f t="shared" si="172"/>
        <v>138.24</v>
      </c>
      <c r="O263" s="2">
        <f t="shared" si="173"/>
        <v>13.82</v>
      </c>
      <c r="P263" s="2">
        <f t="shared" si="174"/>
        <v>2560</v>
      </c>
      <c r="Q263" s="2">
        <f t="shared" si="175"/>
        <v>256</v>
      </c>
      <c r="R263" s="2">
        <f t="shared" si="176"/>
        <v>27.65</v>
      </c>
      <c r="S263" s="2">
        <f t="shared" si="177"/>
        <v>2.76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11">
        <v>533012</v>
      </c>
      <c r="Z263" s="12" t="s">
        <v>616</v>
      </c>
      <c r="AA263" s="4">
        <v>1</v>
      </c>
      <c r="AB263" s="4">
        <v>0</v>
      </c>
      <c r="AC263" s="4"/>
      <c r="AD263" s="4">
        <f t="shared" si="189"/>
        <v>11237.614080000001</v>
      </c>
      <c r="AF263" s="1" t="str">
        <f t="shared" si="179"/>
        <v>1</v>
      </c>
      <c r="AG263">
        <v>9</v>
      </c>
      <c r="AH263">
        <f t="shared" si="180"/>
        <v>138.24</v>
      </c>
      <c r="AI263">
        <f t="shared" si="181"/>
        <v>13.824000000000002</v>
      </c>
      <c r="AJ263">
        <f t="shared" si="182"/>
        <v>2560</v>
      </c>
      <c r="AK263">
        <f t="shared" si="183"/>
        <v>256</v>
      </c>
      <c r="AL263">
        <f t="shared" si="184"/>
        <v>27.648000000000003</v>
      </c>
      <c r="AM263">
        <f t="shared" si="178"/>
        <v>2.7648000000000006</v>
      </c>
      <c r="AN263">
        <f t="shared" si="185"/>
        <v>1.2</v>
      </c>
      <c r="AO263">
        <f t="shared" si="186"/>
        <v>2</v>
      </c>
      <c r="AP263">
        <f t="shared" si="187"/>
        <v>3</v>
      </c>
      <c r="AQ263">
        <v>301</v>
      </c>
      <c r="AR263">
        <v>5</v>
      </c>
      <c r="BO263" t="s">
        <v>178</v>
      </c>
      <c r="BP263" t="str">
        <f t="shared" si="168"/>
        <v>2</v>
      </c>
    </row>
    <row r="264" spans="1:68" x14ac:dyDescent="0.15">
      <c r="A264">
        <f t="shared" si="169"/>
        <v>5401093</v>
      </c>
      <c r="B264" t="s">
        <v>410</v>
      </c>
      <c r="C264">
        <v>9</v>
      </c>
      <c r="D264">
        <v>4</v>
      </c>
      <c r="E264">
        <v>3</v>
      </c>
      <c r="F264" t="s">
        <v>230</v>
      </c>
      <c r="G264" t="s">
        <v>230</v>
      </c>
      <c r="H264">
        <v>0</v>
      </c>
      <c r="I264" s="2" t="s">
        <v>103</v>
      </c>
      <c r="J264" s="2">
        <f t="shared" si="188"/>
        <v>6</v>
      </c>
      <c r="K264" s="2">
        <f t="shared" si="170"/>
        <v>1.6</v>
      </c>
      <c r="L264" s="2">
        <f t="shared" si="171"/>
        <v>2</v>
      </c>
      <c r="M264" s="2">
        <v>10</v>
      </c>
      <c r="N264" s="2">
        <f t="shared" si="172"/>
        <v>245.76</v>
      </c>
      <c r="O264" s="2">
        <f t="shared" si="173"/>
        <v>24.58</v>
      </c>
      <c r="P264" s="2">
        <f t="shared" si="174"/>
        <v>1920</v>
      </c>
      <c r="Q264" s="2">
        <f t="shared" si="175"/>
        <v>192</v>
      </c>
      <c r="R264" s="2">
        <f t="shared" si="176"/>
        <v>35.11</v>
      </c>
      <c r="S264" s="2">
        <f t="shared" si="177"/>
        <v>3.51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11">
        <v>534012</v>
      </c>
      <c r="Z264" s="12" t="s">
        <v>617</v>
      </c>
      <c r="AA264" s="4">
        <v>1</v>
      </c>
      <c r="AB264" s="4">
        <v>0</v>
      </c>
      <c r="AC264" s="4"/>
      <c r="AD264" s="4">
        <f t="shared" si="189"/>
        <v>11242.234079999998</v>
      </c>
      <c r="AF264" s="1" t="str">
        <f t="shared" si="179"/>
        <v>1</v>
      </c>
      <c r="AG264">
        <v>9</v>
      </c>
      <c r="AH264">
        <f t="shared" si="180"/>
        <v>245.76</v>
      </c>
      <c r="AI264">
        <f t="shared" si="181"/>
        <v>24.576000000000001</v>
      </c>
      <c r="AJ264">
        <f t="shared" si="182"/>
        <v>1920</v>
      </c>
      <c r="AK264">
        <f t="shared" si="183"/>
        <v>192</v>
      </c>
      <c r="AL264">
        <f t="shared" si="184"/>
        <v>35.10857142857143</v>
      </c>
      <c r="AM264">
        <f t="shared" si="178"/>
        <v>3.5108571428571431</v>
      </c>
      <c r="AN264">
        <f t="shared" si="185"/>
        <v>1.6</v>
      </c>
      <c r="AO264">
        <f t="shared" si="186"/>
        <v>2</v>
      </c>
      <c r="AP264">
        <f t="shared" si="187"/>
        <v>6</v>
      </c>
      <c r="AQ264">
        <v>401</v>
      </c>
      <c r="AR264">
        <v>5</v>
      </c>
      <c r="BO264" t="s">
        <v>188</v>
      </c>
      <c r="BP264" t="str">
        <f t="shared" si="168"/>
        <v>0</v>
      </c>
    </row>
    <row r="265" spans="1:68" x14ac:dyDescent="0.15">
      <c r="A265">
        <f t="shared" si="169"/>
        <v>5402093</v>
      </c>
      <c r="B265" t="s">
        <v>102</v>
      </c>
      <c r="C265">
        <v>9</v>
      </c>
      <c r="D265">
        <v>4</v>
      </c>
      <c r="E265">
        <v>3</v>
      </c>
      <c r="F265" t="s">
        <v>231</v>
      </c>
      <c r="G265" t="s">
        <v>231</v>
      </c>
      <c r="H265" s="2">
        <v>0</v>
      </c>
      <c r="I265" s="28" t="s">
        <v>718</v>
      </c>
      <c r="J265" s="2">
        <f t="shared" si="188"/>
        <v>6</v>
      </c>
      <c r="K265" s="2">
        <f t="shared" si="170"/>
        <v>1.5</v>
      </c>
      <c r="L265" s="2">
        <f t="shared" si="171"/>
        <v>1.5</v>
      </c>
      <c r="M265" s="2">
        <v>10</v>
      </c>
      <c r="N265" s="2">
        <f t="shared" si="172"/>
        <v>230.4</v>
      </c>
      <c r="O265" s="2">
        <f t="shared" si="173"/>
        <v>23.04</v>
      </c>
      <c r="P265" s="2">
        <f t="shared" si="174"/>
        <v>1920</v>
      </c>
      <c r="Q265" s="2">
        <f t="shared" si="175"/>
        <v>192</v>
      </c>
      <c r="R265" s="2">
        <f t="shared" si="176"/>
        <v>32.909999999999997</v>
      </c>
      <c r="S265" s="2">
        <f t="shared" si="177"/>
        <v>3.29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11">
        <v>534022</v>
      </c>
      <c r="Z265" s="12" t="s">
        <v>618</v>
      </c>
      <c r="AA265" s="4">
        <v>1</v>
      </c>
      <c r="AB265" s="4">
        <v>0</v>
      </c>
      <c r="AC265" s="4"/>
      <c r="AD265" s="4">
        <f t="shared" si="189"/>
        <v>11240.570879999999</v>
      </c>
      <c r="AF265" s="1" t="str">
        <f t="shared" si="179"/>
        <v>2</v>
      </c>
      <c r="AG265">
        <v>9</v>
      </c>
      <c r="AH265">
        <f t="shared" si="180"/>
        <v>230.39999999999998</v>
      </c>
      <c r="AI265">
        <f t="shared" si="181"/>
        <v>23.04</v>
      </c>
      <c r="AJ265">
        <f t="shared" si="182"/>
        <v>1920</v>
      </c>
      <c r="AK265">
        <f t="shared" si="183"/>
        <v>192</v>
      </c>
      <c r="AL265">
        <f t="shared" si="184"/>
        <v>32.914285714285711</v>
      </c>
      <c r="AM265">
        <f t="shared" si="178"/>
        <v>3.2914285714285714</v>
      </c>
      <c r="AN265">
        <f t="shared" si="185"/>
        <v>1.5</v>
      </c>
      <c r="AO265">
        <f t="shared" si="186"/>
        <v>1.5</v>
      </c>
      <c r="AP265">
        <f t="shared" si="187"/>
        <v>6</v>
      </c>
      <c r="AQ265">
        <v>402</v>
      </c>
      <c r="AR265">
        <v>5</v>
      </c>
      <c r="BO265" t="s">
        <v>180</v>
      </c>
      <c r="BP265" t="str">
        <f t="shared" ref="BP265:BP302" si="190">RIGHT(BO265,1)</f>
        <v>2</v>
      </c>
    </row>
    <row r="266" spans="1:68" x14ac:dyDescent="0.15">
      <c r="A266">
        <f t="shared" si="169"/>
        <v>5500093</v>
      </c>
      <c r="B266" t="s">
        <v>411</v>
      </c>
      <c r="C266">
        <v>9</v>
      </c>
      <c r="D266">
        <v>5</v>
      </c>
      <c r="E266">
        <v>3</v>
      </c>
      <c r="F266" t="s">
        <v>232</v>
      </c>
      <c r="G266" t="s">
        <v>232</v>
      </c>
      <c r="H266" s="2">
        <v>0</v>
      </c>
      <c r="I266" s="2" t="s">
        <v>109</v>
      </c>
      <c r="J266" s="2">
        <f t="shared" si="188"/>
        <v>6</v>
      </c>
      <c r="K266" s="2">
        <f t="shared" si="170"/>
        <v>1.5</v>
      </c>
      <c r="L266" s="2">
        <f t="shared" si="171"/>
        <v>1.5</v>
      </c>
      <c r="M266" s="2">
        <v>10</v>
      </c>
      <c r="N266" s="2">
        <f t="shared" si="172"/>
        <v>268.8</v>
      </c>
      <c r="O266" s="2">
        <f t="shared" si="173"/>
        <v>26.88</v>
      </c>
      <c r="P266" s="2">
        <f t="shared" si="174"/>
        <v>1645.71</v>
      </c>
      <c r="Q266" s="2">
        <f t="shared" si="175"/>
        <v>164.57</v>
      </c>
      <c r="R266" s="2">
        <f t="shared" si="176"/>
        <v>33.6</v>
      </c>
      <c r="S266" s="2">
        <f t="shared" si="177"/>
        <v>3.36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11">
        <v>535002</v>
      </c>
      <c r="Z266" s="12" t="s">
        <v>619</v>
      </c>
      <c r="AA266" s="4">
        <v>1</v>
      </c>
      <c r="AB266" s="4">
        <v>0</v>
      </c>
      <c r="AC266" s="4"/>
      <c r="AD266" s="4">
        <f t="shared" si="189"/>
        <v>11240.479514879999</v>
      </c>
      <c r="AF266" s="1" t="str">
        <f t="shared" si="179"/>
        <v>0</v>
      </c>
      <c r="AG266">
        <v>9</v>
      </c>
      <c r="AH266">
        <f t="shared" si="180"/>
        <v>268.7999999999999</v>
      </c>
      <c r="AI266">
        <f t="shared" si="181"/>
        <v>26.879999999999992</v>
      </c>
      <c r="AJ266">
        <f t="shared" si="182"/>
        <v>1645.7142857142858</v>
      </c>
      <c r="AK266">
        <f t="shared" si="183"/>
        <v>164.57142857142858</v>
      </c>
      <c r="AL266">
        <f t="shared" si="184"/>
        <v>33.599999999999987</v>
      </c>
      <c r="AM266">
        <f t="shared" si="178"/>
        <v>3.359999999999999</v>
      </c>
      <c r="AN266">
        <f t="shared" si="185"/>
        <v>1.5</v>
      </c>
      <c r="AO266">
        <f t="shared" si="186"/>
        <v>1.5</v>
      </c>
      <c r="AP266">
        <f t="shared" si="187"/>
        <v>6</v>
      </c>
      <c r="AQ266">
        <v>500</v>
      </c>
      <c r="AR266">
        <v>5</v>
      </c>
      <c r="BO266" t="s">
        <v>173</v>
      </c>
      <c r="BP266" t="str">
        <f t="shared" si="190"/>
        <v>0</v>
      </c>
    </row>
    <row r="267" spans="1:68" x14ac:dyDescent="0.15">
      <c r="A267">
        <f t="shared" si="169"/>
        <v>5502093</v>
      </c>
      <c r="B267" t="s">
        <v>115</v>
      </c>
      <c r="C267">
        <v>9</v>
      </c>
      <c r="D267">
        <v>5</v>
      </c>
      <c r="E267">
        <v>3</v>
      </c>
      <c r="F267" t="s">
        <v>233</v>
      </c>
      <c r="G267" t="s">
        <v>233</v>
      </c>
      <c r="H267" s="2">
        <v>0</v>
      </c>
      <c r="I267" s="28" t="s">
        <v>719</v>
      </c>
      <c r="J267" s="2">
        <f t="shared" si="188"/>
        <v>6</v>
      </c>
      <c r="K267" s="2">
        <f t="shared" si="170"/>
        <v>1.4000000000000001</v>
      </c>
      <c r="L267" s="2">
        <f t="shared" si="171"/>
        <v>2</v>
      </c>
      <c r="M267" s="2">
        <v>10</v>
      </c>
      <c r="N267" s="2">
        <f t="shared" si="172"/>
        <v>250.88</v>
      </c>
      <c r="O267" s="2">
        <f t="shared" si="173"/>
        <v>25.09</v>
      </c>
      <c r="P267" s="2">
        <f t="shared" si="174"/>
        <v>1645.71</v>
      </c>
      <c r="Q267" s="2">
        <f t="shared" si="175"/>
        <v>164.57</v>
      </c>
      <c r="R267" s="2">
        <f t="shared" si="176"/>
        <v>31.36</v>
      </c>
      <c r="S267" s="2">
        <f t="shared" si="177"/>
        <v>3.14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11">
        <v>535022</v>
      </c>
      <c r="Z267" s="12" t="s">
        <v>620</v>
      </c>
      <c r="AA267" s="4">
        <v>1</v>
      </c>
      <c r="AB267" s="4">
        <v>0</v>
      </c>
      <c r="AC267" s="4"/>
      <c r="AD267" s="4">
        <f t="shared" si="189"/>
        <v>11241.294136829996</v>
      </c>
      <c r="AF267" s="1" t="str">
        <f t="shared" si="179"/>
        <v>2</v>
      </c>
      <c r="AG267">
        <v>9</v>
      </c>
      <c r="AH267">
        <f t="shared" si="180"/>
        <v>250.87999999999994</v>
      </c>
      <c r="AI267">
        <f t="shared" si="181"/>
        <v>25.087999999999994</v>
      </c>
      <c r="AJ267">
        <f t="shared" si="182"/>
        <v>1645.7142857142858</v>
      </c>
      <c r="AK267">
        <f t="shared" si="183"/>
        <v>164.57142857142858</v>
      </c>
      <c r="AL267">
        <f t="shared" si="184"/>
        <v>31.359999999999992</v>
      </c>
      <c r="AM267">
        <f t="shared" si="178"/>
        <v>3.1359999999999992</v>
      </c>
      <c r="AN267">
        <f t="shared" si="185"/>
        <v>1.4</v>
      </c>
      <c r="AO267">
        <f t="shared" si="186"/>
        <v>2</v>
      </c>
      <c r="AP267">
        <f t="shared" si="187"/>
        <v>6</v>
      </c>
      <c r="AQ267">
        <v>502</v>
      </c>
      <c r="AR267">
        <v>5</v>
      </c>
      <c r="BO267" t="s">
        <v>182</v>
      </c>
      <c r="BP267" t="str">
        <f t="shared" si="190"/>
        <v>2</v>
      </c>
    </row>
    <row r="268" spans="1:68" x14ac:dyDescent="0.15">
      <c r="A268">
        <f t="shared" si="169"/>
        <v>5601093</v>
      </c>
      <c r="B268" t="s">
        <v>412</v>
      </c>
      <c r="C268">
        <v>9</v>
      </c>
      <c r="D268">
        <v>6</v>
      </c>
      <c r="E268">
        <v>3</v>
      </c>
      <c r="F268" t="s">
        <v>234</v>
      </c>
      <c r="G268" t="s">
        <v>234</v>
      </c>
      <c r="H268">
        <v>0</v>
      </c>
      <c r="I268" s="2" t="s">
        <v>116</v>
      </c>
      <c r="J268" s="2">
        <f t="shared" si="188"/>
        <v>6</v>
      </c>
      <c r="K268" s="2">
        <f t="shared" si="170"/>
        <v>1.5</v>
      </c>
      <c r="L268" s="2">
        <f t="shared" si="171"/>
        <v>2</v>
      </c>
      <c r="M268" s="2">
        <v>10</v>
      </c>
      <c r="N268" s="2">
        <f t="shared" si="172"/>
        <v>297.60000000000002</v>
      </c>
      <c r="O268" s="2">
        <f t="shared" si="173"/>
        <v>29.76</v>
      </c>
      <c r="P268" s="2">
        <f t="shared" si="174"/>
        <v>1486.45</v>
      </c>
      <c r="Q268" s="2">
        <f t="shared" si="175"/>
        <v>148.65</v>
      </c>
      <c r="R268" s="2">
        <f t="shared" si="176"/>
        <v>29.76</v>
      </c>
      <c r="S268" s="2">
        <f t="shared" si="177"/>
        <v>2.98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11">
        <v>536012</v>
      </c>
      <c r="Z268" s="12" t="s">
        <v>621</v>
      </c>
      <c r="AA268" s="4">
        <v>1</v>
      </c>
      <c r="AB268" s="4">
        <v>0</v>
      </c>
      <c r="AC268" s="4"/>
      <c r="AD268" s="4">
        <f t="shared" si="189"/>
        <v>11240.902411199999</v>
      </c>
      <c r="AF268" s="1" t="str">
        <f t="shared" si="179"/>
        <v>1</v>
      </c>
      <c r="AG268">
        <v>9</v>
      </c>
      <c r="AH268">
        <f t="shared" si="180"/>
        <v>297.59999999999997</v>
      </c>
      <c r="AI268">
        <f t="shared" si="181"/>
        <v>29.759999999999998</v>
      </c>
      <c r="AJ268">
        <f t="shared" si="182"/>
        <v>1486.4516129032259</v>
      </c>
      <c r="AK268">
        <f t="shared" si="183"/>
        <v>148.64516129032259</v>
      </c>
      <c r="AL268">
        <f t="shared" si="184"/>
        <v>29.759999999999998</v>
      </c>
      <c r="AM268">
        <f t="shared" si="178"/>
        <v>2.976</v>
      </c>
      <c r="AN268">
        <f t="shared" si="185"/>
        <v>1.5</v>
      </c>
      <c r="AO268">
        <f t="shared" si="186"/>
        <v>2</v>
      </c>
      <c r="AP268">
        <f t="shared" si="187"/>
        <v>6</v>
      </c>
      <c r="AQ268">
        <v>601</v>
      </c>
      <c r="AR268">
        <v>5</v>
      </c>
      <c r="BO268" t="s">
        <v>184</v>
      </c>
      <c r="BP268" t="str">
        <f t="shared" si="190"/>
        <v>0</v>
      </c>
    </row>
    <row r="269" spans="1:68" x14ac:dyDescent="0.15">
      <c r="A269">
        <f t="shared" ref="A269:A278" si="191">AR269*1000000+AQ269*1000+C269*10+E269</f>
        <v>5201094</v>
      </c>
      <c r="B269" t="s">
        <v>407</v>
      </c>
      <c r="C269">
        <v>9</v>
      </c>
      <c r="D269">
        <v>2</v>
      </c>
      <c r="E269">
        <v>4</v>
      </c>
      <c r="F269" t="s">
        <v>706</v>
      </c>
      <c r="G269" t="s">
        <v>706</v>
      </c>
      <c r="H269" s="23">
        <v>0</v>
      </c>
      <c r="I269" s="2" t="s">
        <v>92</v>
      </c>
      <c r="J269" s="2">
        <f t="shared" si="188"/>
        <v>3</v>
      </c>
      <c r="K269" s="2">
        <f t="shared" ref="K269:K305" si="192">FLOOR(AN269/1,0.01)</f>
        <v>1.8</v>
      </c>
      <c r="L269" s="2">
        <f t="shared" ref="L269:L305" si="193">FLOOR(AO269/1,0.01)</f>
        <v>1.8</v>
      </c>
      <c r="M269" s="2">
        <v>11</v>
      </c>
      <c r="N269" s="2">
        <f t="shared" ref="N269:N305" si="194">ROUND(AH269,2)</f>
        <v>184.32</v>
      </c>
      <c r="O269" s="2">
        <f t="shared" ref="O269:O305" si="195">ROUND(AI269,2)</f>
        <v>18.43</v>
      </c>
      <c r="P269" s="2">
        <f t="shared" ref="P269:P305" si="196">ROUND(AJ269,2)</f>
        <v>2880</v>
      </c>
      <c r="Q269" s="2">
        <f t="shared" ref="Q269:Q305" si="197">ROUND(AK269,2)</f>
        <v>288</v>
      </c>
      <c r="R269" s="2">
        <f t="shared" ref="R269:R305" si="198">ROUND(AL269,2)</f>
        <v>61.44</v>
      </c>
      <c r="S269" s="2">
        <f t="shared" ref="S269:S305" si="199">ROUND(AM269,2)</f>
        <v>6.14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11">
        <v>542012</v>
      </c>
      <c r="Z269" s="26" t="s">
        <v>622</v>
      </c>
      <c r="AA269" s="4">
        <v>1</v>
      </c>
      <c r="AB269" s="4">
        <v>0</v>
      </c>
      <c r="AC269" s="4"/>
      <c r="AD269" s="4">
        <f t="shared" si="189"/>
        <v>11239.462079999998</v>
      </c>
      <c r="AF269" s="1" t="str">
        <f t="shared" si="179"/>
        <v>1</v>
      </c>
      <c r="AG269">
        <v>9</v>
      </c>
      <c r="AH269">
        <f t="shared" si="180"/>
        <v>184.32000000000002</v>
      </c>
      <c r="AI269">
        <f t="shared" si="181"/>
        <v>18.432000000000002</v>
      </c>
      <c r="AJ269">
        <f t="shared" si="182"/>
        <v>2880</v>
      </c>
      <c r="AK269">
        <f t="shared" si="183"/>
        <v>288</v>
      </c>
      <c r="AL269">
        <f t="shared" si="184"/>
        <v>61.440000000000005</v>
      </c>
      <c r="AM269">
        <f t="shared" ref="AM269:AM305" si="200">AL269*0.1</f>
        <v>6.144000000000001</v>
      </c>
      <c r="AN269">
        <f t="shared" si="185"/>
        <v>1.8</v>
      </c>
      <c r="AO269">
        <f t="shared" si="186"/>
        <v>1.8</v>
      </c>
      <c r="AP269">
        <f t="shared" si="187"/>
        <v>3</v>
      </c>
      <c r="AQ269">
        <v>201</v>
      </c>
      <c r="AR269">
        <v>5</v>
      </c>
      <c r="BO269" t="s">
        <v>165</v>
      </c>
      <c r="BP269" t="str">
        <f t="shared" si="190"/>
        <v>2</v>
      </c>
    </row>
    <row r="270" spans="1:68" x14ac:dyDescent="0.15">
      <c r="A270">
        <f t="shared" si="191"/>
        <v>5302094</v>
      </c>
      <c r="B270" t="s">
        <v>143</v>
      </c>
      <c r="C270">
        <v>9</v>
      </c>
      <c r="D270">
        <v>3</v>
      </c>
      <c r="E270">
        <v>4</v>
      </c>
      <c r="F270" s="22" t="s">
        <v>707</v>
      </c>
      <c r="G270" s="22" t="s">
        <v>707</v>
      </c>
      <c r="H270" s="23">
        <v>0</v>
      </c>
      <c r="I270" s="2" t="s">
        <v>157</v>
      </c>
      <c r="J270" s="2">
        <f t="shared" si="188"/>
        <v>3</v>
      </c>
      <c r="K270" s="2">
        <f t="shared" si="192"/>
        <v>1.4000000000000001</v>
      </c>
      <c r="L270" s="2">
        <f t="shared" si="193"/>
        <v>1.7</v>
      </c>
      <c r="M270" s="2">
        <v>12</v>
      </c>
      <c r="N270" s="2">
        <f t="shared" si="194"/>
        <v>161.28</v>
      </c>
      <c r="O270" s="2">
        <f t="shared" si="195"/>
        <v>16.13</v>
      </c>
      <c r="P270" s="2">
        <f t="shared" si="196"/>
        <v>2560</v>
      </c>
      <c r="Q270" s="2">
        <f t="shared" si="197"/>
        <v>256</v>
      </c>
      <c r="R270" s="2">
        <f t="shared" si="198"/>
        <v>32.26</v>
      </c>
      <c r="S270" s="2">
        <f t="shared" si="199"/>
        <v>3.23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11">
        <v>543022</v>
      </c>
      <c r="Z270" s="26" t="s">
        <v>623</v>
      </c>
      <c r="AA270" s="4">
        <v>1</v>
      </c>
      <c r="AB270" s="4">
        <v>0</v>
      </c>
      <c r="AC270" s="4"/>
      <c r="AD270" s="4">
        <f t="shared" si="189"/>
        <v>11241.838079999998</v>
      </c>
      <c r="AF270" s="1" t="str">
        <f t="shared" si="179"/>
        <v>2</v>
      </c>
      <c r="AG270">
        <v>9</v>
      </c>
      <c r="AH270">
        <f t="shared" si="180"/>
        <v>161.28</v>
      </c>
      <c r="AI270">
        <f t="shared" si="181"/>
        <v>16.128</v>
      </c>
      <c r="AJ270">
        <f t="shared" si="182"/>
        <v>2560</v>
      </c>
      <c r="AK270">
        <f t="shared" si="183"/>
        <v>256</v>
      </c>
      <c r="AL270">
        <f t="shared" si="184"/>
        <v>32.256</v>
      </c>
      <c r="AM270">
        <f t="shared" si="200"/>
        <v>3.2256</v>
      </c>
      <c r="AN270">
        <f t="shared" si="185"/>
        <v>1.4</v>
      </c>
      <c r="AO270">
        <f t="shared" si="186"/>
        <v>1.7</v>
      </c>
      <c r="AP270">
        <f t="shared" si="187"/>
        <v>3</v>
      </c>
      <c r="AQ270">
        <v>302</v>
      </c>
      <c r="AR270">
        <v>5</v>
      </c>
      <c r="BO270" t="s">
        <v>186</v>
      </c>
      <c r="BP270" t="str">
        <f t="shared" si="190"/>
        <v>0</v>
      </c>
    </row>
    <row r="271" spans="1:68" ht="14.25" customHeight="1" x14ac:dyDescent="0.15">
      <c r="A271">
        <f t="shared" si="191"/>
        <v>5501094</v>
      </c>
      <c r="B271" t="s">
        <v>413</v>
      </c>
      <c r="C271">
        <v>9</v>
      </c>
      <c r="D271">
        <v>5</v>
      </c>
      <c r="E271">
        <v>4</v>
      </c>
      <c r="F271" t="s">
        <v>235</v>
      </c>
      <c r="G271" t="s">
        <v>235</v>
      </c>
      <c r="H271">
        <v>0</v>
      </c>
      <c r="I271" s="2" t="s">
        <v>144</v>
      </c>
      <c r="J271" s="2">
        <f t="shared" si="188"/>
        <v>6</v>
      </c>
      <c r="K271" s="2">
        <f t="shared" si="192"/>
        <v>1.6</v>
      </c>
      <c r="L271" s="2">
        <f t="shared" si="193"/>
        <v>2</v>
      </c>
      <c r="M271" s="2">
        <v>10</v>
      </c>
      <c r="N271" s="2">
        <f t="shared" si="194"/>
        <v>286.72000000000003</v>
      </c>
      <c r="O271" s="2">
        <f t="shared" si="195"/>
        <v>28.67</v>
      </c>
      <c r="P271" s="2">
        <f t="shared" si="196"/>
        <v>1645.71</v>
      </c>
      <c r="Q271" s="2">
        <f t="shared" si="197"/>
        <v>164.57</v>
      </c>
      <c r="R271" s="2">
        <f t="shared" si="198"/>
        <v>35.840000000000003</v>
      </c>
      <c r="S271" s="2">
        <f t="shared" si="199"/>
        <v>3.58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11">
        <v>545012</v>
      </c>
      <c r="Z271" s="12" t="s">
        <v>624</v>
      </c>
      <c r="AA271" s="4">
        <v>1</v>
      </c>
      <c r="AB271" s="4">
        <v>0</v>
      </c>
      <c r="AC271" s="4"/>
      <c r="AD271" s="4">
        <f t="shared" si="189"/>
        <v>11239.76672067375</v>
      </c>
      <c r="AF271" s="1" t="str">
        <f t="shared" si="179"/>
        <v>1</v>
      </c>
      <c r="AG271">
        <v>9</v>
      </c>
      <c r="AH271">
        <f t="shared" si="180"/>
        <v>286.71999999999997</v>
      </c>
      <c r="AI271">
        <f t="shared" si="181"/>
        <v>28.671999999999997</v>
      </c>
      <c r="AJ271">
        <f t="shared" si="182"/>
        <v>1645.7142857142858</v>
      </c>
      <c r="AK271">
        <f t="shared" si="183"/>
        <v>164.57142857142858</v>
      </c>
      <c r="AL271">
        <f t="shared" si="184"/>
        <v>35.839999999999996</v>
      </c>
      <c r="AM271">
        <f t="shared" si="200"/>
        <v>3.5839999999999996</v>
      </c>
      <c r="AN271">
        <f t="shared" si="185"/>
        <v>1.6</v>
      </c>
      <c r="AO271">
        <f t="shared" si="186"/>
        <v>2</v>
      </c>
      <c r="AP271">
        <f t="shared" si="187"/>
        <v>6</v>
      </c>
      <c r="AQ271">
        <v>501</v>
      </c>
      <c r="AR271">
        <v>5</v>
      </c>
      <c r="BO271" t="s">
        <v>167</v>
      </c>
      <c r="BP271" t="str">
        <f t="shared" si="190"/>
        <v>1</v>
      </c>
    </row>
    <row r="272" spans="1:68" x14ac:dyDescent="0.15">
      <c r="A272">
        <f t="shared" si="191"/>
        <v>5600094</v>
      </c>
      <c r="B272" t="s">
        <v>209</v>
      </c>
      <c r="C272">
        <v>9</v>
      </c>
      <c r="D272">
        <v>6</v>
      </c>
      <c r="E272">
        <v>4</v>
      </c>
      <c r="F272" t="s">
        <v>236</v>
      </c>
      <c r="G272" t="s">
        <v>236</v>
      </c>
      <c r="H272" s="2">
        <v>0</v>
      </c>
      <c r="I272" s="2" t="s">
        <v>147</v>
      </c>
      <c r="J272" s="2">
        <f t="shared" si="188"/>
        <v>3</v>
      </c>
      <c r="K272" s="2">
        <f t="shared" si="192"/>
        <v>1.4000000000000001</v>
      </c>
      <c r="L272" s="2">
        <f t="shared" si="193"/>
        <v>1.9000000000000001</v>
      </c>
      <c r="M272" s="2">
        <v>10</v>
      </c>
      <c r="N272" s="2">
        <f t="shared" si="194"/>
        <v>277.76</v>
      </c>
      <c r="O272" s="2">
        <f t="shared" si="195"/>
        <v>27.78</v>
      </c>
      <c r="P272" s="2">
        <f t="shared" si="196"/>
        <v>1486.45</v>
      </c>
      <c r="Q272" s="2">
        <f t="shared" si="197"/>
        <v>148.65</v>
      </c>
      <c r="R272" s="2">
        <f t="shared" si="198"/>
        <v>27.78</v>
      </c>
      <c r="S272" s="2">
        <f t="shared" si="199"/>
        <v>2.78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11">
        <v>546002</v>
      </c>
      <c r="Z272" s="12" t="s">
        <v>625</v>
      </c>
      <c r="AA272" s="4">
        <v>1</v>
      </c>
      <c r="AB272" s="4">
        <v>0</v>
      </c>
      <c r="AC272" s="4"/>
      <c r="AD272" s="4">
        <f t="shared" si="189"/>
        <v>11242.374041699997</v>
      </c>
      <c r="AF272" s="1" t="str">
        <f t="shared" si="179"/>
        <v>0</v>
      </c>
      <c r="AG272">
        <v>9</v>
      </c>
      <c r="AH272">
        <f t="shared" si="180"/>
        <v>277.75999999999993</v>
      </c>
      <c r="AI272">
        <f t="shared" si="181"/>
        <v>27.775999999999996</v>
      </c>
      <c r="AJ272">
        <f t="shared" si="182"/>
        <v>1486.4516129032259</v>
      </c>
      <c r="AK272">
        <f t="shared" si="183"/>
        <v>148.64516129032259</v>
      </c>
      <c r="AL272">
        <f t="shared" si="184"/>
        <v>27.775999999999993</v>
      </c>
      <c r="AM272">
        <f t="shared" si="200"/>
        <v>2.7775999999999996</v>
      </c>
      <c r="AN272">
        <f t="shared" si="185"/>
        <v>1.4</v>
      </c>
      <c r="AO272">
        <f t="shared" si="186"/>
        <v>1.9</v>
      </c>
      <c r="AP272">
        <f t="shared" si="187"/>
        <v>3</v>
      </c>
      <c r="AQ272">
        <v>600</v>
      </c>
      <c r="AR272">
        <v>5</v>
      </c>
      <c r="BO272" t="s">
        <v>159</v>
      </c>
      <c r="BP272" t="str">
        <f t="shared" si="190"/>
        <v>1</v>
      </c>
    </row>
    <row r="273" spans="1:68" x14ac:dyDescent="0.15">
      <c r="A273">
        <f t="shared" si="191"/>
        <v>5602094</v>
      </c>
      <c r="B273" t="s">
        <v>414</v>
      </c>
      <c r="C273">
        <v>9</v>
      </c>
      <c r="D273">
        <v>6</v>
      </c>
      <c r="E273">
        <v>4</v>
      </c>
      <c r="F273" t="s">
        <v>237</v>
      </c>
      <c r="G273" t="s">
        <v>237</v>
      </c>
      <c r="H273" t="s">
        <v>150</v>
      </c>
      <c r="I273" s="2" t="s">
        <v>151</v>
      </c>
      <c r="J273" s="2">
        <f t="shared" si="188"/>
        <v>6</v>
      </c>
      <c r="K273" s="2">
        <f t="shared" si="192"/>
        <v>1.8</v>
      </c>
      <c r="L273" s="2">
        <f t="shared" si="193"/>
        <v>2</v>
      </c>
      <c r="M273" s="2">
        <v>10</v>
      </c>
      <c r="N273" s="2">
        <f t="shared" si="194"/>
        <v>357.12</v>
      </c>
      <c r="O273" s="2">
        <f t="shared" si="195"/>
        <v>35.71</v>
      </c>
      <c r="P273" s="2">
        <f t="shared" si="196"/>
        <v>1486.45</v>
      </c>
      <c r="Q273" s="2">
        <f t="shared" si="197"/>
        <v>148.65</v>
      </c>
      <c r="R273" s="2">
        <f t="shared" si="198"/>
        <v>35.71</v>
      </c>
      <c r="S273" s="2">
        <f t="shared" si="199"/>
        <v>3.57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11">
        <v>546022</v>
      </c>
      <c r="Z273" s="12" t="s">
        <v>626</v>
      </c>
      <c r="AA273" s="4">
        <v>1</v>
      </c>
      <c r="AB273" s="4">
        <v>0</v>
      </c>
      <c r="AC273" s="4"/>
      <c r="AD273" s="4">
        <f t="shared" si="189"/>
        <v>11240.330110449999</v>
      </c>
      <c r="AF273" s="1" t="str">
        <f t="shared" si="179"/>
        <v>2</v>
      </c>
      <c r="AG273">
        <v>9</v>
      </c>
      <c r="AH273">
        <f t="shared" si="180"/>
        <v>357.12</v>
      </c>
      <c r="AI273">
        <f t="shared" si="181"/>
        <v>35.712000000000003</v>
      </c>
      <c r="AJ273">
        <f t="shared" si="182"/>
        <v>1486.4516129032259</v>
      </c>
      <c r="AK273">
        <f t="shared" si="183"/>
        <v>148.64516129032259</v>
      </c>
      <c r="AL273">
        <f t="shared" si="184"/>
        <v>35.712000000000003</v>
      </c>
      <c r="AM273">
        <f t="shared" si="200"/>
        <v>3.5712000000000006</v>
      </c>
      <c r="AN273">
        <f t="shared" si="185"/>
        <v>1.8</v>
      </c>
      <c r="AO273">
        <f t="shared" si="186"/>
        <v>2</v>
      </c>
      <c r="AP273">
        <f t="shared" si="187"/>
        <v>6</v>
      </c>
      <c r="AQ273">
        <v>602</v>
      </c>
      <c r="AR273">
        <v>5</v>
      </c>
      <c r="BO273" t="s">
        <v>178</v>
      </c>
      <c r="BP273" t="str">
        <f t="shared" si="190"/>
        <v>2</v>
      </c>
    </row>
    <row r="274" spans="1:68" x14ac:dyDescent="0.15">
      <c r="A274">
        <f t="shared" si="191"/>
        <v>5202095</v>
      </c>
      <c r="B274" t="s">
        <v>408</v>
      </c>
      <c r="C274">
        <v>9</v>
      </c>
      <c r="D274">
        <v>2</v>
      </c>
      <c r="E274">
        <v>5</v>
      </c>
      <c r="F274" t="s">
        <v>708</v>
      </c>
      <c r="G274" t="s">
        <v>708</v>
      </c>
      <c r="H274" s="22">
        <v>0</v>
      </c>
      <c r="I274" s="2" t="s">
        <v>96</v>
      </c>
      <c r="J274" s="2">
        <f t="shared" si="188"/>
        <v>3</v>
      </c>
      <c r="K274" s="2">
        <f t="shared" si="192"/>
        <v>1.8</v>
      </c>
      <c r="L274" s="2">
        <f t="shared" si="193"/>
        <v>2</v>
      </c>
      <c r="M274" s="2">
        <v>11</v>
      </c>
      <c r="N274" s="2">
        <f t="shared" si="194"/>
        <v>207.36</v>
      </c>
      <c r="O274" s="2">
        <f t="shared" si="195"/>
        <v>20.74</v>
      </c>
      <c r="P274" s="2">
        <f t="shared" si="196"/>
        <v>2560</v>
      </c>
      <c r="Q274" s="2">
        <f t="shared" si="197"/>
        <v>256</v>
      </c>
      <c r="R274" s="2">
        <f t="shared" si="198"/>
        <v>41.47</v>
      </c>
      <c r="S274" s="2">
        <f t="shared" si="199"/>
        <v>4.1500000000000004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11">
        <v>552022</v>
      </c>
      <c r="Z274" s="26" t="s">
        <v>627</v>
      </c>
      <c r="AA274" s="4">
        <v>1</v>
      </c>
      <c r="AB274" s="4">
        <v>0</v>
      </c>
      <c r="AC274" s="4"/>
      <c r="AD274" s="4">
        <f t="shared" si="189"/>
        <v>11242.542079999997</v>
      </c>
      <c r="AF274" s="1" t="str">
        <f t="shared" si="179"/>
        <v>2</v>
      </c>
      <c r="AG274">
        <v>9</v>
      </c>
      <c r="AH274">
        <f t="shared" si="180"/>
        <v>207.36</v>
      </c>
      <c r="AI274">
        <f t="shared" si="181"/>
        <v>20.736000000000004</v>
      </c>
      <c r="AJ274">
        <f t="shared" si="182"/>
        <v>2560</v>
      </c>
      <c r="AK274">
        <f t="shared" si="183"/>
        <v>256</v>
      </c>
      <c r="AL274">
        <f t="shared" si="184"/>
        <v>41.472000000000001</v>
      </c>
      <c r="AM274">
        <f t="shared" si="200"/>
        <v>4.1472000000000007</v>
      </c>
      <c r="AN274">
        <f t="shared" si="185"/>
        <v>1.8</v>
      </c>
      <c r="AO274">
        <f t="shared" si="186"/>
        <v>2</v>
      </c>
      <c r="AP274">
        <f t="shared" si="187"/>
        <v>3</v>
      </c>
      <c r="AQ274">
        <v>202</v>
      </c>
      <c r="AR274">
        <v>5</v>
      </c>
      <c r="BO274" t="s">
        <v>188</v>
      </c>
      <c r="BP274" t="str">
        <f t="shared" si="190"/>
        <v>0</v>
      </c>
    </row>
    <row r="275" spans="1:68" x14ac:dyDescent="0.15">
      <c r="A275">
        <f t="shared" si="191"/>
        <v>5300095</v>
      </c>
      <c r="B275" t="s">
        <v>415</v>
      </c>
      <c r="C275">
        <v>9</v>
      </c>
      <c r="D275">
        <v>3</v>
      </c>
      <c r="E275">
        <v>5</v>
      </c>
      <c r="F275" t="s">
        <v>238</v>
      </c>
      <c r="G275" t="s">
        <v>238</v>
      </c>
      <c r="H275" s="2">
        <v>0</v>
      </c>
      <c r="I275" s="28" t="s">
        <v>720</v>
      </c>
      <c r="J275" s="2">
        <f t="shared" si="188"/>
        <v>3</v>
      </c>
      <c r="K275" s="2">
        <f t="shared" si="192"/>
        <v>1.3</v>
      </c>
      <c r="L275" s="2">
        <f t="shared" si="193"/>
        <v>1.9000000000000001</v>
      </c>
      <c r="M275" s="2">
        <v>12</v>
      </c>
      <c r="N275" s="2">
        <f t="shared" si="194"/>
        <v>149.76</v>
      </c>
      <c r="O275" s="2">
        <f t="shared" si="195"/>
        <v>14.98</v>
      </c>
      <c r="P275" s="2">
        <f t="shared" si="196"/>
        <v>2560</v>
      </c>
      <c r="Q275" s="2">
        <f t="shared" si="197"/>
        <v>256</v>
      </c>
      <c r="R275" s="2">
        <f t="shared" si="198"/>
        <v>29.95</v>
      </c>
      <c r="S275" s="2">
        <f t="shared" si="199"/>
        <v>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11">
        <v>553002</v>
      </c>
      <c r="Z275" s="12" t="s">
        <v>628</v>
      </c>
      <c r="AA275" s="4">
        <v>1</v>
      </c>
      <c r="AB275" s="4">
        <v>0</v>
      </c>
      <c r="AC275" s="4"/>
      <c r="AD275" s="4">
        <f t="shared" si="189"/>
        <v>11243.300233846152</v>
      </c>
      <c r="AF275" s="1" t="str">
        <f t="shared" si="179"/>
        <v>0</v>
      </c>
      <c r="AG275">
        <v>9</v>
      </c>
      <c r="AH275">
        <f t="shared" si="180"/>
        <v>149.76000000000002</v>
      </c>
      <c r="AI275">
        <f t="shared" si="181"/>
        <v>14.976000000000003</v>
      </c>
      <c r="AJ275">
        <f t="shared" si="182"/>
        <v>2560</v>
      </c>
      <c r="AK275">
        <f t="shared" si="183"/>
        <v>256</v>
      </c>
      <c r="AL275">
        <f t="shared" si="184"/>
        <v>29.952000000000005</v>
      </c>
      <c r="AM275">
        <f t="shared" si="200"/>
        <v>2.9952000000000005</v>
      </c>
      <c r="AN275">
        <f t="shared" si="185"/>
        <v>1.3</v>
      </c>
      <c r="AO275">
        <f t="shared" si="186"/>
        <v>1.9</v>
      </c>
      <c r="AP275">
        <f t="shared" si="187"/>
        <v>3</v>
      </c>
      <c r="AQ275">
        <v>300</v>
      </c>
      <c r="AR275">
        <v>5</v>
      </c>
      <c r="BO275" t="s">
        <v>171</v>
      </c>
      <c r="BP275" t="str">
        <f t="shared" si="190"/>
        <v>1</v>
      </c>
    </row>
    <row r="276" spans="1:68" x14ac:dyDescent="0.15">
      <c r="A276">
        <f t="shared" si="191"/>
        <v>5302095</v>
      </c>
      <c r="B276" t="s">
        <v>143</v>
      </c>
      <c r="C276">
        <v>9</v>
      </c>
      <c r="D276">
        <v>3</v>
      </c>
      <c r="E276">
        <v>5</v>
      </c>
      <c r="F276" t="s">
        <v>239</v>
      </c>
      <c r="G276" t="s">
        <v>239</v>
      </c>
      <c r="H276" s="2">
        <v>0</v>
      </c>
      <c r="I276" s="2" t="s">
        <v>157</v>
      </c>
      <c r="J276" s="2">
        <f t="shared" si="188"/>
        <v>3</v>
      </c>
      <c r="K276" s="2">
        <f t="shared" si="192"/>
        <v>1.4000000000000001</v>
      </c>
      <c r="L276" s="2">
        <f t="shared" si="193"/>
        <v>1.7</v>
      </c>
      <c r="M276" s="2">
        <v>13</v>
      </c>
      <c r="N276" s="2">
        <f t="shared" si="194"/>
        <v>161.28</v>
      </c>
      <c r="O276" s="2">
        <f t="shared" si="195"/>
        <v>16.13</v>
      </c>
      <c r="P276" s="2">
        <f t="shared" si="196"/>
        <v>2560</v>
      </c>
      <c r="Q276" s="2">
        <f t="shared" si="197"/>
        <v>256</v>
      </c>
      <c r="R276" s="2">
        <f t="shared" si="198"/>
        <v>32.26</v>
      </c>
      <c r="S276" s="2">
        <f t="shared" si="199"/>
        <v>3.23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11">
        <v>553022</v>
      </c>
      <c r="Z276" s="12" t="s">
        <v>629</v>
      </c>
      <c r="AA276" s="4">
        <v>1</v>
      </c>
      <c r="AB276" s="4">
        <v>0</v>
      </c>
      <c r="AC276" s="4"/>
      <c r="AD276" s="4">
        <f t="shared" si="189"/>
        <v>11241.838079999998</v>
      </c>
      <c r="AF276" s="1" t="str">
        <f t="shared" si="179"/>
        <v>2</v>
      </c>
      <c r="AG276">
        <v>9</v>
      </c>
      <c r="AH276">
        <f t="shared" si="180"/>
        <v>161.28</v>
      </c>
      <c r="AI276">
        <f t="shared" si="181"/>
        <v>16.128</v>
      </c>
      <c r="AJ276">
        <f t="shared" si="182"/>
        <v>2560</v>
      </c>
      <c r="AK276">
        <f t="shared" si="183"/>
        <v>256</v>
      </c>
      <c r="AL276">
        <f t="shared" si="184"/>
        <v>32.256</v>
      </c>
      <c r="AM276">
        <f t="shared" si="200"/>
        <v>3.2256</v>
      </c>
      <c r="AN276">
        <f t="shared" si="185"/>
        <v>1.4</v>
      </c>
      <c r="AO276">
        <f t="shared" si="186"/>
        <v>1.7</v>
      </c>
      <c r="AP276">
        <f t="shared" si="187"/>
        <v>3</v>
      </c>
      <c r="AQ276">
        <v>302</v>
      </c>
      <c r="AR276">
        <v>5</v>
      </c>
      <c r="BO276" t="s">
        <v>173</v>
      </c>
      <c r="BP276" t="str">
        <f t="shared" si="190"/>
        <v>0</v>
      </c>
    </row>
    <row r="277" spans="1:68" x14ac:dyDescent="0.15">
      <c r="A277">
        <f t="shared" si="191"/>
        <v>5400095</v>
      </c>
      <c r="B277" t="s">
        <v>149</v>
      </c>
      <c r="C277">
        <v>9</v>
      </c>
      <c r="D277">
        <v>4</v>
      </c>
      <c r="E277">
        <v>5</v>
      </c>
      <c r="F277" t="s">
        <v>240</v>
      </c>
      <c r="G277" t="s">
        <v>240</v>
      </c>
      <c r="H277">
        <v>0</v>
      </c>
      <c r="I277" s="2" t="s">
        <v>161</v>
      </c>
      <c r="J277" s="2">
        <f t="shared" si="188"/>
        <v>6</v>
      </c>
      <c r="K277" s="2">
        <f t="shared" si="192"/>
        <v>1.4000000000000001</v>
      </c>
      <c r="L277" s="2">
        <f t="shared" si="193"/>
        <v>1.4000000000000001</v>
      </c>
      <c r="M277" s="2">
        <v>14</v>
      </c>
      <c r="N277" s="2">
        <f t="shared" si="194"/>
        <v>215.04</v>
      </c>
      <c r="O277" s="2">
        <f t="shared" si="195"/>
        <v>21.5</v>
      </c>
      <c r="P277" s="2">
        <f t="shared" si="196"/>
        <v>1920</v>
      </c>
      <c r="Q277" s="2">
        <f t="shared" si="197"/>
        <v>192</v>
      </c>
      <c r="R277" s="2">
        <f t="shared" si="198"/>
        <v>30.72</v>
      </c>
      <c r="S277" s="2">
        <f t="shared" si="199"/>
        <v>3.07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11">
        <v>554002</v>
      </c>
      <c r="Z277" s="12" t="s">
        <v>630</v>
      </c>
      <c r="AA277" s="4">
        <v>1</v>
      </c>
      <c r="AB277" s="4">
        <v>0</v>
      </c>
      <c r="AC277" s="4"/>
      <c r="AD277" s="4">
        <f t="shared" si="189"/>
        <v>11238.670079999998</v>
      </c>
      <c r="AF277" s="1" t="str">
        <f t="shared" si="179"/>
        <v>0</v>
      </c>
      <c r="AG277">
        <v>9</v>
      </c>
      <c r="AH277">
        <f t="shared" si="180"/>
        <v>215.04</v>
      </c>
      <c r="AI277">
        <f t="shared" si="181"/>
        <v>21.504000000000001</v>
      </c>
      <c r="AJ277">
        <f t="shared" si="182"/>
        <v>1920</v>
      </c>
      <c r="AK277">
        <f t="shared" si="183"/>
        <v>192</v>
      </c>
      <c r="AL277">
        <f t="shared" si="184"/>
        <v>30.72</v>
      </c>
      <c r="AM277">
        <f t="shared" si="200"/>
        <v>3.0720000000000001</v>
      </c>
      <c r="AN277">
        <f t="shared" si="185"/>
        <v>1.4</v>
      </c>
      <c r="AO277">
        <f t="shared" si="186"/>
        <v>1.4</v>
      </c>
      <c r="AP277">
        <f t="shared" si="187"/>
        <v>6</v>
      </c>
      <c r="AQ277">
        <v>400</v>
      </c>
      <c r="AR277">
        <v>5</v>
      </c>
      <c r="BO277" t="s">
        <v>182</v>
      </c>
      <c r="BP277" t="str">
        <f t="shared" si="190"/>
        <v>2</v>
      </c>
    </row>
    <row r="278" spans="1:68" x14ac:dyDescent="0.15">
      <c r="A278">
        <f t="shared" si="191"/>
        <v>5501095</v>
      </c>
      <c r="B278" t="s">
        <v>413</v>
      </c>
      <c r="C278">
        <v>9</v>
      </c>
      <c r="D278">
        <v>5</v>
      </c>
      <c r="E278">
        <v>5</v>
      </c>
      <c r="F278" t="s">
        <v>709</v>
      </c>
      <c r="G278" t="s">
        <v>709</v>
      </c>
      <c r="H278" s="22">
        <v>0</v>
      </c>
      <c r="I278" s="28" t="s">
        <v>721</v>
      </c>
      <c r="J278" s="2">
        <f t="shared" si="188"/>
        <v>6</v>
      </c>
      <c r="K278" s="2">
        <f t="shared" si="192"/>
        <v>1.6</v>
      </c>
      <c r="L278" s="2">
        <f t="shared" si="193"/>
        <v>2</v>
      </c>
      <c r="M278" s="2">
        <v>15</v>
      </c>
      <c r="N278" s="2">
        <f t="shared" si="194"/>
        <v>286.72000000000003</v>
      </c>
      <c r="O278" s="2">
        <f t="shared" si="195"/>
        <v>28.67</v>
      </c>
      <c r="P278" s="2">
        <f t="shared" si="196"/>
        <v>1645.71</v>
      </c>
      <c r="Q278" s="2">
        <f t="shared" si="197"/>
        <v>164.57</v>
      </c>
      <c r="R278" s="2">
        <f t="shared" si="198"/>
        <v>35.840000000000003</v>
      </c>
      <c r="S278" s="2">
        <f t="shared" si="199"/>
        <v>3.58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11">
        <v>555012</v>
      </c>
      <c r="Z278" s="26" t="s">
        <v>631</v>
      </c>
      <c r="AA278" s="4">
        <v>1</v>
      </c>
      <c r="AB278" s="4">
        <v>0</v>
      </c>
      <c r="AC278" s="4"/>
      <c r="AD278" s="4">
        <f t="shared" si="189"/>
        <v>11239.76672067375</v>
      </c>
      <c r="AF278" s="1" t="str">
        <f t="shared" si="179"/>
        <v>1</v>
      </c>
      <c r="AG278">
        <v>9</v>
      </c>
      <c r="AH278">
        <f t="shared" si="180"/>
        <v>286.71999999999997</v>
      </c>
      <c r="AI278">
        <f t="shared" si="181"/>
        <v>28.671999999999997</v>
      </c>
      <c r="AJ278">
        <f t="shared" si="182"/>
        <v>1645.7142857142858</v>
      </c>
      <c r="AK278">
        <f t="shared" si="183"/>
        <v>164.57142857142858</v>
      </c>
      <c r="AL278">
        <f t="shared" si="184"/>
        <v>35.839999999999996</v>
      </c>
      <c r="AM278">
        <f t="shared" si="200"/>
        <v>3.5839999999999996</v>
      </c>
      <c r="AN278">
        <f t="shared" si="185"/>
        <v>1.6</v>
      </c>
      <c r="AO278">
        <f t="shared" si="186"/>
        <v>2</v>
      </c>
      <c r="AP278">
        <f t="shared" si="187"/>
        <v>6</v>
      </c>
      <c r="AQ278">
        <v>501</v>
      </c>
      <c r="AR278">
        <v>5</v>
      </c>
      <c r="BO278" t="s">
        <v>184</v>
      </c>
      <c r="BP278" t="str">
        <f t="shared" si="190"/>
        <v>0</v>
      </c>
    </row>
    <row r="279" spans="1:68" x14ac:dyDescent="0.15">
      <c r="A279">
        <f t="shared" ref="A279:A284" si="201">AR279*1000000+AQ279*1000+C279*10+E279</f>
        <v>5200101</v>
      </c>
      <c r="B279" t="s">
        <v>160</v>
      </c>
      <c r="C279">
        <v>10</v>
      </c>
      <c r="D279">
        <v>2</v>
      </c>
      <c r="E279">
        <v>1</v>
      </c>
      <c r="F279" t="s">
        <v>207</v>
      </c>
      <c r="G279" t="s">
        <v>207</v>
      </c>
      <c r="H279" s="2">
        <v>0</v>
      </c>
      <c r="I279" s="28" t="s">
        <v>711</v>
      </c>
      <c r="J279" s="2">
        <f t="shared" ref="J279:J342" si="202">AP279</f>
        <v>3</v>
      </c>
      <c r="K279" s="2">
        <f t="shared" si="192"/>
        <v>1.5</v>
      </c>
      <c r="L279" s="2">
        <f t="shared" si="193"/>
        <v>1.2</v>
      </c>
      <c r="M279" s="2">
        <v>10</v>
      </c>
      <c r="N279" s="2">
        <f t="shared" si="194"/>
        <v>208</v>
      </c>
      <c r="O279" s="2">
        <f t="shared" si="195"/>
        <v>20.8</v>
      </c>
      <c r="P279" s="2">
        <f t="shared" si="196"/>
        <v>2496</v>
      </c>
      <c r="Q279" s="2">
        <f t="shared" si="197"/>
        <v>249.6</v>
      </c>
      <c r="R279" s="2">
        <f t="shared" si="198"/>
        <v>52</v>
      </c>
      <c r="S279" s="2">
        <f t="shared" si="199"/>
        <v>5.2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11">
        <v>512003</v>
      </c>
      <c r="Z279" s="12" t="s">
        <v>595</v>
      </c>
      <c r="AA279" s="4">
        <v>1</v>
      </c>
      <c r="AB279" s="4">
        <v>0</v>
      </c>
      <c r="AC279" s="4"/>
      <c r="AD279" s="4">
        <f t="shared" ref="AD279:AD342" si="203">(N279+O279*$AD$2)*(P279+Q279*$AD$2)/K279*0.945/3000</f>
        <v>13192.05888</v>
      </c>
      <c r="AF279" s="1" t="str">
        <f t="shared" si="179"/>
        <v>0</v>
      </c>
      <c r="AG279">
        <v>10</v>
      </c>
      <c r="AH279">
        <f t="shared" si="180"/>
        <v>208</v>
      </c>
      <c r="AI279">
        <f t="shared" si="181"/>
        <v>20.8</v>
      </c>
      <c r="AJ279">
        <f t="shared" si="182"/>
        <v>2496</v>
      </c>
      <c r="AK279">
        <f t="shared" si="183"/>
        <v>249.60000000000002</v>
      </c>
      <c r="AL279">
        <f t="shared" si="184"/>
        <v>52</v>
      </c>
      <c r="AM279">
        <f t="shared" si="200"/>
        <v>5.2</v>
      </c>
      <c r="AN279">
        <f t="shared" si="185"/>
        <v>1.5</v>
      </c>
      <c r="AO279">
        <f t="shared" si="186"/>
        <v>1.2</v>
      </c>
      <c r="AP279">
        <f t="shared" si="187"/>
        <v>3</v>
      </c>
      <c r="AQ279">
        <v>200</v>
      </c>
      <c r="AR279">
        <v>5</v>
      </c>
      <c r="BO279" t="s">
        <v>141</v>
      </c>
      <c r="BP279" t="str">
        <f t="shared" si="190"/>
        <v>1</v>
      </c>
    </row>
    <row r="280" spans="1:68" x14ac:dyDescent="0.15">
      <c r="A280">
        <f t="shared" si="201"/>
        <v>5201101</v>
      </c>
      <c r="B280" t="s">
        <v>407</v>
      </c>
      <c r="C280">
        <v>10</v>
      </c>
      <c r="D280">
        <v>2</v>
      </c>
      <c r="E280">
        <v>1</v>
      </c>
      <c r="F280" t="s">
        <v>208</v>
      </c>
      <c r="G280" t="s">
        <v>208</v>
      </c>
      <c r="H280" s="2">
        <v>0</v>
      </c>
      <c r="I280" s="2" t="s">
        <v>92</v>
      </c>
      <c r="J280" s="2">
        <f t="shared" si="202"/>
        <v>3</v>
      </c>
      <c r="K280" s="2">
        <f t="shared" si="192"/>
        <v>1.8</v>
      </c>
      <c r="L280" s="2">
        <f t="shared" si="193"/>
        <v>1.8</v>
      </c>
      <c r="M280" s="2">
        <v>10</v>
      </c>
      <c r="N280" s="2">
        <f t="shared" si="194"/>
        <v>199.68</v>
      </c>
      <c r="O280" s="2">
        <f t="shared" si="195"/>
        <v>19.97</v>
      </c>
      <c r="P280" s="2">
        <f t="shared" si="196"/>
        <v>3120</v>
      </c>
      <c r="Q280" s="2">
        <f t="shared" si="197"/>
        <v>312</v>
      </c>
      <c r="R280" s="2">
        <f t="shared" si="198"/>
        <v>66.56</v>
      </c>
      <c r="S280" s="2">
        <f t="shared" si="199"/>
        <v>6.66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11">
        <v>512013</v>
      </c>
      <c r="Z280" s="12" t="s">
        <v>596</v>
      </c>
      <c r="AA280" s="4">
        <v>1</v>
      </c>
      <c r="AB280" s="4">
        <v>0</v>
      </c>
      <c r="AC280" s="4"/>
      <c r="AD280" s="4">
        <f t="shared" si="203"/>
        <v>13193.260079999998</v>
      </c>
      <c r="AF280" s="1" t="str">
        <f t="shared" ref="AF280:AF343" si="204">RIGHT(AQ280,1)</f>
        <v>1</v>
      </c>
      <c r="AG280">
        <v>10</v>
      </c>
      <c r="AH280">
        <f t="shared" si="180"/>
        <v>199.68000000000004</v>
      </c>
      <c r="AI280">
        <f t="shared" si="181"/>
        <v>19.968000000000004</v>
      </c>
      <c r="AJ280">
        <f t="shared" si="182"/>
        <v>3120</v>
      </c>
      <c r="AK280">
        <f t="shared" si="183"/>
        <v>312</v>
      </c>
      <c r="AL280">
        <f t="shared" si="184"/>
        <v>66.560000000000016</v>
      </c>
      <c r="AM280">
        <f t="shared" si="200"/>
        <v>6.6560000000000024</v>
      </c>
      <c r="AN280">
        <f t="shared" si="185"/>
        <v>1.8</v>
      </c>
      <c r="AO280">
        <f t="shared" si="186"/>
        <v>1.8</v>
      </c>
      <c r="AP280">
        <f t="shared" si="187"/>
        <v>3</v>
      </c>
      <c r="AQ280">
        <v>201</v>
      </c>
      <c r="AR280">
        <v>5</v>
      </c>
      <c r="BO280" t="s">
        <v>186</v>
      </c>
      <c r="BP280" t="str">
        <f t="shared" si="190"/>
        <v>0</v>
      </c>
    </row>
    <row r="281" spans="1:68" x14ac:dyDescent="0.15">
      <c r="A281">
        <f t="shared" si="201"/>
        <v>5202101</v>
      </c>
      <c r="B281" t="s">
        <v>408</v>
      </c>
      <c r="C281">
        <v>10</v>
      </c>
      <c r="D281">
        <v>2</v>
      </c>
      <c r="E281">
        <v>1</v>
      </c>
      <c r="F281" t="s">
        <v>210</v>
      </c>
      <c r="G281" t="s">
        <v>210</v>
      </c>
      <c r="H281">
        <v>0</v>
      </c>
      <c r="I281" s="28" t="s">
        <v>712</v>
      </c>
      <c r="J281" s="2">
        <f t="shared" si="202"/>
        <v>3</v>
      </c>
      <c r="K281" s="2">
        <f t="shared" si="192"/>
        <v>1.8</v>
      </c>
      <c r="L281" s="2">
        <f t="shared" si="193"/>
        <v>2</v>
      </c>
      <c r="M281" s="2">
        <v>10</v>
      </c>
      <c r="N281" s="2">
        <f t="shared" si="194"/>
        <v>224.64</v>
      </c>
      <c r="O281" s="2">
        <f t="shared" si="195"/>
        <v>22.46</v>
      </c>
      <c r="P281" s="2">
        <f t="shared" si="196"/>
        <v>2773.33</v>
      </c>
      <c r="Q281" s="2">
        <f t="shared" si="197"/>
        <v>277.33</v>
      </c>
      <c r="R281" s="2">
        <f t="shared" si="198"/>
        <v>44.93</v>
      </c>
      <c r="S281" s="2">
        <f t="shared" si="199"/>
        <v>4.49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11">
        <v>512023</v>
      </c>
      <c r="Z281" s="12" t="s">
        <v>597</v>
      </c>
      <c r="AA281" s="4">
        <v>1</v>
      </c>
      <c r="AB281" s="4">
        <v>0</v>
      </c>
      <c r="AC281" s="4"/>
      <c r="AD281" s="4">
        <f t="shared" si="203"/>
        <v>13189.777851459998</v>
      </c>
      <c r="AF281" s="1" t="str">
        <f t="shared" si="204"/>
        <v>2</v>
      </c>
      <c r="AG281">
        <v>10</v>
      </c>
      <c r="AH281">
        <f t="shared" si="180"/>
        <v>224.64000000000001</v>
      </c>
      <c r="AI281">
        <f t="shared" si="181"/>
        <v>22.464000000000002</v>
      </c>
      <c r="AJ281">
        <f t="shared" si="182"/>
        <v>2773.3333333333335</v>
      </c>
      <c r="AK281">
        <f t="shared" si="183"/>
        <v>277.33333333333337</v>
      </c>
      <c r="AL281">
        <f t="shared" si="184"/>
        <v>44.928000000000004</v>
      </c>
      <c r="AM281">
        <f t="shared" si="200"/>
        <v>4.4928000000000008</v>
      </c>
      <c r="AN281">
        <f t="shared" si="185"/>
        <v>1.8</v>
      </c>
      <c r="AO281">
        <f t="shared" si="186"/>
        <v>2</v>
      </c>
      <c r="AP281">
        <f t="shared" si="187"/>
        <v>3</v>
      </c>
      <c r="AQ281">
        <v>202</v>
      </c>
      <c r="AR281">
        <v>5</v>
      </c>
      <c r="BO281" t="s">
        <v>176</v>
      </c>
      <c r="BP281" t="str">
        <f t="shared" si="190"/>
        <v>2</v>
      </c>
    </row>
    <row r="282" spans="1:68" x14ac:dyDescent="0.15">
      <c r="A282">
        <f t="shared" si="201"/>
        <v>5301101</v>
      </c>
      <c r="B282" t="s">
        <v>409</v>
      </c>
      <c r="C282">
        <v>10</v>
      </c>
      <c r="D282">
        <v>3</v>
      </c>
      <c r="E282">
        <v>1</v>
      </c>
      <c r="F282" t="s">
        <v>211</v>
      </c>
      <c r="G282" t="s">
        <v>211</v>
      </c>
      <c r="H282" s="2">
        <v>0</v>
      </c>
      <c r="I282" s="28" t="s">
        <v>713</v>
      </c>
      <c r="J282" s="2">
        <f t="shared" si="202"/>
        <v>3</v>
      </c>
      <c r="K282" s="2">
        <f t="shared" si="192"/>
        <v>1.2</v>
      </c>
      <c r="L282" s="2">
        <f t="shared" si="193"/>
        <v>2</v>
      </c>
      <c r="M282" s="2">
        <v>10</v>
      </c>
      <c r="N282" s="2">
        <f t="shared" si="194"/>
        <v>149.76</v>
      </c>
      <c r="O282" s="2">
        <f t="shared" si="195"/>
        <v>14.98</v>
      </c>
      <c r="P282" s="2">
        <f t="shared" si="196"/>
        <v>2773.33</v>
      </c>
      <c r="Q282" s="2">
        <f t="shared" si="197"/>
        <v>277.33</v>
      </c>
      <c r="R282" s="2">
        <f t="shared" si="198"/>
        <v>29.95</v>
      </c>
      <c r="S282" s="2">
        <f t="shared" si="199"/>
        <v>3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11">
        <v>513013</v>
      </c>
      <c r="Z282" s="12" t="s">
        <v>598</v>
      </c>
      <c r="AA282" s="4">
        <v>1</v>
      </c>
      <c r="AB282" s="4">
        <v>0</v>
      </c>
      <c r="AC282" s="4"/>
      <c r="AD282" s="4">
        <f t="shared" si="203"/>
        <v>13195.116459209998</v>
      </c>
      <c r="AF282" s="1" t="str">
        <f t="shared" si="204"/>
        <v>1</v>
      </c>
      <c r="AG282">
        <v>10</v>
      </c>
      <c r="AH282">
        <f t="shared" si="180"/>
        <v>149.76000000000002</v>
      </c>
      <c r="AI282">
        <f t="shared" si="181"/>
        <v>14.976000000000003</v>
      </c>
      <c r="AJ282">
        <f t="shared" si="182"/>
        <v>2773.3333333333335</v>
      </c>
      <c r="AK282">
        <f t="shared" si="183"/>
        <v>277.33333333333337</v>
      </c>
      <c r="AL282">
        <f t="shared" si="184"/>
        <v>29.952000000000005</v>
      </c>
      <c r="AM282">
        <f t="shared" si="200"/>
        <v>2.9952000000000005</v>
      </c>
      <c r="AN282">
        <f t="shared" si="185"/>
        <v>1.2</v>
      </c>
      <c r="AO282">
        <f t="shared" si="186"/>
        <v>2</v>
      </c>
      <c r="AP282">
        <f t="shared" si="187"/>
        <v>3</v>
      </c>
      <c r="AQ282">
        <v>301</v>
      </c>
      <c r="AR282">
        <v>5</v>
      </c>
      <c r="BO282" t="s">
        <v>169</v>
      </c>
      <c r="BP282" t="str">
        <f t="shared" si="190"/>
        <v>0</v>
      </c>
    </row>
    <row r="283" spans="1:68" x14ac:dyDescent="0.15">
      <c r="A283">
        <f t="shared" si="201"/>
        <v>5401101</v>
      </c>
      <c r="B283" t="s">
        <v>410</v>
      </c>
      <c r="C283">
        <v>10</v>
      </c>
      <c r="D283">
        <v>4</v>
      </c>
      <c r="E283">
        <v>1</v>
      </c>
      <c r="F283" t="s">
        <v>212</v>
      </c>
      <c r="G283" t="s">
        <v>212</v>
      </c>
      <c r="H283" s="2">
        <v>0</v>
      </c>
      <c r="I283" s="2" t="s">
        <v>103</v>
      </c>
      <c r="J283" s="2">
        <f t="shared" si="202"/>
        <v>6</v>
      </c>
      <c r="K283" s="2">
        <f t="shared" si="192"/>
        <v>1.6</v>
      </c>
      <c r="L283" s="2">
        <f t="shared" si="193"/>
        <v>2</v>
      </c>
      <c r="M283" s="2">
        <v>10</v>
      </c>
      <c r="N283" s="2">
        <f t="shared" si="194"/>
        <v>266.24</v>
      </c>
      <c r="O283" s="2">
        <f t="shared" si="195"/>
        <v>26.62</v>
      </c>
      <c r="P283" s="2">
        <f t="shared" si="196"/>
        <v>2080</v>
      </c>
      <c r="Q283" s="2">
        <f t="shared" si="197"/>
        <v>208</v>
      </c>
      <c r="R283" s="2">
        <f t="shared" si="198"/>
        <v>38.03</v>
      </c>
      <c r="S283" s="2">
        <f t="shared" si="199"/>
        <v>3.8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11">
        <v>514013</v>
      </c>
      <c r="Z283" s="12" t="s">
        <v>599</v>
      </c>
      <c r="AA283" s="4">
        <v>1</v>
      </c>
      <c r="AB283" s="4">
        <v>0</v>
      </c>
      <c r="AC283" s="4"/>
      <c r="AD283" s="4">
        <f t="shared" si="203"/>
        <v>13190.257079999998</v>
      </c>
      <c r="AF283" s="1" t="str">
        <f t="shared" si="204"/>
        <v>1</v>
      </c>
      <c r="AG283">
        <v>10</v>
      </c>
      <c r="AH283">
        <f t="shared" si="180"/>
        <v>266.24</v>
      </c>
      <c r="AI283">
        <f t="shared" si="181"/>
        <v>26.624000000000002</v>
      </c>
      <c r="AJ283">
        <f t="shared" si="182"/>
        <v>2080</v>
      </c>
      <c r="AK283">
        <f t="shared" si="183"/>
        <v>208</v>
      </c>
      <c r="AL283">
        <f t="shared" si="184"/>
        <v>38.034285714285716</v>
      </c>
      <c r="AM283">
        <f t="shared" si="200"/>
        <v>3.8034285714285718</v>
      </c>
      <c r="AN283">
        <f t="shared" si="185"/>
        <v>1.6</v>
      </c>
      <c r="AO283">
        <f t="shared" si="186"/>
        <v>2</v>
      </c>
      <c r="AP283">
        <f t="shared" si="187"/>
        <v>6</v>
      </c>
      <c r="AQ283">
        <v>401</v>
      </c>
      <c r="AR283">
        <v>5</v>
      </c>
      <c r="BO283" t="s">
        <v>178</v>
      </c>
      <c r="BP283" t="str">
        <f t="shared" si="190"/>
        <v>2</v>
      </c>
    </row>
    <row r="284" spans="1:68" x14ac:dyDescent="0.15">
      <c r="A284">
        <f t="shared" si="201"/>
        <v>5402101</v>
      </c>
      <c r="B284" t="s">
        <v>102</v>
      </c>
      <c r="C284">
        <v>10</v>
      </c>
      <c r="D284">
        <v>4</v>
      </c>
      <c r="E284">
        <v>1</v>
      </c>
      <c r="F284" t="s">
        <v>213</v>
      </c>
      <c r="G284" t="s">
        <v>213</v>
      </c>
      <c r="H284">
        <v>0</v>
      </c>
      <c r="I284" s="28" t="s">
        <v>714</v>
      </c>
      <c r="J284" s="2">
        <f t="shared" si="202"/>
        <v>6</v>
      </c>
      <c r="K284" s="2">
        <f t="shared" si="192"/>
        <v>1.5</v>
      </c>
      <c r="L284" s="2">
        <f t="shared" si="193"/>
        <v>1.5</v>
      </c>
      <c r="M284" s="2">
        <v>10</v>
      </c>
      <c r="N284" s="2">
        <f t="shared" si="194"/>
        <v>249.6</v>
      </c>
      <c r="O284" s="2">
        <f t="shared" si="195"/>
        <v>24.96</v>
      </c>
      <c r="P284" s="2">
        <f t="shared" si="196"/>
        <v>2080</v>
      </c>
      <c r="Q284" s="2">
        <f t="shared" si="197"/>
        <v>208</v>
      </c>
      <c r="R284" s="2">
        <f t="shared" si="198"/>
        <v>35.659999999999997</v>
      </c>
      <c r="S284" s="2">
        <f t="shared" si="199"/>
        <v>3.57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11">
        <v>514023</v>
      </c>
      <c r="Z284" s="12" t="s">
        <v>600</v>
      </c>
      <c r="AA284" s="4">
        <v>1</v>
      </c>
      <c r="AB284" s="4">
        <v>0</v>
      </c>
      <c r="AC284" s="4"/>
      <c r="AD284" s="4">
        <f t="shared" si="203"/>
        <v>13192.05888</v>
      </c>
      <c r="AF284" s="1" t="str">
        <f t="shared" si="204"/>
        <v>2</v>
      </c>
      <c r="AG284">
        <v>10</v>
      </c>
      <c r="AH284">
        <f t="shared" si="180"/>
        <v>249.60000000000002</v>
      </c>
      <c r="AI284">
        <f t="shared" si="181"/>
        <v>24.960000000000004</v>
      </c>
      <c r="AJ284">
        <f t="shared" si="182"/>
        <v>2080</v>
      </c>
      <c r="AK284">
        <f t="shared" si="183"/>
        <v>208</v>
      </c>
      <c r="AL284">
        <f t="shared" si="184"/>
        <v>35.657142857142858</v>
      </c>
      <c r="AM284">
        <f t="shared" si="200"/>
        <v>3.5657142857142858</v>
      </c>
      <c r="AN284">
        <f t="shared" si="185"/>
        <v>1.5</v>
      </c>
      <c r="AO284">
        <f t="shared" si="186"/>
        <v>1.5</v>
      </c>
      <c r="AP284">
        <f t="shared" si="187"/>
        <v>6</v>
      </c>
      <c r="AQ284">
        <v>402</v>
      </c>
      <c r="AR284">
        <v>5</v>
      </c>
      <c r="BO284" t="s">
        <v>188</v>
      </c>
      <c r="BP284" t="str">
        <f t="shared" si="190"/>
        <v>0</v>
      </c>
    </row>
    <row r="285" spans="1:68" x14ac:dyDescent="0.15">
      <c r="A285">
        <f t="shared" ref="A285:A348" si="205">AR285*1000000+AQ285*1000+C285*10+E285</f>
        <v>5500101</v>
      </c>
      <c r="B285" t="s">
        <v>411</v>
      </c>
      <c r="C285">
        <v>10</v>
      </c>
      <c r="D285">
        <v>5</v>
      </c>
      <c r="E285">
        <v>1</v>
      </c>
      <c r="F285" t="s">
        <v>214</v>
      </c>
      <c r="G285" t="s">
        <v>214</v>
      </c>
      <c r="H285">
        <v>0</v>
      </c>
      <c r="I285" s="2" t="s">
        <v>109</v>
      </c>
      <c r="J285" s="2">
        <f t="shared" si="202"/>
        <v>6</v>
      </c>
      <c r="K285" s="2">
        <f t="shared" si="192"/>
        <v>1.5</v>
      </c>
      <c r="L285" s="2">
        <f t="shared" si="193"/>
        <v>1.5</v>
      </c>
      <c r="M285" s="2">
        <v>10</v>
      </c>
      <c r="N285" s="2">
        <f t="shared" si="194"/>
        <v>291.2</v>
      </c>
      <c r="O285" s="2">
        <f t="shared" si="195"/>
        <v>29.12</v>
      </c>
      <c r="P285" s="2">
        <f t="shared" si="196"/>
        <v>1782.86</v>
      </c>
      <c r="Q285" s="2">
        <f t="shared" si="197"/>
        <v>178.29</v>
      </c>
      <c r="R285" s="2">
        <f t="shared" si="198"/>
        <v>36.4</v>
      </c>
      <c r="S285" s="2">
        <f t="shared" si="199"/>
        <v>3.64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11">
        <v>515003</v>
      </c>
      <c r="Z285" s="12" t="s">
        <v>601</v>
      </c>
      <c r="AA285" s="4">
        <v>1</v>
      </c>
      <c r="AB285" s="4">
        <v>0</v>
      </c>
      <c r="AC285" s="4"/>
      <c r="AD285" s="4">
        <f t="shared" si="203"/>
        <v>13192.349089919999</v>
      </c>
      <c r="AF285" s="1" t="str">
        <f t="shared" si="204"/>
        <v>0</v>
      </c>
      <c r="AG285">
        <v>10</v>
      </c>
      <c r="AH285">
        <f t="shared" ref="AH285:AH348" si="206">INDEX($AV$5:$AV$50,MATCH($AQ285,$AT$5:$AT$50))*$AN285/1.5*$AZ$4*INDEX($AV$87:$BI$87,MATCH($AG285,$AV$86:$BI$86))</f>
        <v>291.19999999999993</v>
      </c>
      <c r="AI285">
        <f t="shared" ref="AI285:AI348" si="207">(INDEX($AV$5:$AV$50,MATCH($AQ285,$AT$5:$AT$50))*$AN285/1.5*$AZ$4*INDEX($AV$87:$BI$87,MATCH($AG285,$AV$86:$BI$86)))*0.1</f>
        <v>29.119999999999994</v>
      </c>
      <c r="AJ285">
        <f t="shared" ref="AJ285:AJ348" si="208">INDEX($AW$5:$AW$50,MATCH($AQ285,$AT$5:$AT$50))*$BA$4*INDEX($AV$87:$BI$87,MATCH($AG285,$AV$86:$BI$86))</f>
        <v>1782.8571428571431</v>
      </c>
      <c r="AK285">
        <f t="shared" ref="AK285:AK348" si="209">(INDEX($AW$5:$AW$50,MATCH($AQ285,$AT$5:$AT$50))*$BA$4*INDEX($AV$87:$BI$87,MATCH($AG285,$AV$86:$BI$86)))*0.1</f>
        <v>178.28571428571433</v>
      </c>
      <c r="AL285">
        <f t="shared" ref="AL285:AL348" si="210">$AH285/INDEX($AX$5:$AX$50,MATCH($AQ285,$AT$5:$AT$50))</f>
        <v>36.399999999999991</v>
      </c>
      <c r="AM285">
        <f t="shared" si="200"/>
        <v>3.6399999999999992</v>
      </c>
      <c r="AN285">
        <f t="shared" ref="AN285:AN348" si="211">INDEX($AY$5:$AY$50,MATCH($AQ285,$AT$5:$AT$50,0))</f>
        <v>1.5</v>
      </c>
      <c r="AO285">
        <f t="shared" ref="AO285:AO348" si="212">ROUND(IF(INDEX($BG$5:$BG$50,MATCH($AQ285,$AT$5:$AT$50,0))&lt;2,INDEX($BG$5:$BG$49,MATCH($AQ285,$AT$5:$AT$49,0))+0.2,2),1)</f>
        <v>1.5</v>
      </c>
      <c r="AP285">
        <f t="shared" ref="AP285:AP348" si="213">INDEX($BC$5:$BC$50,MATCH($AQ285,$AT$5:$AT$50,0))</f>
        <v>6</v>
      </c>
      <c r="AQ285">
        <v>500</v>
      </c>
      <c r="AR285">
        <v>5</v>
      </c>
      <c r="BO285" t="s">
        <v>180</v>
      </c>
      <c r="BP285" t="str">
        <f t="shared" si="190"/>
        <v>2</v>
      </c>
    </row>
    <row r="286" spans="1:68" x14ac:dyDescent="0.15">
      <c r="A286">
        <f t="shared" si="205"/>
        <v>5502101</v>
      </c>
      <c r="B286" t="s">
        <v>115</v>
      </c>
      <c r="C286">
        <v>10</v>
      </c>
      <c r="D286">
        <v>5</v>
      </c>
      <c r="E286">
        <v>1</v>
      </c>
      <c r="F286" t="s">
        <v>215</v>
      </c>
      <c r="G286" t="s">
        <v>215</v>
      </c>
      <c r="H286" s="2">
        <v>0</v>
      </c>
      <c r="I286" s="2" t="s">
        <v>113</v>
      </c>
      <c r="J286" s="2">
        <f t="shared" si="202"/>
        <v>6</v>
      </c>
      <c r="K286" s="2">
        <f t="shared" si="192"/>
        <v>1.4000000000000001</v>
      </c>
      <c r="L286" s="2">
        <f t="shared" si="193"/>
        <v>2</v>
      </c>
      <c r="M286" s="2">
        <v>10</v>
      </c>
      <c r="N286" s="2">
        <f t="shared" si="194"/>
        <v>271.79000000000002</v>
      </c>
      <c r="O286" s="2">
        <f t="shared" si="195"/>
        <v>27.18</v>
      </c>
      <c r="P286" s="2">
        <f t="shared" si="196"/>
        <v>1782.86</v>
      </c>
      <c r="Q286" s="2">
        <f t="shared" si="197"/>
        <v>178.29</v>
      </c>
      <c r="R286" s="2">
        <f t="shared" si="198"/>
        <v>33.97</v>
      </c>
      <c r="S286" s="2">
        <f t="shared" si="199"/>
        <v>3.4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11">
        <v>515023</v>
      </c>
      <c r="Z286" s="12" t="s">
        <v>602</v>
      </c>
      <c r="AA286" s="4">
        <v>1</v>
      </c>
      <c r="AB286" s="4">
        <v>0</v>
      </c>
      <c r="AC286" s="4"/>
      <c r="AD286" s="4">
        <f t="shared" si="203"/>
        <v>13192.952154614997</v>
      </c>
      <c r="AF286" s="1" t="str">
        <f t="shared" si="204"/>
        <v>2</v>
      </c>
      <c r="AG286">
        <v>10</v>
      </c>
      <c r="AH286">
        <f t="shared" si="206"/>
        <v>271.78666666666663</v>
      </c>
      <c r="AI286">
        <f t="shared" si="207"/>
        <v>27.178666666666665</v>
      </c>
      <c r="AJ286">
        <f t="shared" si="208"/>
        <v>1782.8571428571431</v>
      </c>
      <c r="AK286">
        <f t="shared" si="209"/>
        <v>178.28571428571433</v>
      </c>
      <c r="AL286">
        <f t="shared" si="210"/>
        <v>33.973333333333329</v>
      </c>
      <c r="AM286">
        <f t="shared" si="200"/>
        <v>3.3973333333333331</v>
      </c>
      <c r="AN286">
        <f t="shared" si="211"/>
        <v>1.4</v>
      </c>
      <c r="AO286">
        <f t="shared" si="212"/>
        <v>2</v>
      </c>
      <c r="AP286">
        <f t="shared" si="213"/>
        <v>6</v>
      </c>
      <c r="AQ286">
        <v>502</v>
      </c>
      <c r="AR286">
        <v>5</v>
      </c>
      <c r="BO286" t="s">
        <v>173</v>
      </c>
      <c r="BP286" t="str">
        <f t="shared" si="190"/>
        <v>0</v>
      </c>
    </row>
    <row r="287" spans="1:68" x14ac:dyDescent="0.15">
      <c r="A287">
        <f t="shared" si="205"/>
        <v>5601101</v>
      </c>
      <c r="B287" t="s">
        <v>412</v>
      </c>
      <c r="C287">
        <v>10</v>
      </c>
      <c r="D287">
        <v>6</v>
      </c>
      <c r="E287">
        <v>1</v>
      </c>
      <c r="F287" t="s">
        <v>216</v>
      </c>
      <c r="G287" t="s">
        <v>216</v>
      </c>
      <c r="H287">
        <v>0</v>
      </c>
      <c r="I287" s="2" t="s">
        <v>116</v>
      </c>
      <c r="J287" s="2">
        <f t="shared" si="202"/>
        <v>6</v>
      </c>
      <c r="K287" s="2">
        <f t="shared" si="192"/>
        <v>1.5</v>
      </c>
      <c r="L287" s="2">
        <f t="shared" si="193"/>
        <v>2</v>
      </c>
      <c r="M287" s="2">
        <v>10</v>
      </c>
      <c r="N287" s="2">
        <f t="shared" si="194"/>
        <v>322.39999999999998</v>
      </c>
      <c r="O287" s="2">
        <f t="shared" si="195"/>
        <v>32.24</v>
      </c>
      <c r="P287" s="2">
        <f t="shared" si="196"/>
        <v>1610.32</v>
      </c>
      <c r="Q287" s="2">
        <f t="shared" si="197"/>
        <v>161.03</v>
      </c>
      <c r="R287" s="2">
        <f t="shared" si="198"/>
        <v>32.24</v>
      </c>
      <c r="S287" s="2">
        <f t="shared" si="199"/>
        <v>3.22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11">
        <v>516013</v>
      </c>
      <c r="Z287" s="12" t="s">
        <v>603</v>
      </c>
      <c r="AA287" s="4">
        <v>1</v>
      </c>
      <c r="AB287" s="4">
        <v>0</v>
      </c>
      <c r="AC287" s="4"/>
      <c r="AD287" s="4">
        <f t="shared" si="203"/>
        <v>13191.888790079998</v>
      </c>
      <c r="AF287" s="1" t="str">
        <f t="shared" si="204"/>
        <v>1</v>
      </c>
      <c r="AG287">
        <v>10</v>
      </c>
      <c r="AH287">
        <f t="shared" si="206"/>
        <v>322.40000000000003</v>
      </c>
      <c r="AI287">
        <f t="shared" si="207"/>
        <v>32.24</v>
      </c>
      <c r="AJ287">
        <f t="shared" si="208"/>
        <v>1610.3225806451615</v>
      </c>
      <c r="AK287">
        <f t="shared" si="209"/>
        <v>161.03225806451616</v>
      </c>
      <c r="AL287">
        <f t="shared" si="210"/>
        <v>32.24</v>
      </c>
      <c r="AM287">
        <f t="shared" si="200"/>
        <v>3.2240000000000002</v>
      </c>
      <c r="AN287">
        <f t="shared" si="211"/>
        <v>1.5</v>
      </c>
      <c r="AO287">
        <f t="shared" si="212"/>
        <v>2</v>
      </c>
      <c r="AP287">
        <f t="shared" si="213"/>
        <v>6</v>
      </c>
      <c r="AQ287">
        <v>601</v>
      </c>
      <c r="AR287">
        <v>5</v>
      </c>
      <c r="BO287" t="s">
        <v>182</v>
      </c>
      <c r="BP287" t="str">
        <f t="shared" si="190"/>
        <v>2</v>
      </c>
    </row>
    <row r="288" spans="1:68" x14ac:dyDescent="0.15">
      <c r="A288">
        <f t="shared" si="205"/>
        <v>5200102</v>
      </c>
      <c r="B288" t="s">
        <v>160</v>
      </c>
      <c r="C288">
        <v>10</v>
      </c>
      <c r="D288">
        <v>2</v>
      </c>
      <c r="E288">
        <v>2</v>
      </c>
      <c r="F288" t="s">
        <v>217</v>
      </c>
      <c r="G288" t="s">
        <v>217</v>
      </c>
      <c r="H288">
        <v>0</v>
      </c>
      <c r="I288" s="28" t="s">
        <v>715</v>
      </c>
      <c r="J288" s="2">
        <f t="shared" si="202"/>
        <v>3</v>
      </c>
      <c r="K288" s="2">
        <f t="shared" si="192"/>
        <v>1.5</v>
      </c>
      <c r="L288" s="2">
        <f t="shared" si="193"/>
        <v>1.2</v>
      </c>
      <c r="M288" s="2">
        <v>10</v>
      </c>
      <c r="N288" s="2">
        <f t="shared" si="194"/>
        <v>208</v>
      </c>
      <c r="O288" s="2">
        <f t="shared" si="195"/>
        <v>20.8</v>
      </c>
      <c r="P288" s="2">
        <f t="shared" si="196"/>
        <v>2496</v>
      </c>
      <c r="Q288" s="2">
        <f t="shared" si="197"/>
        <v>249.6</v>
      </c>
      <c r="R288" s="2">
        <f t="shared" si="198"/>
        <v>52</v>
      </c>
      <c r="S288" s="2">
        <f t="shared" si="199"/>
        <v>5.2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11">
        <v>522003</v>
      </c>
      <c r="Z288" s="12" t="s">
        <v>604</v>
      </c>
      <c r="AA288" s="4">
        <v>1</v>
      </c>
      <c r="AB288" s="4">
        <v>0</v>
      </c>
      <c r="AC288" s="4"/>
      <c r="AD288" s="4">
        <f t="shared" si="203"/>
        <v>13192.05888</v>
      </c>
      <c r="AF288" s="1" t="str">
        <f t="shared" si="204"/>
        <v>0</v>
      </c>
      <c r="AG288">
        <v>10</v>
      </c>
      <c r="AH288">
        <f t="shared" si="206"/>
        <v>208</v>
      </c>
      <c r="AI288">
        <f t="shared" si="207"/>
        <v>20.8</v>
      </c>
      <c r="AJ288">
        <f t="shared" si="208"/>
        <v>2496</v>
      </c>
      <c r="AK288">
        <f t="shared" si="209"/>
        <v>249.60000000000002</v>
      </c>
      <c r="AL288">
        <f t="shared" si="210"/>
        <v>52</v>
      </c>
      <c r="AM288">
        <f t="shared" si="200"/>
        <v>5.2</v>
      </c>
      <c r="AN288">
        <f t="shared" si="211"/>
        <v>1.5</v>
      </c>
      <c r="AO288">
        <f t="shared" si="212"/>
        <v>1.2</v>
      </c>
      <c r="AP288">
        <f t="shared" si="213"/>
        <v>3</v>
      </c>
      <c r="AQ288">
        <v>200</v>
      </c>
      <c r="AR288">
        <v>5</v>
      </c>
      <c r="BO288" t="s">
        <v>184</v>
      </c>
      <c r="BP288" t="str">
        <f t="shared" si="190"/>
        <v>0</v>
      </c>
    </row>
    <row r="289" spans="1:68" x14ac:dyDescent="0.15">
      <c r="A289">
        <f t="shared" si="205"/>
        <v>5201102</v>
      </c>
      <c r="B289" t="s">
        <v>407</v>
      </c>
      <c r="C289">
        <v>10</v>
      </c>
      <c r="D289">
        <v>2</v>
      </c>
      <c r="E289">
        <v>2</v>
      </c>
      <c r="F289" t="s">
        <v>218</v>
      </c>
      <c r="G289" t="s">
        <v>218</v>
      </c>
      <c r="H289">
        <v>0</v>
      </c>
      <c r="I289" s="28" t="s">
        <v>722</v>
      </c>
      <c r="J289" s="2">
        <f t="shared" si="202"/>
        <v>3</v>
      </c>
      <c r="K289" s="2">
        <f t="shared" si="192"/>
        <v>1.8</v>
      </c>
      <c r="L289" s="2">
        <f t="shared" si="193"/>
        <v>1.8</v>
      </c>
      <c r="M289" s="2">
        <v>10</v>
      </c>
      <c r="N289" s="2">
        <f t="shared" si="194"/>
        <v>199.68</v>
      </c>
      <c r="O289" s="2">
        <f t="shared" si="195"/>
        <v>19.97</v>
      </c>
      <c r="P289" s="2">
        <f t="shared" si="196"/>
        <v>3120</v>
      </c>
      <c r="Q289" s="2">
        <f t="shared" si="197"/>
        <v>312</v>
      </c>
      <c r="R289" s="2">
        <f t="shared" si="198"/>
        <v>66.56</v>
      </c>
      <c r="S289" s="2">
        <f t="shared" si="199"/>
        <v>6.66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11">
        <v>522013</v>
      </c>
      <c r="Z289" s="12" t="s">
        <v>605</v>
      </c>
      <c r="AA289" s="4">
        <v>1</v>
      </c>
      <c r="AB289" s="4">
        <v>0</v>
      </c>
      <c r="AC289" s="4"/>
      <c r="AD289" s="4">
        <f t="shared" si="203"/>
        <v>13193.260079999998</v>
      </c>
      <c r="AF289" s="1" t="str">
        <f t="shared" si="204"/>
        <v>1</v>
      </c>
      <c r="AG289">
        <v>10</v>
      </c>
      <c r="AH289">
        <f t="shared" si="206"/>
        <v>199.68000000000004</v>
      </c>
      <c r="AI289">
        <f t="shared" si="207"/>
        <v>19.968000000000004</v>
      </c>
      <c r="AJ289">
        <f t="shared" si="208"/>
        <v>3120</v>
      </c>
      <c r="AK289">
        <f t="shared" si="209"/>
        <v>312</v>
      </c>
      <c r="AL289">
        <f t="shared" si="210"/>
        <v>66.560000000000016</v>
      </c>
      <c r="AM289">
        <f t="shared" si="200"/>
        <v>6.6560000000000024</v>
      </c>
      <c r="AN289">
        <f t="shared" si="211"/>
        <v>1.8</v>
      </c>
      <c r="AO289">
        <f t="shared" si="212"/>
        <v>1.8</v>
      </c>
      <c r="AP289">
        <f t="shared" si="213"/>
        <v>3</v>
      </c>
      <c r="AQ289">
        <v>201</v>
      </c>
      <c r="AR289">
        <v>5</v>
      </c>
      <c r="BO289" t="s">
        <v>165</v>
      </c>
      <c r="BP289" t="str">
        <f t="shared" si="190"/>
        <v>2</v>
      </c>
    </row>
    <row r="290" spans="1:68" x14ac:dyDescent="0.15">
      <c r="A290">
        <f t="shared" si="205"/>
        <v>5202102</v>
      </c>
      <c r="B290" t="s">
        <v>408</v>
      </c>
      <c r="C290">
        <v>10</v>
      </c>
      <c r="D290">
        <v>2</v>
      </c>
      <c r="E290">
        <v>2</v>
      </c>
      <c r="F290" t="s">
        <v>219</v>
      </c>
      <c r="G290" t="s">
        <v>219</v>
      </c>
      <c r="H290" s="2">
        <v>0</v>
      </c>
      <c r="I290" s="2" t="s">
        <v>96</v>
      </c>
      <c r="J290" s="2">
        <f t="shared" si="202"/>
        <v>3</v>
      </c>
      <c r="K290" s="2">
        <f t="shared" si="192"/>
        <v>1.8</v>
      </c>
      <c r="L290" s="2">
        <f t="shared" si="193"/>
        <v>2</v>
      </c>
      <c r="M290" s="2">
        <v>10</v>
      </c>
      <c r="N290" s="2">
        <f t="shared" si="194"/>
        <v>224.64</v>
      </c>
      <c r="O290" s="2">
        <f t="shared" si="195"/>
        <v>22.46</v>
      </c>
      <c r="P290" s="2">
        <f t="shared" si="196"/>
        <v>2773.33</v>
      </c>
      <c r="Q290" s="2">
        <f t="shared" si="197"/>
        <v>277.33</v>
      </c>
      <c r="R290" s="2">
        <f t="shared" si="198"/>
        <v>44.93</v>
      </c>
      <c r="S290" s="2">
        <f t="shared" si="199"/>
        <v>4.49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11">
        <v>522023</v>
      </c>
      <c r="Z290" s="12" t="s">
        <v>606</v>
      </c>
      <c r="AA290" s="4">
        <v>1</v>
      </c>
      <c r="AB290" s="4">
        <v>0</v>
      </c>
      <c r="AC290" s="4"/>
      <c r="AD290" s="4">
        <f t="shared" si="203"/>
        <v>13189.777851459998</v>
      </c>
      <c r="AF290" s="1" t="str">
        <f t="shared" si="204"/>
        <v>2</v>
      </c>
      <c r="AG290">
        <v>10</v>
      </c>
      <c r="AH290">
        <f t="shared" si="206"/>
        <v>224.64000000000001</v>
      </c>
      <c r="AI290">
        <f t="shared" si="207"/>
        <v>22.464000000000002</v>
      </c>
      <c r="AJ290">
        <f t="shared" si="208"/>
        <v>2773.3333333333335</v>
      </c>
      <c r="AK290">
        <f t="shared" si="209"/>
        <v>277.33333333333337</v>
      </c>
      <c r="AL290">
        <f t="shared" si="210"/>
        <v>44.928000000000004</v>
      </c>
      <c r="AM290">
        <f t="shared" si="200"/>
        <v>4.4928000000000008</v>
      </c>
      <c r="AN290">
        <f t="shared" si="211"/>
        <v>1.8</v>
      </c>
      <c r="AO290">
        <f t="shared" si="212"/>
        <v>2</v>
      </c>
      <c r="AP290">
        <f t="shared" si="213"/>
        <v>3</v>
      </c>
      <c r="AQ290">
        <v>202</v>
      </c>
      <c r="AR290">
        <v>5</v>
      </c>
      <c r="BO290" t="s">
        <v>186</v>
      </c>
      <c r="BP290" t="str">
        <f t="shared" si="190"/>
        <v>0</v>
      </c>
    </row>
    <row r="291" spans="1:68" ht="14.25" customHeight="1" x14ac:dyDescent="0.15">
      <c r="A291">
        <f t="shared" si="205"/>
        <v>5301102</v>
      </c>
      <c r="B291" t="s">
        <v>409</v>
      </c>
      <c r="C291">
        <v>10</v>
      </c>
      <c r="D291">
        <v>3</v>
      </c>
      <c r="E291">
        <v>2</v>
      </c>
      <c r="F291" t="s">
        <v>220</v>
      </c>
      <c r="G291" t="s">
        <v>220</v>
      </c>
      <c r="H291">
        <v>0</v>
      </c>
      <c r="I291" s="2" t="s">
        <v>100</v>
      </c>
      <c r="J291" s="2">
        <f t="shared" si="202"/>
        <v>3</v>
      </c>
      <c r="K291" s="2">
        <f t="shared" si="192"/>
        <v>1.2</v>
      </c>
      <c r="L291" s="2">
        <f t="shared" si="193"/>
        <v>2</v>
      </c>
      <c r="M291" s="2">
        <v>10</v>
      </c>
      <c r="N291" s="2">
        <f t="shared" si="194"/>
        <v>149.76</v>
      </c>
      <c r="O291" s="2">
        <f t="shared" si="195"/>
        <v>14.98</v>
      </c>
      <c r="P291" s="2">
        <f t="shared" si="196"/>
        <v>2773.33</v>
      </c>
      <c r="Q291" s="2">
        <f t="shared" si="197"/>
        <v>277.33</v>
      </c>
      <c r="R291" s="2">
        <f t="shared" si="198"/>
        <v>29.95</v>
      </c>
      <c r="S291" s="2">
        <f t="shared" si="199"/>
        <v>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11">
        <v>523013</v>
      </c>
      <c r="Z291" s="12" t="s">
        <v>607</v>
      </c>
      <c r="AA291" s="4">
        <v>1</v>
      </c>
      <c r="AB291" s="4">
        <v>0</v>
      </c>
      <c r="AC291" s="4"/>
      <c r="AD291" s="4">
        <f t="shared" si="203"/>
        <v>13195.116459209998</v>
      </c>
      <c r="AF291" s="1" t="str">
        <f t="shared" si="204"/>
        <v>1</v>
      </c>
      <c r="AG291">
        <v>10</v>
      </c>
      <c r="AH291">
        <f t="shared" si="206"/>
        <v>149.76000000000002</v>
      </c>
      <c r="AI291">
        <f t="shared" si="207"/>
        <v>14.976000000000003</v>
      </c>
      <c r="AJ291">
        <f t="shared" si="208"/>
        <v>2773.3333333333335</v>
      </c>
      <c r="AK291">
        <f t="shared" si="209"/>
        <v>277.33333333333337</v>
      </c>
      <c r="AL291">
        <f t="shared" si="210"/>
        <v>29.952000000000005</v>
      </c>
      <c r="AM291">
        <f t="shared" si="200"/>
        <v>2.9952000000000005</v>
      </c>
      <c r="AN291">
        <f t="shared" si="211"/>
        <v>1.2</v>
      </c>
      <c r="AO291">
        <f t="shared" si="212"/>
        <v>2</v>
      </c>
      <c r="AP291">
        <f t="shared" si="213"/>
        <v>3</v>
      </c>
      <c r="AQ291">
        <v>301</v>
      </c>
      <c r="AR291">
        <v>5</v>
      </c>
      <c r="BO291" t="s">
        <v>167</v>
      </c>
      <c r="BP291" t="str">
        <f t="shared" si="190"/>
        <v>1</v>
      </c>
    </row>
    <row r="292" spans="1:68" x14ac:dyDescent="0.15">
      <c r="A292">
        <f t="shared" si="205"/>
        <v>5401102</v>
      </c>
      <c r="B292" t="s">
        <v>410</v>
      </c>
      <c r="C292">
        <v>10</v>
      </c>
      <c r="D292">
        <v>4</v>
      </c>
      <c r="E292">
        <v>2</v>
      </c>
      <c r="F292" t="s">
        <v>221</v>
      </c>
      <c r="G292" t="s">
        <v>221</v>
      </c>
      <c r="H292" s="2">
        <v>0</v>
      </c>
      <c r="I292" s="28" t="s">
        <v>716</v>
      </c>
      <c r="J292" s="2">
        <f t="shared" si="202"/>
        <v>6</v>
      </c>
      <c r="K292" s="2">
        <f t="shared" si="192"/>
        <v>1.6</v>
      </c>
      <c r="L292" s="2">
        <f t="shared" si="193"/>
        <v>2</v>
      </c>
      <c r="M292" s="2">
        <v>10</v>
      </c>
      <c r="N292" s="2">
        <f t="shared" si="194"/>
        <v>266.24</v>
      </c>
      <c r="O292" s="2">
        <f t="shared" si="195"/>
        <v>26.62</v>
      </c>
      <c r="P292" s="2">
        <f t="shared" si="196"/>
        <v>2080</v>
      </c>
      <c r="Q292" s="2">
        <f t="shared" si="197"/>
        <v>208</v>
      </c>
      <c r="R292" s="2">
        <f t="shared" si="198"/>
        <v>38.03</v>
      </c>
      <c r="S292" s="2">
        <f t="shared" si="199"/>
        <v>3.8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11">
        <v>524013</v>
      </c>
      <c r="Z292" s="12" t="s">
        <v>608</v>
      </c>
      <c r="AA292" s="4">
        <v>1</v>
      </c>
      <c r="AB292" s="4">
        <v>0</v>
      </c>
      <c r="AC292" s="4"/>
      <c r="AD292" s="4">
        <f t="shared" si="203"/>
        <v>13190.257079999998</v>
      </c>
      <c r="AF292" s="1" t="str">
        <f t="shared" si="204"/>
        <v>1</v>
      </c>
      <c r="AG292">
        <v>10</v>
      </c>
      <c r="AH292">
        <f t="shared" si="206"/>
        <v>266.24</v>
      </c>
      <c r="AI292">
        <f t="shared" si="207"/>
        <v>26.624000000000002</v>
      </c>
      <c r="AJ292">
        <f t="shared" si="208"/>
        <v>2080</v>
      </c>
      <c r="AK292">
        <f t="shared" si="209"/>
        <v>208</v>
      </c>
      <c r="AL292">
        <f t="shared" si="210"/>
        <v>38.034285714285716</v>
      </c>
      <c r="AM292">
        <f t="shared" si="200"/>
        <v>3.8034285714285718</v>
      </c>
      <c r="AN292">
        <f t="shared" si="211"/>
        <v>1.6</v>
      </c>
      <c r="AO292">
        <f t="shared" si="212"/>
        <v>2</v>
      </c>
      <c r="AP292">
        <f t="shared" si="213"/>
        <v>6</v>
      </c>
      <c r="AQ292">
        <v>401</v>
      </c>
      <c r="AR292">
        <v>5</v>
      </c>
      <c r="BO292" t="s">
        <v>159</v>
      </c>
      <c r="BP292" t="str">
        <f t="shared" si="190"/>
        <v>1</v>
      </c>
    </row>
    <row r="293" spans="1:68" x14ac:dyDescent="0.15">
      <c r="A293">
        <f t="shared" si="205"/>
        <v>5402102</v>
      </c>
      <c r="B293" t="s">
        <v>102</v>
      </c>
      <c r="C293">
        <v>10</v>
      </c>
      <c r="D293">
        <v>4</v>
      </c>
      <c r="E293">
        <v>2</v>
      </c>
      <c r="F293" t="s">
        <v>222</v>
      </c>
      <c r="G293" t="s">
        <v>222</v>
      </c>
      <c r="H293">
        <v>0</v>
      </c>
      <c r="I293" s="2" t="s">
        <v>106</v>
      </c>
      <c r="J293" s="2">
        <f t="shared" si="202"/>
        <v>6</v>
      </c>
      <c r="K293" s="2">
        <f t="shared" si="192"/>
        <v>1.5</v>
      </c>
      <c r="L293" s="2">
        <f t="shared" si="193"/>
        <v>1.5</v>
      </c>
      <c r="M293" s="2">
        <v>10</v>
      </c>
      <c r="N293" s="2">
        <f t="shared" si="194"/>
        <v>249.6</v>
      </c>
      <c r="O293" s="2">
        <f t="shared" si="195"/>
        <v>24.96</v>
      </c>
      <c r="P293" s="2">
        <f t="shared" si="196"/>
        <v>2080</v>
      </c>
      <c r="Q293" s="2">
        <f t="shared" si="197"/>
        <v>208</v>
      </c>
      <c r="R293" s="2">
        <f t="shared" si="198"/>
        <v>35.659999999999997</v>
      </c>
      <c r="S293" s="2">
        <f t="shared" si="199"/>
        <v>3.57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11">
        <v>524023</v>
      </c>
      <c r="Z293" s="12" t="s">
        <v>609</v>
      </c>
      <c r="AA293" s="4">
        <v>1</v>
      </c>
      <c r="AB293" s="4">
        <v>0</v>
      </c>
      <c r="AC293" s="4"/>
      <c r="AD293" s="4">
        <f t="shared" si="203"/>
        <v>13192.05888</v>
      </c>
      <c r="AF293" s="1" t="str">
        <f t="shared" si="204"/>
        <v>2</v>
      </c>
      <c r="AG293">
        <v>10</v>
      </c>
      <c r="AH293">
        <f t="shared" si="206"/>
        <v>249.60000000000002</v>
      </c>
      <c r="AI293">
        <f t="shared" si="207"/>
        <v>24.960000000000004</v>
      </c>
      <c r="AJ293">
        <f t="shared" si="208"/>
        <v>2080</v>
      </c>
      <c r="AK293">
        <f t="shared" si="209"/>
        <v>208</v>
      </c>
      <c r="AL293">
        <f t="shared" si="210"/>
        <v>35.657142857142858</v>
      </c>
      <c r="AM293">
        <f t="shared" si="200"/>
        <v>3.5657142857142858</v>
      </c>
      <c r="AN293">
        <f t="shared" si="211"/>
        <v>1.5</v>
      </c>
      <c r="AO293">
        <f t="shared" si="212"/>
        <v>1.5</v>
      </c>
      <c r="AP293">
        <f t="shared" si="213"/>
        <v>6</v>
      </c>
      <c r="AQ293">
        <v>402</v>
      </c>
      <c r="AR293">
        <v>5</v>
      </c>
      <c r="BO293" t="s">
        <v>178</v>
      </c>
      <c r="BP293" t="str">
        <f t="shared" si="190"/>
        <v>2</v>
      </c>
    </row>
    <row r="294" spans="1:68" x14ac:dyDescent="0.15">
      <c r="A294">
        <f t="shared" si="205"/>
        <v>5500102</v>
      </c>
      <c r="B294" t="s">
        <v>411</v>
      </c>
      <c r="C294">
        <v>10</v>
      </c>
      <c r="D294">
        <v>5</v>
      </c>
      <c r="E294">
        <v>2</v>
      </c>
      <c r="F294" t="s">
        <v>223</v>
      </c>
      <c r="G294" t="s">
        <v>223</v>
      </c>
      <c r="H294" s="2">
        <v>0</v>
      </c>
      <c r="I294" s="2" t="s">
        <v>109</v>
      </c>
      <c r="J294" s="2">
        <f t="shared" si="202"/>
        <v>6</v>
      </c>
      <c r="K294" s="2">
        <f t="shared" si="192"/>
        <v>1.5</v>
      </c>
      <c r="L294" s="2">
        <f t="shared" si="193"/>
        <v>1.5</v>
      </c>
      <c r="M294" s="2">
        <v>10</v>
      </c>
      <c r="N294" s="2">
        <f t="shared" si="194"/>
        <v>291.2</v>
      </c>
      <c r="O294" s="2">
        <f t="shared" si="195"/>
        <v>29.12</v>
      </c>
      <c r="P294" s="2">
        <f t="shared" si="196"/>
        <v>1782.86</v>
      </c>
      <c r="Q294" s="2">
        <f t="shared" si="197"/>
        <v>178.29</v>
      </c>
      <c r="R294" s="2">
        <f t="shared" si="198"/>
        <v>36.4</v>
      </c>
      <c r="S294" s="2">
        <f t="shared" si="199"/>
        <v>3.64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11">
        <v>525003</v>
      </c>
      <c r="Z294" s="12" t="s">
        <v>610</v>
      </c>
      <c r="AA294" s="4">
        <v>1</v>
      </c>
      <c r="AB294" s="4">
        <v>0</v>
      </c>
      <c r="AC294" s="4"/>
      <c r="AD294" s="4">
        <f t="shared" si="203"/>
        <v>13192.349089919999</v>
      </c>
      <c r="AF294" s="1" t="str">
        <f t="shared" si="204"/>
        <v>0</v>
      </c>
      <c r="AG294">
        <v>10</v>
      </c>
      <c r="AH294">
        <f t="shared" si="206"/>
        <v>291.19999999999993</v>
      </c>
      <c r="AI294">
        <f t="shared" si="207"/>
        <v>29.119999999999994</v>
      </c>
      <c r="AJ294">
        <f t="shared" si="208"/>
        <v>1782.8571428571431</v>
      </c>
      <c r="AK294">
        <f t="shared" si="209"/>
        <v>178.28571428571433</v>
      </c>
      <c r="AL294">
        <f t="shared" si="210"/>
        <v>36.399999999999991</v>
      </c>
      <c r="AM294">
        <f t="shared" si="200"/>
        <v>3.6399999999999992</v>
      </c>
      <c r="AN294">
        <f t="shared" si="211"/>
        <v>1.5</v>
      </c>
      <c r="AO294">
        <f t="shared" si="212"/>
        <v>1.5</v>
      </c>
      <c r="AP294">
        <f t="shared" si="213"/>
        <v>6</v>
      </c>
      <c r="AQ294">
        <v>500</v>
      </c>
      <c r="AR294">
        <v>5</v>
      </c>
      <c r="BO294" t="s">
        <v>188</v>
      </c>
      <c r="BP294" t="str">
        <f t="shared" si="190"/>
        <v>0</v>
      </c>
    </row>
    <row r="295" spans="1:68" x14ac:dyDescent="0.15">
      <c r="A295">
        <f t="shared" si="205"/>
        <v>5502102</v>
      </c>
      <c r="B295" t="s">
        <v>115</v>
      </c>
      <c r="C295">
        <v>10</v>
      </c>
      <c r="D295">
        <v>5</v>
      </c>
      <c r="E295">
        <v>2</v>
      </c>
      <c r="F295" t="s">
        <v>224</v>
      </c>
      <c r="G295" t="s">
        <v>224</v>
      </c>
      <c r="H295" s="2">
        <v>0</v>
      </c>
      <c r="I295" s="2" t="s">
        <v>113</v>
      </c>
      <c r="J295" s="2">
        <f t="shared" si="202"/>
        <v>6</v>
      </c>
      <c r="K295" s="2">
        <f t="shared" si="192"/>
        <v>1.4000000000000001</v>
      </c>
      <c r="L295" s="2">
        <f t="shared" si="193"/>
        <v>2</v>
      </c>
      <c r="M295" s="2">
        <v>10</v>
      </c>
      <c r="N295" s="2">
        <f t="shared" si="194"/>
        <v>271.79000000000002</v>
      </c>
      <c r="O295" s="2">
        <f t="shared" si="195"/>
        <v>27.18</v>
      </c>
      <c r="P295" s="2">
        <f t="shared" si="196"/>
        <v>1782.86</v>
      </c>
      <c r="Q295" s="2">
        <f t="shared" si="197"/>
        <v>178.29</v>
      </c>
      <c r="R295" s="2">
        <f t="shared" si="198"/>
        <v>33.97</v>
      </c>
      <c r="S295" s="2">
        <f t="shared" si="199"/>
        <v>3.4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11">
        <v>525023</v>
      </c>
      <c r="Z295" s="12" t="s">
        <v>611</v>
      </c>
      <c r="AA295" s="4">
        <v>1</v>
      </c>
      <c r="AB295" s="4">
        <v>0</v>
      </c>
      <c r="AC295" s="4"/>
      <c r="AD295" s="4">
        <f t="shared" si="203"/>
        <v>13192.952154614997</v>
      </c>
      <c r="AF295" s="1" t="str">
        <f t="shared" si="204"/>
        <v>2</v>
      </c>
      <c r="AG295">
        <v>10</v>
      </c>
      <c r="AH295">
        <f t="shared" si="206"/>
        <v>271.78666666666663</v>
      </c>
      <c r="AI295">
        <f t="shared" si="207"/>
        <v>27.178666666666665</v>
      </c>
      <c r="AJ295">
        <f t="shared" si="208"/>
        <v>1782.8571428571431</v>
      </c>
      <c r="AK295">
        <f t="shared" si="209"/>
        <v>178.28571428571433</v>
      </c>
      <c r="AL295">
        <f t="shared" si="210"/>
        <v>33.973333333333329</v>
      </c>
      <c r="AM295">
        <f t="shared" si="200"/>
        <v>3.3973333333333331</v>
      </c>
      <c r="AN295">
        <f t="shared" si="211"/>
        <v>1.4</v>
      </c>
      <c r="AO295">
        <f t="shared" si="212"/>
        <v>2</v>
      </c>
      <c r="AP295">
        <f t="shared" si="213"/>
        <v>6</v>
      </c>
      <c r="AQ295">
        <v>502</v>
      </c>
      <c r="AR295">
        <v>5</v>
      </c>
      <c r="BO295" t="s">
        <v>171</v>
      </c>
      <c r="BP295" t="str">
        <f t="shared" si="190"/>
        <v>1</v>
      </c>
    </row>
    <row r="296" spans="1:68" x14ac:dyDescent="0.15">
      <c r="A296">
        <f t="shared" si="205"/>
        <v>5601102</v>
      </c>
      <c r="B296" t="s">
        <v>412</v>
      </c>
      <c r="C296">
        <v>10</v>
      </c>
      <c r="D296">
        <v>6</v>
      </c>
      <c r="E296">
        <v>2</v>
      </c>
      <c r="F296" t="s">
        <v>225</v>
      </c>
      <c r="G296" t="s">
        <v>225</v>
      </c>
      <c r="H296" s="2">
        <v>0</v>
      </c>
      <c r="I296" s="2" t="s">
        <v>116</v>
      </c>
      <c r="J296" s="2">
        <f t="shared" si="202"/>
        <v>6</v>
      </c>
      <c r="K296" s="2">
        <f t="shared" si="192"/>
        <v>1.5</v>
      </c>
      <c r="L296" s="2">
        <f t="shared" si="193"/>
        <v>2</v>
      </c>
      <c r="M296" s="2">
        <v>10</v>
      </c>
      <c r="N296" s="2">
        <f t="shared" si="194"/>
        <v>322.39999999999998</v>
      </c>
      <c r="O296" s="2">
        <f t="shared" si="195"/>
        <v>32.24</v>
      </c>
      <c r="P296" s="2">
        <f t="shared" si="196"/>
        <v>1610.32</v>
      </c>
      <c r="Q296" s="2">
        <f t="shared" si="197"/>
        <v>161.03</v>
      </c>
      <c r="R296" s="2">
        <f t="shared" si="198"/>
        <v>32.24</v>
      </c>
      <c r="S296" s="2">
        <f t="shared" si="199"/>
        <v>3.22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11">
        <v>526013</v>
      </c>
      <c r="Z296" s="12" t="s">
        <v>612</v>
      </c>
      <c r="AA296" s="4">
        <v>1</v>
      </c>
      <c r="AB296" s="4">
        <v>0</v>
      </c>
      <c r="AC296" s="4"/>
      <c r="AD296" s="4">
        <f t="shared" si="203"/>
        <v>13191.888790079998</v>
      </c>
      <c r="AF296" s="1" t="str">
        <f t="shared" si="204"/>
        <v>1</v>
      </c>
      <c r="AG296">
        <v>10</v>
      </c>
      <c r="AH296">
        <f t="shared" si="206"/>
        <v>322.40000000000003</v>
      </c>
      <c r="AI296">
        <f t="shared" si="207"/>
        <v>32.24</v>
      </c>
      <c r="AJ296">
        <f t="shared" si="208"/>
        <v>1610.3225806451615</v>
      </c>
      <c r="AK296">
        <f t="shared" si="209"/>
        <v>161.03225806451616</v>
      </c>
      <c r="AL296">
        <f t="shared" si="210"/>
        <v>32.24</v>
      </c>
      <c r="AM296">
        <f t="shared" si="200"/>
        <v>3.2240000000000002</v>
      </c>
      <c r="AN296">
        <f t="shared" si="211"/>
        <v>1.5</v>
      </c>
      <c r="AO296">
        <f t="shared" si="212"/>
        <v>2</v>
      </c>
      <c r="AP296">
        <f t="shared" si="213"/>
        <v>6</v>
      </c>
      <c r="AQ296">
        <v>601</v>
      </c>
      <c r="AR296">
        <v>5</v>
      </c>
      <c r="BO296" t="s">
        <v>173</v>
      </c>
      <c r="BP296" t="str">
        <f t="shared" si="190"/>
        <v>0</v>
      </c>
    </row>
    <row r="297" spans="1:68" x14ac:dyDescent="0.15">
      <c r="A297">
        <f t="shared" si="205"/>
        <v>5200103</v>
      </c>
      <c r="B297" t="s">
        <v>160</v>
      </c>
      <c r="C297">
        <v>10</v>
      </c>
      <c r="D297">
        <v>2</v>
      </c>
      <c r="E297">
        <v>3</v>
      </c>
      <c r="F297" t="s">
        <v>226</v>
      </c>
      <c r="G297" t="s">
        <v>226</v>
      </c>
      <c r="H297">
        <v>0</v>
      </c>
      <c r="I297" s="2" t="s">
        <v>78</v>
      </c>
      <c r="J297" s="2">
        <f t="shared" si="202"/>
        <v>3</v>
      </c>
      <c r="K297" s="2">
        <f t="shared" si="192"/>
        <v>1.5</v>
      </c>
      <c r="L297" s="2">
        <f t="shared" si="193"/>
        <v>1.2</v>
      </c>
      <c r="M297" s="2">
        <v>10</v>
      </c>
      <c r="N297" s="2">
        <f t="shared" si="194"/>
        <v>208</v>
      </c>
      <c r="O297" s="2">
        <f t="shared" si="195"/>
        <v>20.8</v>
      </c>
      <c r="P297" s="2">
        <f t="shared" si="196"/>
        <v>2496</v>
      </c>
      <c r="Q297" s="2">
        <f t="shared" si="197"/>
        <v>249.6</v>
      </c>
      <c r="R297" s="2">
        <f t="shared" si="198"/>
        <v>52</v>
      </c>
      <c r="S297" s="2">
        <f t="shared" si="199"/>
        <v>5.2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11">
        <v>532003</v>
      </c>
      <c r="Z297" s="12" t="s">
        <v>613</v>
      </c>
      <c r="AA297" s="4">
        <v>1</v>
      </c>
      <c r="AB297" s="4">
        <v>0</v>
      </c>
      <c r="AC297" s="4"/>
      <c r="AD297" s="4">
        <f t="shared" si="203"/>
        <v>13192.05888</v>
      </c>
      <c r="AF297" s="1" t="str">
        <f t="shared" si="204"/>
        <v>0</v>
      </c>
      <c r="AG297">
        <v>10</v>
      </c>
      <c r="AH297">
        <f t="shared" si="206"/>
        <v>208</v>
      </c>
      <c r="AI297">
        <f t="shared" si="207"/>
        <v>20.8</v>
      </c>
      <c r="AJ297">
        <f t="shared" si="208"/>
        <v>2496</v>
      </c>
      <c r="AK297">
        <f t="shared" si="209"/>
        <v>249.60000000000002</v>
      </c>
      <c r="AL297">
        <f t="shared" si="210"/>
        <v>52</v>
      </c>
      <c r="AM297">
        <f t="shared" si="200"/>
        <v>5.2</v>
      </c>
      <c r="AN297">
        <f t="shared" si="211"/>
        <v>1.5</v>
      </c>
      <c r="AO297">
        <f t="shared" si="212"/>
        <v>1.2</v>
      </c>
      <c r="AP297">
        <f t="shared" si="213"/>
        <v>3</v>
      </c>
      <c r="AQ297">
        <v>200</v>
      </c>
      <c r="AR297">
        <v>5</v>
      </c>
      <c r="BO297" t="s">
        <v>136</v>
      </c>
      <c r="BP297" t="str">
        <f t="shared" si="190"/>
        <v>1</v>
      </c>
    </row>
    <row r="298" spans="1:68" x14ac:dyDescent="0.15">
      <c r="A298">
        <f t="shared" si="205"/>
        <v>5201103</v>
      </c>
      <c r="B298" t="s">
        <v>407</v>
      </c>
      <c r="C298">
        <v>10</v>
      </c>
      <c r="D298">
        <v>2</v>
      </c>
      <c r="E298">
        <v>3</v>
      </c>
      <c r="F298" t="s">
        <v>227</v>
      </c>
      <c r="G298" t="s">
        <v>227</v>
      </c>
      <c r="H298" s="2">
        <v>0</v>
      </c>
      <c r="I298" s="28" t="s">
        <v>746</v>
      </c>
      <c r="J298" s="2">
        <f t="shared" si="202"/>
        <v>3</v>
      </c>
      <c r="K298" s="2">
        <f t="shared" si="192"/>
        <v>1.8</v>
      </c>
      <c r="L298" s="2">
        <f t="shared" si="193"/>
        <v>1.8</v>
      </c>
      <c r="M298" s="2">
        <v>10</v>
      </c>
      <c r="N298" s="2">
        <f t="shared" si="194"/>
        <v>199.68</v>
      </c>
      <c r="O298" s="2">
        <f t="shared" si="195"/>
        <v>19.97</v>
      </c>
      <c r="P298" s="2">
        <f t="shared" si="196"/>
        <v>3120</v>
      </c>
      <c r="Q298" s="2">
        <f t="shared" si="197"/>
        <v>312</v>
      </c>
      <c r="R298" s="2">
        <f t="shared" si="198"/>
        <v>66.56</v>
      </c>
      <c r="S298" s="2">
        <f t="shared" si="199"/>
        <v>6.66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11">
        <v>532013</v>
      </c>
      <c r="Z298" s="12" t="s">
        <v>614</v>
      </c>
      <c r="AA298" s="4">
        <v>1</v>
      </c>
      <c r="AB298" s="4">
        <v>0</v>
      </c>
      <c r="AC298" s="4"/>
      <c r="AD298" s="4">
        <f t="shared" si="203"/>
        <v>13193.260079999998</v>
      </c>
      <c r="AF298" s="1" t="str">
        <f t="shared" si="204"/>
        <v>1</v>
      </c>
      <c r="AG298">
        <v>10</v>
      </c>
      <c r="AH298">
        <f t="shared" si="206"/>
        <v>199.68000000000004</v>
      </c>
      <c r="AI298">
        <f t="shared" si="207"/>
        <v>19.968000000000004</v>
      </c>
      <c r="AJ298">
        <f t="shared" si="208"/>
        <v>3120</v>
      </c>
      <c r="AK298">
        <f t="shared" si="209"/>
        <v>312</v>
      </c>
      <c r="AL298">
        <f t="shared" si="210"/>
        <v>66.560000000000016</v>
      </c>
      <c r="AM298">
        <f t="shared" si="200"/>
        <v>6.6560000000000024</v>
      </c>
      <c r="AN298">
        <f t="shared" si="211"/>
        <v>1.8</v>
      </c>
      <c r="AO298">
        <f t="shared" si="212"/>
        <v>1.8</v>
      </c>
      <c r="AP298">
        <f t="shared" si="213"/>
        <v>3</v>
      </c>
      <c r="AQ298">
        <v>201</v>
      </c>
      <c r="AR298">
        <v>5</v>
      </c>
      <c r="BO298" t="s">
        <v>141</v>
      </c>
      <c r="BP298" t="str">
        <f t="shared" si="190"/>
        <v>1</v>
      </c>
    </row>
    <row r="299" spans="1:68" x14ac:dyDescent="0.15">
      <c r="A299">
        <f t="shared" si="205"/>
        <v>5202103</v>
      </c>
      <c r="B299" t="s">
        <v>408</v>
      </c>
      <c r="C299">
        <v>10</v>
      </c>
      <c r="D299">
        <v>2</v>
      </c>
      <c r="E299">
        <v>3</v>
      </c>
      <c r="F299" t="s">
        <v>228</v>
      </c>
      <c r="G299" t="s">
        <v>228</v>
      </c>
      <c r="H299">
        <v>0</v>
      </c>
      <c r="I299" s="28" t="s">
        <v>717</v>
      </c>
      <c r="J299" s="2">
        <f t="shared" si="202"/>
        <v>3</v>
      </c>
      <c r="K299" s="2">
        <f t="shared" si="192"/>
        <v>1.8</v>
      </c>
      <c r="L299" s="2">
        <f t="shared" si="193"/>
        <v>2</v>
      </c>
      <c r="M299" s="2">
        <v>10</v>
      </c>
      <c r="N299" s="2">
        <f t="shared" si="194"/>
        <v>224.64</v>
      </c>
      <c r="O299" s="2">
        <f t="shared" si="195"/>
        <v>22.46</v>
      </c>
      <c r="P299" s="2">
        <f t="shared" si="196"/>
        <v>2773.33</v>
      </c>
      <c r="Q299" s="2">
        <f t="shared" si="197"/>
        <v>277.33</v>
      </c>
      <c r="R299" s="2">
        <f t="shared" si="198"/>
        <v>44.93</v>
      </c>
      <c r="S299" s="2">
        <f t="shared" si="199"/>
        <v>4.49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11">
        <v>532023</v>
      </c>
      <c r="Z299" s="12" t="s">
        <v>615</v>
      </c>
      <c r="AA299" s="4">
        <v>1</v>
      </c>
      <c r="AB299" s="4">
        <v>0</v>
      </c>
      <c r="AC299" s="4"/>
      <c r="AD299" s="4">
        <f t="shared" si="203"/>
        <v>13189.777851459998</v>
      </c>
      <c r="AF299" s="1" t="str">
        <f t="shared" si="204"/>
        <v>2</v>
      </c>
      <c r="AG299">
        <v>10</v>
      </c>
      <c r="AH299">
        <f t="shared" si="206"/>
        <v>224.64000000000001</v>
      </c>
      <c r="AI299">
        <f t="shared" si="207"/>
        <v>22.464000000000002</v>
      </c>
      <c r="AJ299">
        <f t="shared" si="208"/>
        <v>2773.3333333333335</v>
      </c>
      <c r="AK299">
        <f t="shared" si="209"/>
        <v>277.33333333333337</v>
      </c>
      <c r="AL299">
        <f t="shared" si="210"/>
        <v>44.928000000000004</v>
      </c>
      <c r="AM299">
        <f t="shared" si="200"/>
        <v>4.4928000000000008</v>
      </c>
      <c r="AN299">
        <f t="shared" si="211"/>
        <v>1.8</v>
      </c>
      <c r="AO299">
        <f t="shared" si="212"/>
        <v>2</v>
      </c>
      <c r="AP299">
        <f t="shared" si="213"/>
        <v>3</v>
      </c>
      <c r="AQ299">
        <v>202</v>
      </c>
      <c r="AR299">
        <v>5</v>
      </c>
      <c r="BO299" t="s">
        <v>165</v>
      </c>
      <c r="BP299" t="str">
        <f t="shared" si="190"/>
        <v>2</v>
      </c>
    </row>
    <row r="300" spans="1:68" x14ac:dyDescent="0.15">
      <c r="A300">
        <f t="shared" si="205"/>
        <v>5301103</v>
      </c>
      <c r="B300" t="s">
        <v>409</v>
      </c>
      <c r="C300">
        <v>10</v>
      </c>
      <c r="D300">
        <v>3</v>
      </c>
      <c r="E300">
        <v>3</v>
      </c>
      <c r="F300" t="s">
        <v>229</v>
      </c>
      <c r="G300" t="s">
        <v>229</v>
      </c>
      <c r="H300" s="2">
        <v>0</v>
      </c>
      <c r="I300" s="28" t="s">
        <v>717</v>
      </c>
      <c r="J300" s="2">
        <f t="shared" si="202"/>
        <v>3</v>
      </c>
      <c r="K300" s="2">
        <f t="shared" si="192"/>
        <v>1.2</v>
      </c>
      <c r="L300" s="2">
        <f t="shared" si="193"/>
        <v>2</v>
      </c>
      <c r="M300" s="2">
        <v>10</v>
      </c>
      <c r="N300" s="2">
        <f t="shared" si="194"/>
        <v>149.76</v>
      </c>
      <c r="O300" s="2">
        <f t="shared" si="195"/>
        <v>14.98</v>
      </c>
      <c r="P300" s="2">
        <f t="shared" si="196"/>
        <v>2773.33</v>
      </c>
      <c r="Q300" s="2">
        <f t="shared" si="197"/>
        <v>277.33</v>
      </c>
      <c r="R300" s="2">
        <f t="shared" si="198"/>
        <v>29.95</v>
      </c>
      <c r="S300" s="2">
        <f t="shared" si="199"/>
        <v>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11">
        <v>533013</v>
      </c>
      <c r="Z300" s="12" t="s">
        <v>616</v>
      </c>
      <c r="AA300" s="4">
        <v>1</v>
      </c>
      <c r="AB300" s="4">
        <v>0</v>
      </c>
      <c r="AC300" s="4"/>
      <c r="AD300" s="4">
        <f t="shared" si="203"/>
        <v>13195.116459209998</v>
      </c>
      <c r="AF300" s="1" t="str">
        <f t="shared" si="204"/>
        <v>1</v>
      </c>
      <c r="AG300">
        <v>10</v>
      </c>
      <c r="AH300">
        <f t="shared" si="206"/>
        <v>149.76000000000002</v>
      </c>
      <c r="AI300">
        <f t="shared" si="207"/>
        <v>14.976000000000003</v>
      </c>
      <c r="AJ300">
        <f t="shared" si="208"/>
        <v>2773.3333333333335</v>
      </c>
      <c r="AK300">
        <f t="shared" si="209"/>
        <v>277.33333333333337</v>
      </c>
      <c r="AL300">
        <f t="shared" si="210"/>
        <v>29.952000000000005</v>
      </c>
      <c r="AM300">
        <f t="shared" si="200"/>
        <v>2.9952000000000005</v>
      </c>
      <c r="AN300">
        <f t="shared" si="211"/>
        <v>1.2</v>
      </c>
      <c r="AO300">
        <f t="shared" si="212"/>
        <v>2</v>
      </c>
      <c r="AP300">
        <f t="shared" si="213"/>
        <v>3</v>
      </c>
      <c r="AQ300">
        <v>301</v>
      </c>
      <c r="AR300">
        <v>5</v>
      </c>
      <c r="BO300" t="s">
        <v>167</v>
      </c>
      <c r="BP300" t="str">
        <f t="shared" si="190"/>
        <v>1</v>
      </c>
    </row>
    <row r="301" spans="1:68" x14ac:dyDescent="0.15">
      <c r="A301">
        <f t="shared" si="205"/>
        <v>5401103</v>
      </c>
      <c r="B301" t="s">
        <v>410</v>
      </c>
      <c r="C301">
        <v>10</v>
      </c>
      <c r="D301">
        <v>4</v>
      </c>
      <c r="E301">
        <v>3</v>
      </c>
      <c r="F301" t="s">
        <v>230</v>
      </c>
      <c r="G301" t="s">
        <v>230</v>
      </c>
      <c r="H301">
        <v>0</v>
      </c>
      <c r="I301" s="2" t="s">
        <v>103</v>
      </c>
      <c r="J301" s="2">
        <f t="shared" si="202"/>
        <v>6</v>
      </c>
      <c r="K301" s="2">
        <f t="shared" si="192"/>
        <v>1.6</v>
      </c>
      <c r="L301" s="2">
        <f t="shared" si="193"/>
        <v>2</v>
      </c>
      <c r="M301" s="2">
        <v>10</v>
      </c>
      <c r="N301" s="2">
        <f t="shared" si="194"/>
        <v>266.24</v>
      </c>
      <c r="O301" s="2">
        <f t="shared" si="195"/>
        <v>26.62</v>
      </c>
      <c r="P301" s="2">
        <f t="shared" si="196"/>
        <v>2080</v>
      </c>
      <c r="Q301" s="2">
        <f t="shared" si="197"/>
        <v>208</v>
      </c>
      <c r="R301" s="2">
        <f t="shared" si="198"/>
        <v>38.03</v>
      </c>
      <c r="S301" s="2">
        <f t="shared" si="199"/>
        <v>3.8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11">
        <v>534013</v>
      </c>
      <c r="Z301" s="12" t="s">
        <v>617</v>
      </c>
      <c r="AA301" s="4">
        <v>1</v>
      </c>
      <c r="AB301" s="4">
        <v>0</v>
      </c>
      <c r="AC301" s="4"/>
      <c r="AD301" s="4">
        <f t="shared" si="203"/>
        <v>13190.257079999998</v>
      </c>
      <c r="AF301" s="1" t="str">
        <f t="shared" si="204"/>
        <v>1</v>
      </c>
      <c r="AG301">
        <v>10</v>
      </c>
      <c r="AH301">
        <f t="shared" si="206"/>
        <v>266.24</v>
      </c>
      <c r="AI301">
        <f t="shared" si="207"/>
        <v>26.624000000000002</v>
      </c>
      <c r="AJ301">
        <f t="shared" si="208"/>
        <v>2080</v>
      </c>
      <c r="AK301">
        <f t="shared" si="209"/>
        <v>208</v>
      </c>
      <c r="AL301">
        <f t="shared" si="210"/>
        <v>38.034285714285716</v>
      </c>
      <c r="AM301">
        <f t="shared" si="200"/>
        <v>3.8034285714285718</v>
      </c>
      <c r="AN301">
        <f t="shared" si="211"/>
        <v>1.6</v>
      </c>
      <c r="AO301">
        <f t="shared" si="212"/>
        <v>2</v>
      </c>
      <c r="AP301">
        <f t="shared" si="213"/>
        <v>6</v>
      </c>
      <c r="AQ301">
        <v>401</v>
      </c>
      <c r="AR301">
        <v>5</v>
      </c>
      <c r="BO301" t="s">
        <v>176</v>
      </c>
      <c r="BP301" t="str">
        <f t="shared" si="190"/>
        <v>2</v>
      </c>
    </row>
    <row r="302" spans="1:68" x14ac:dyDescent="0.15">
      <c r="A302">
        <f t="shared" si="205"/>
        <v>5402103</v>
      </c>
      <c r="B302" t="s">
        <v>102</v>
      </c>
      <c r="C302">
        <v>10</v>
      </c>
      <c r="D302">
        <v>4</v>
      </c>
      <c r="E302">
        <v>3</v>
      </c>
      <c r="F302" t="s">
        <v>231</v>
      </c>
      <c r="G302" t="s">
        <v>231</v>
      </c>
      <c r="H302" s="2">
        <v>0</v>
      </c>
      <c r="I302" s="28" t="s">
        <v>718</v>
      </c>
      <c r="J302" s="2">
        <f t="shared" si="202"/>
        <v>6</v>
      </c>
      <c r="K302" s="2">
        <f t="shared" si="192"/>
        <v>1.5</v>
      </c>
      <c r="L302" s="2">
        <f t="shared" si="193"/>
        <v>1.5</v>
      </c>
      <c r="M302" s="2">
        <v>10</v>
      </c>
      <c r="N302" s="2">
        <f t="shared" si="194"/>
        <v>249.6</v>
      </c>
      <c r="O302" s="2">
        <f t="shared" si="195"/>
        <v>24.96</v>
      </c>
      <c r="P302" s="2">
        <f t="shared" si="196"/>
        <v>2080</v>
      </c>
      <c r="Q302" s="2">
        <f t="shared" si="197"/>
        <v>208</v>
      </c>
      <c r="R302" s="2">
        <f t="shared" si="198"/>
        <v>35.659999999999997</v>
      </c>
      <c r="S302" s="2">
        <f t="shared" si="199"/>
        <v>3.57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11">
        <v>534023</v>
      </c>
      <c r="Z302" s="12" t="s">
        <v>618</v>
      </c>
      <c r="AA302" s="4">
        <v>1</v>
      </c>
      <c r="AB302" s="4">
        <v>0</v>
      </c>
      <c r="AC302" s="4"/>
      <c r="AD302" s="4">
        <f t="shared" si="203"/>
        <v>13192.05888</v>
      </c>
      <c r="AF302" s="1" t="str">
        <f t="shared" si="204"/>
        <v>2</v>
      </c>
      <c r="AG302">
        <v>10</v>
      </c>
      <c r="AH302">
        <f t="shared" si="206"/>
        <v>249.60000000000002</v>
      </c>
      <c r="AI302">
        <f t="shared" si="207"/>
        <v>24.960000000000004</v>
      </c>
      <c r="AJ302">
        <f t="shared" si="208"/>
        <v>2080</v>
      </c>
      <c r="AK302">
        <f t="shared" si="209"/>
        <v>208</v>
      </c>
      <c r="AL302">
        <f t="shared" si="210"/>
        <v>35.657142857142858</v>
      </c>
      <c r="AM302">
        <f t="shared" si="200"/>
        <v>3.5657142857142858</v>
      </c>
      <c r="AN302">
        <f t="shared" si="211"/>
        <v>1.5</v>
      </c>
      <c r="AO302">
        <f t="shared" si="212"/>
        <v>1.5</v>
      </c>
      <c r="AP302">
        <f t="shared" si="213"/>
        <v>6</v>
      </c>
      <c r="AQ302">
        <v>402</v>
      </c>
      <c r="AR302">
        <v>5</v>
      </c>
      <c r="BO302" t="s">
        <v>159</v>
      </c>
      <c r="BP302" t="str">
        <f t="shared" si="190"/>
        <v>1</v>
      </c>
    </row>
    <row r="303" spans="1:68" x14ac:dyDescent="0.15">
      <c r="A303">
        <f t="shared" si="205"/>
        <v>5500103</v>
      </c>
      <c r="B303" t="s">
        <v>411</v>
      </c>
      <c r="C303">
        <v>10</v>
      </c>
      <c r="D303">
        <v>5</v>
      </c>
      <c r="E303">
        <v>3</v>
      </c>
      <c r="F303" t="s">
        <v>232</v>
      </c>
      <c r="G303" t="s">
        <v>232</v>
      </c>
      <c r="H303" s="2">
        <v>0</v>
      </c>
      <c r="I303" s="2" t="s">
        <v>109</v>
      </c>
      <c r="J303" s="2">
        <f t="shared" si="202"/>
        <v>6</v>
      </c>
      <c r="K303" s="2">
        <f t="shared" si="192"/>
        <v>1.5</v>
      </c>
      <c r="L303" s="2">
        <f t="shared" si="193"/>
        <v>1.5</v>
      </c>
      <c r="M303" s="2">
        <v>10</v>
      </c>
      <c r="N303" s="2">
        <f t="shared" si="194"/>
        <v>291.2</v>
      </c>
      <c r="O303" s="2">
        <f t="shared" si="195"/>
        <v>29.12</v>
      </c>
      <c r="P303" s="2">
        <f t="shared" si="196"/>
        <v>1782.86</v>
      </c>
      <c r="Q303" s="2">
        <f t="shared" si="197"/>
        <v>178.29</v>
      </c>
      <c r="R303" s="2">
        <f t="shared" si="198"/>
        <v>36.4</v>
      </c>
      <c r="S303" s="2">
        <f t="shared" si="199"/>
        <v>3.64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11">
        <v>535003</v>
      </c>
      <c r="Z303" s="12" t="s">
        <v>619</v>
      </c>
      <c r="AA303" s="4">
        <v>1</v>
      </c>
      <c r="AB303" s="4">
        <v>0</v>
      </c>
      <c r="AC303" s="4"/>
      <c r="AD303" s="4">
        <f t="shared" si="203"/>
        <v>13192.349089919999</v>
      </c>
      <c r="AF303" s="1" t="str">
        <f t="shared" si="204"/>
        <v>0</v>
      </c>
      <c r="AG303">
        <v>10</v>
      </c>
      <c r="AH303">
        <f t="shared" si="206"/>
        <v>291.19999999999993</v>
      </c>
      <c r="AI303">
        <f t="shared" si="207"/>
        <v>29.119999999999994</v>
      </c>
      <c r="AJ303">
        <f t="shared" si="208"/>
        <v>1782.8571428571431</v>
      </c>
      <c r="AK303">
        <f t="shared" si="209"/>
        <v>178.28571428571433</v>
      </c>
      <c r="AL303">
        <f t="shared" si="210"/>
        <v>36.399999999999991</v>
      </c>
      <c r="AM303">
        <f t="shared" si="200"/>
        <v>3.6399999999999992</v>
      </c>
      <c r="AN303">
        <f t="shared" si="211"/>
        <v>1.5</v>
      </c>
      <c r="AO303">
        <f t="shared" si="212"/>
        <v>1.5</v>
      </c>
      <c r="AP303">
        <f t="shared" si="213"/>
        <v>6</v>
      </c>
      <c r="AQ303">
        <v>500</v>
      </c>
      <c r="AR303">
        <v>5</v>
      </c>
    </row>
    <row r="304" spans="1:68" x14ac:dyDescent="0.15">
      <c r="A304">
        <f t="shared" si="205"/>
        <v>5502103</v>
      </c>
      <c r="B304" t="s">
        <v>115</v>
      </c>
      <c r="C304">
        <v>10</v>
      </c>
      <c r="D304">
        <v>5</v>
      </c>
      <c r="E304">
        <v>3</v>
      </c>
      <c r="F304" t="s">
        <v>233</v>
      </c>
      <c r="G304" t="s">
        <v>233</v>
      </c>
      <c r="H304" s="2">
        <v>0</v>
      </c>
      <c r="I304" s="28" t="s">
        <v>719</v>
      </c>
      <c r="J304" s="2">
        <f t="shared" si="202"/>
        <v>6</v>
      </c>
      <c r="K304" s="2">
        <f t="shared" si="192"/>
        <v>1.4000000000000001</v>
      </c>
      <c r="L304" s="2">
        <f t="shared" si="193"/>
        <v>2</v>
      </c>
      <c r="M304" s="2">
        <v>10</v>
      </c>
      <c r="N304" s="2">
        <f t="shared" si="194"/>
        <v>271.79000000000002</v>
      </c>
      <c r="O304" s="2">
        <f t="shared" si="195"/>
        <v>27.18</v>
      </c>
      <c r="P304" s="2">
        <f t="shared" si="196"/>
        <v>1782.86</v>
      </c>
      <c r="Q304" s="2">
        <f t="shared" si="197"/>
        <v>178.29</v>
      </c>
      <c r="R304" s="2">
        <f t="shared" si="198"/>
        <v>33.97</v>
      </c>
      <c r="S304" s="2">
        <f t="shared" si="199"/>
        <v>3.4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11">
        <v>535023</v>
      </c>
      <c r="Z304" s="12" t="s">
        <v>620</v>
      </c>
      <c r="AA304" s="4">
        <v>1</v>
      </c>
      <c r="AB304" s="4">
        <v>0</v>
      </c>
      <c r="AC304" s="4"/>
      <c r="AD304" s="4">
        <f t="shared" si="203"/>
        <v>13192.952154614997</v>
      </c>
      <c r="AF304" s="1" t="str">
        <f t="shared" si="204"/>
        <v>2</v>
      </c>
      <c r="AG304">
        <v>10</v>
      </c>
      <c r="AH304">
        <f t="shared" si="206"/>
        <v>271.78666666666663</v>
      </c>
      <c r="AI304">
        <f t="shared" si="207"/>
        <v>27.178666666666665</v>
      </c>
      <c r="AJ304">
        <f t="shared" si="208"/>
        <v>1782.8571428571431</v>
      </c>
      <c r="AK304">
        <f t="shared" si="209"/>
        <v>178.28571428571433</v>
      </c>
      <c r="AL304">
        <f t="shared" si="210"/>
        <v>33.973333333333329</v>
      </c>
      <c r="AM304">
        <f t="shared" si="200"/>
        <v>3.3973333333333331</v>
      </c>
      <c r="AN304">
        <f t="shared" si="211"/>
        <v>1.4</v>
      </c>
      <c r="AO304">
        <f t="shared" si="212"/>
        <v>2</v>
      </c>
      <c r="AP304">
        <f t="shared" si="213"/>
        <v>6</v>
      </c>
      <c r="AQ304">
        <v>502</v>
      </c>
      <c r="AR304">
        <v>5</v>
      </c>
    </row>
    <row r="305" spans="1:68" x14ac:dyDescent="0.15">
      <c r="A305">
        <f t="shared" si="205"/>
        <v>5601103</v>
      </c>
      <c r="B305" t="s">
        <v>412</v>
      </c>
      <c r="C305">
        <v>10</v>
      </c>
      <c r="D305">
        <v>6</v>
      </c>
      <c r="E305">
        <v>3</v>
      </c>
      <c r="F305" t="s">
        <v>234</v>
      </c>
      <c r="G305" t="s">
        <v>234</v>
      </c>
      <c r="H305">
        <v>0</v>
      </c>
      <c r="I305" s="2" t="s">
        <v>116</v>
      </c>
      <c r="J305" s="2">
        <f t="shared" si="202"/>
        <v>6</v>
      </c>
      <c r="K305" s="2">
        <f t="shared" si="192"/>
        <v>1.5</v>
      </c>
      <c r="L305" s="2">
        <f t="shared" si="193"/>
        <v>2</v>
      </c>
      <c r="M305" s="2">
        <v>10</v>
      </c>
      <c r="N305" s="2">
        <f t="shared" si="194"/>
        <v>322.39999999999998</v>
      </c>
      <c r="O305" s="2">
        <f t="shared" si="195"/>
        <v>32.24</v>
      </c>
      <c r="P305" s="2">
        <f t="shared" si="196"/>
        <v>1610.32</v>
      </c>
      <c r="Q305" s="2">
        <f t="shared" si="197"/>
        <v>161.03</v>
      </c>
      <c r="R305" s="2">
        <f t="shared" si="198"/>
        <v>32.24</v>
      </c>
      <c r="S305" s="2">
        <f t="shared" si="199"/>
        <v>3.22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11">
        <v>536013</v>
      </c>
      <c r="Z305" s="12" t="s">
        <v>621</v>
      </c>
      <c r="AA305" s="4">
        <v>1</v>
      </c>
      <c r="AB305" s="4">
        <v>0</v>
      </c>
      <c r="AC305" s="4"/>
      <c r="AD305" s="4">
        <f t="shared" si="203"/>
        <v>13191.888790079998</v>
      </c>
      <c r="AF305" s="1" t="str">
        <f t="shared" si="204"/>
        <v>1</v>
      </c>
      <c r="AG305">
        <v>10</v>
      </c>
      <c r="AH305">
        <f t="shared" si="206"/>
        <v>322.40000000000003</v>
      </c>
      <c r="AI305">
        <f t="shared" si="207"/>
        <v>32.24</v>
      </c>
      <c r="AJ305">
        <f t="shared" si="208"/>
        <v>1610.3225806451615</v>
      </c>
      <c r="AK305">
        <f t="shared" si="209"/>
        <v>161.03225806451616</v>
      </c>
      <c r="AL305">
        <f t="shared" si="210"/>
        <v>32.24</v>
      </c>
      <c r="AM305">
        <f t="shared" si="200"/>
        <v>3.2240000000000002</v>
      </c>
      <c r="AN305">
        <f t="shared" si="211"/>
        <v>1.5</v>
      </c>
      <c r="AO305">
        <f t="shared" si="212"/>
        <v>2</v>
      </c>
      <c r="AP305">
        <f t="shared" si="213"/>
        <v>6</v>
      </c>
      <c r="AQ305">
        <v>601</v>
      </c>
      <c r="AR305">
        <v>5</v>
      </c>
      <c r="BO305" t="s">
        <v>178</v>
      </c>
      <c r="BP305" t="str">
        <f t="shared" ref="BP305:BP307" si="214">RIGHT(BO305,1)</f>
        <v>2</v>
      </c>
    </row>
    <row r="306" spans="1:68" x14ac:dyDescent="0.15">
      <c r="A306">
        <f t="shared" si="205"/>
        <v>5201104</v>
      </c>
      <c r="B306" t="s">
        <v>407</v>
      </c>
      <c r="C306">
        <v>10</v>
      </c>
      <c r="D306">
        <v>2</v>
      </c>
      <c r="E306">
        <v>4</v>
      </c>
      <c r="F306" t="s">
        <v>706</v>
      </c>
      <c r="G306" t="s">
        <v>706</v>
      </c>
      <c r="H306" s="23">
        <v>0</v>
      </c>
      <c r="I306" s="2" t="s">
        <v>92</v>
      </c>
      <c r="J306" s="2">
        <f t="shared" si="202"/>
        <v>3</v>
      </c>
      <c r="K306" s="2">
        <f t="shared" ref="K306:K369" si="215">FLOOR(AN306/1,0.01)</f>
        <v>1.8</v>
      </c>
      <c r="L306" s="2">
        <f t="shared" ref="L306:L369" si="216">FLOOR(AO306/1,0.01)</f>
        <v>1.8</v>
      </c>
      <c r="M306" s="2">
        <v>11</v>
      </c>
      <c r="N306" s="2">
        <f t="shared" ref="N306:N369" si="217">ROUND(AH306,2)</f>
        <v>199.68</v>
      </c>
      <c r="O306" s="2">
        <f t="shared" ref="O306:O369" si="218">ROUND(AI306,2)</f>
        <v>19.97</v>
      </c>
      <c r="P306" s="2">
        <f t="shared" ref="P306:P369" si="219">ROUND(AJ306,2)</f>
        <v>3120</v>
      </c>
      <c r="Q306" s="2">
        <f t="shared" ref="Q306:Q369" si="220">ROUND(AK306,2)</f>
        <v>312</v>
      </c>
      <c r="R306" s="2">
        <f t="shared" ref="R306:R369" si="221">ROUND(AL306,2)</f>
        <v>66.56</v>
      </c>
      <c r="S306" s="2">
        <f t="shared" ref="S306:S369" si="222">ROUND(AM306,2)</f>
        <v>6.66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11">
        <v>542013</v>
      </c>
      <c r="Z306" s="26" t="s">
        <v>622</v>
      </c>
      <c r="AA306" s="4">
        <v>1</v>
      </c>
      <c r="AB306" s="4">
        <v>0</v>
      </c>
      <c r="AC306" s="4"/>
      <c r="AD306" s="4">
        <f t="shared" si="203"/>
        <v>13193.260079999998</v>
      </c>
      <c r="AF306" s="1" t="str">
        <f t="shared" si="204"/>
        <v>1</v>
      </c>
      <c r="AG306">
        <v>10</v>
      </c>
      <c r="AH306">
        <f t="shared" si="206"/>
        <v>199.68000000000004</v>
      </c>
      <c r="AI306">
        <f t="shared" si="207"/>
        <v>19.968000000000004</v>
      </c>
      <c r="AJ306">
        <f t="shared" si="208"/>
        <v>3120</v>
      </c>
      <c r="AK306">
        <f t="shared" si="209"/>
        <v>312</v>
      </c>
      <c r="AL306">
        <f t="shared" si="210"/>
        <v>66.560000000000016</v>
      </c>
      <c r="AM306">
        <f t="shared" ref="AM306:AM369" si="223">AL306*0.1</f>
        <v>6.6560000000000024</v>
      </c>
      <c r="AN306">
        <f t="shared" si="211"/>
        <v>1.8</v>
      </c>
      <c r="AO306">
        <f t="shared" si="212"/>
        <v>1.8</v>
      </c>
      <c r="AP306">
        <f t="shared" si="213"/>
        <v>3</v>
      </c>
      <c r="AQ306">
        <v>201</v>
      </c>
      <c r="AR306">
        <v>5</v>
      </c>
      <c r="BO306" t="s">
        <v>188</v>
      </c>
      <c r="BP306" t="str">
        <f t="shared" si="214"/>
        <v>0</v>
      </c>
    </row>
    <row r="307" spans="1:68" x14ac:dyDescent="0.15">
      <c r="A307">
        <f t="shared" si="205"/>
        <v>5302104</v>
      </c>
      <c r="B307" t="s">
        <v>143</v>
      </c>
      <c r="C307">
        <v>10</v>
      </c>
      <c r="D307">
        <v>3</v>
      </c>
      <c r="E307">
        <v>4</v>
      </c>
      <c r="F307" s="22" t="s">
        <v>707</v>
      </c>
      <c r="G307" s="22" t="s">
        <v>707</v>
      </c>
      <c r="H307" s="23">
        <v>0</v>
      </c>
      <c r="I307" s="2" t="s">
        <v>157</v>
      </c>
      <c r="J307" s="2">
        <f t="shared" si="202"/>
        <v>3</v>
      </c>
      <c r="K307" s="2">
        <f t="shared" si="215"/>
        <v>1.4000000000000001</v>
      </c>
      <c r="L307" s="2">
        <f t="shared" si="216"/>
        <v>1.7</v>
      </c>
      <c r="M307" s="2">
        <v>12</v>
      </c>
      <c r="N307" s="2">
        <f t="shared" si="217"/>
        <v>174.72</v>
      </c>
      <c r="O307" s="2">
        <f t="shared" si="218"/>
        <v>17.47</v>
      </c>
      <c r="P307" s="2">
        <f t="shared" si="219"/>
        <v>2773.33</v>
      </c>
      <c r="Q307" s="2">
        <f t="shared" si="220"/>
        <v>277.33</v>
      </c>
      <c r="R307" s="2">
        <f t="shared" si="221"/>
        <v>34.94</v>
      </c>
      <c r="S307" s="2">
        <f t="shared" si="222"/>
        <v>3.49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11">
        <v>543023</v>
      </c>
      <c r="Z307" s="26" t="s">
        <v>623</v>
      </c>
      <c r="AA307" s="4">
        <v>1</v>
      </c>
      <c r="AB307" s="4">
        <v>0</v>
      </c>
      <c r="AC307" s="4"/>
      <c r="AD307" s="4">
        <f t="shared" si="203"/>
        <v>13190.540509709999</v>
      </c>
      <c r="AF307" s="1" t="str">
        <f t="shared" si="204"/>
        <v>2</v>
      </c>
      <c r="AG307">
        <v>10</v>
      </c>
      <c r="AH307">
        <f t="shared" si="206"/>
        <v>174.72000000000003</v>
      </c>
      <c r="AI307">
        <f t="shared" si="207"/>
        <v>17.472000000000005</v>
      </c>
      <c r="AJ307">
        <f t="shared" si="208"/>
        <v>2773.3333333333335</v>
      </c>
      <c r="AK307">
        <f t="shared" si="209"/>
        <v>277.33333333333337</v>
      </c>
      <c r="AL307">
        <f t="shared" si="210"/>
        <v>34.944000000000003</v>
      </c>
      <c r="AM307">
        <f t="shared" si="223"/>
        <v>3.4944000000000006</v>
      </c>
      <c r="AN307">
        <f t="shared" si="211"/>
        <v>1.4</v>
      </c>
      <c r="AO307">
        <f t="shared" si="212"/>
        <v>1.7</v>
      </c>
      <c r="AP307">
        <f t="shared" si="213"/>
        <v>3</v>
      </c>
      <c r="AQ307">
        <v>302</v>
      </c>
      <c r="AR307">
        <v>5</v>
      </c>
      <c r="BO307" t="s">
        <v>171</v>
      </c>
      <c r="BP307" t="str">
        <f t="shared" si="214"/>
        <v>1</v>
      </c>
    </row>
    <row r="308" spans="1:68" x14ac:dyDescent="0.15">
      <c r="A308">
        <f t="shared" si="205"/>
        <v>5501104</v>
      </c>
      <c r="B308" t="s">
        <v>413</v>
      </c>
      <c r="C308">
        <v>10</v>
      </c>
      <c r="D308">
        <v>5</v>
      </c>
      <c r="E308">
        <v>4</v>
      </c>
      <c r="F308" t="s">
        <v>235</v>
      </c>
      <c r="G308" t="s">
        <v>235</v>
      </c>
      <c r="H308">
        <v>0</v>
      </c>
      <c r="I308" s="2" t="s">
        <v>144</v>
      </c>
      <c r="J308" s="2">
        <f t="shared" si="202"/>
        <v>6</v>
      </c>
      <c r="K308" s="2">
        <f t="shared" si="215"/>
        <v>1.6</v>
      </c>
      <c r="L308" s="2">
        <f t="shared" si="216"/>
        <v>2</v>
      </c>
      <c r="M308" s="2">
        <v>10</v>
      </c>
      <c r="N308" s="2">
        <f t="shared" si="217"/>
        <v>310.61</v>
      </c>
      <c r="O308" s="2">
        <f t="shared" si="218"/>
        <v>31.06</v>
      </c>
      <c r="P308" s="2">
        <f t="shared" si="219"/>
        <v>1782.86</v>
      </c>
      <c r="Q308" s="2">
        <f t="shared" si="220"/>
        <v>178.29</v>
      </c>
      <c r="R308" s="2">
        <f t="shared" si="221"/>
        <v>38.83</v>
      </c>
      <c r="S308" s="2">
        <f t="shared" si="222"/>
        <v>3.88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11">
        <v>545013</v>
      </c>
      <c r="Z308" s="12" t="s">
        <v>624</v>
      </c>
      <c r="AA308" s="4">
        <v>1</v>
      </c>
      <c r="AB308" s="4">
        <v>0</v>
      </c>
      <c r="AC308" s="4"/>
      <c r="AD308" s="4">
        <f t="shared" si="203"/>
        <v>13191.821408311873</v>
      </c>
      <c r="AF308" s="1" t="str">
        <f t="shared" si="204"/>
        <v>1</v>
      </c>
      <c r="AG308">
        <v>10</v>
      </c>
      <c r="AH308">
        <f t="shared" si="206"/>
        <v>310.61333333333329</v>
      </c>
      <c r="AI308">
        <f t="shared" si="207"/>
        <v>31.06133333333333</v>
      </c>
      <c r="AJ308">
        <f t="shared" si="208"/>
        <v>1782.8571428571431</v>
      </c>
      <c r="AK308">
        <f t="shared" si="209"/>
        <v>178.28571428571433</v>
      </c>
      <c r="AL308">
        <f t="shared" si="210"/>
        <v>38.826666666666661</v>
      </c>
      <c r="AM308">
        <f t="shared" si="223"/>
        <v>3.8826666666666663</v>
      </c>
      <c r="AN308">
        <f t="shared" si="211"/>
        <v>1.6</v>
      </c>
      <c r="AO308">
        <f t="shared" si="212"/>
        <v>2</v>
      </c>
      <c r="AP308">
        <f t="shared" si="213"/>
        <v>6</v>
      </c>
      <c r="AQ308">
        <v>501</v>
      </c>
      <c r="AR308">
        <v>5</v>
      </c>
    </row>
    <row r="309" spans="1:68" x14ac:dyDescent="0.15">
      <c r="A309">
        <f t="shared" si="205"/>
        <v>5600104</v>
      </c>
      <c r="B309" t="s">
        <v>209</v>
      </c>
      <c r="C309">
        <v>10</v>
      </c>
      <c r="D309">
        <v>6</v>
      </c>
      <c r="E309">
        <v>4</v>
      </c>
      <c r="F309" t="s">
        <v>236</v>
      </c>
      <c r="G309" t="s">
        <v>236</v>
      </c>
      <c r="H309" s="2">
        <v>0</v>
      </c>
      <c r="I309" s="2" t="s">
        <v>147</v>
      </c>
      <c r="J309" s="2">
        <f t="shared" si="202"/>
        <v>3</v>
      </c>
      <c r="K309" s="2">
        <f t="shared" si="215"/>
        <v>1.4000000000000001</v>
      </c>
      <c r="L309" s="2">
        <f t="shared" si="216"/>
        <v>1.9000000000000001</v>
      </c>
      <c r="M309" s="2">
        <v>10</v>
      </c>
      <c r="N309" s="2">
        <f t="shared" si="217"/>
        <v>300.91000000000003</v>
      </c>
      <c r="O309" s="2">
        <f t="shared" si="218"/>
        <v>30.09</v>
      </c>
      <c r="P309" s="2">
        <f t="shared" si="219"/>
        <v>1610.32</v>
      </c>
      <c r="Q309" s="2">
        <f t="shared" si="220"/>
        <v>161.03</v>
      </c>
      <c r="R309" s="2">
        <f t="shared" si="221"/>
        <v>30.09</v>
      </c>
      <c r="S309" s="2">
        <f t="shared" si="222"/>
        <v>3.01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11">
        <v>546003</v>
      </c>
      <c r="Z309" s="12" t="s">
        <v>625</v>
      </c>
      <c r="AA309" s="4">
        <v>1</v>
      </c>
      <c r="AB309" s="4">
        <v>0</v>
      </c>
      <c r="AC309" s="4"/>
      <c r="AD309" s="4">
        <f t="shared" si="203"/>
        <v>13191.63637527</v>
      </c>
      <c r="AF309" s="1" t="str">
        <f t="shared" si="204"/>
        <v>0</v>
      </c>
      <c r="AG309">
        <v>10</v>
      </c>
      <c r="AH309">
        <f t="shared" si="206"/>
        <v>300.90666666666664</v>
      </c>
      <c r="AI309">
        <f t="shared" si="207"/>
        <v>30.090666666666664</v>
      </c>
      <c r="AJ309">
        <f t="shared" si="208"/>
        <v>1610.3225806451615</v>
      </c>
      <c r="AK309">
        <f t="shared" si="209"/>
        <v>161.03225806451616</v>
      </c>
      <c r="AL309">
        <f t="shared" si="210"/>
        <v>30.090666666666664</v>
      </c>
      <c r="AM309">
        <f t="shared" si="223"/>
        <v>3.0090666666666666</v>
      </c>
      <c r="AN309">
        <f t="shared" si="211"/>
        <v>1.4</v>
      </c>
      <c r="AO309">
        <f t="shared" si="212"/>
        <v>1.9</v>
      </c>
      <c r="AP309">
        <f t="shared" si="213"/>
        <v>3</v>
      </c>
      <c r="AQ309">
        <v>600</v>
      </c>
      <c r="AR309">
        <v>5</v>
      </c>
      <c r="BO309" t="s">
        <v>136</v>
      </c>
      <c r="BP309" t="str">
        <f t="shared" ref="BP309:BP311" si="224">RIGHT(BO309,1)</f>
        <v>1</v>
      </c>
    </row>
    <row r="310" spans="1:68" x14ac:dyDescent="0.15">
      <c r="A310">
        <f t="shared" si="205"/>
        <v>5602104</v>
      </c>
      <c r="B310" t="s">
        <v>414</v>
      </c>
      <c r="C310">
        <v>10</v>
      </c>
      <c r="D310">
        <v>6</v>
      </c>
      <c r="E310">
        <v>4</v>
      </c>
      <c r="F310" t="s">
        <v>237</v>
      </c>
      <c r="G310" t="s">
        <v>237</v>
      </c>
      <c r="H310" t="s">
        <v>150</v>
      </c>
      <c r="I310" s="2" t="s">
        <v>151</v>
      </c>
      <c r="J310" s="2">
        <f t="shared" si="202"/>
        <v>6</v>
      </c>
      <c r="K310" s="2">
        <f t="shared" si="215"/>
        <v>1.8</v>
      </c>
      <c r="L310" s="2">
        <f t="shared" si="216"/>
        <v>2</v>
      </c>
      <c r="M310" s="2">
        <v>10</v>
      </c>
      <c r="N310" s="2">
        <f t="shared" si="217"/>
        <v>386.88</v>
      </c>
      <c r="O310" s="2">
        <f t="shared" si="218"/>
        <v>38.69</v>
      </c>
      <c r="P310" s="2">
        <f t="shared" si="219"/>
        <v>1610.32</v>
      </c>
      <c r="Q310" s="2">
        <f t="shared" si="220"/>
        <v>161.03</v>
      </c>
      <c r="R310" s="2">
        <f t="shared" si="221"/>
        <v>38.69</v>
      </c>
      <c r="S310" s="2">
        <f t="shared" si="222"/>
        <v>3.87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11">
        <v>546023</v>
      </c>
      <c r="Z310" s="12" t="s">
        <v>626</v>
      </c>
      <c r="AA310" s="4">
        <v>1</v>
      </c>
      <c r="AB310" s="4">
        <v>0</v>
      </c>
      <c r="AC310" s="4"/>
      <c r="AD310" s="4">
        <f t="shared" si="203"/>
        <v>13192.50875628</v>
      </c>
      <c r="AF310" s="1" t="str">
        <f t="shared" si="204"/>
        <v>2</v>
      </c>
      <c r="AG310">
        <v>10</v>
      </c>
      <c r="AH310">
        <f t="shared" si="206"/>
        <v>386.88000000000005</v>
      </c>
      <c r="AI310">
        <f t="shared" si="207"/>
        <v>38.688000000000009</v>
      </c>
      <c r="AJ310">
        <f t="shared" si="208"/>
        <v>1610.3225806451615</v>
      </c>
      <c r="AK310">
        <f t="shared" si="209"/>
        <v>161.03225806451616</v>
      </c>
      <c r="AL310">
        <f t="shared" si="210"/>
        <v>38.688000000000002</v>
      </c>
      <c r="AM310">
        <f t="shared" si="223"/>
        <v>3.8688000000000002</v>
      </c>
      <c r="AN310">
        <f t="shared" si="211"/>
        <v>1.8</v>
      </c>
      <c r="AO310">
        <f t="shared" si="212"/>
        <v>2</v>
      </c>
      <c r="AP310">
        <f t="shared" si="213"/>
        <v>6</v>
      </c>
      <c r="AQ310">
        <v>602</v>
      </c>
      <c r="AR310">
        <v>5</v>
      </c>
      <c r="BO310" t="s">
        <v>182</v>
      </c>
      <c r="BP310" t="str">
        <f t="shared" si="224"/>
        <v>2</v>
      </c>
    </row>
    <row r="311" spans="1:68" x14ac:dyDescent="0.15">
      <c r="A311">
        <f t="shared" si="205"/>
        <v>5202105</v>
      </c>
      <c r="B311" t="s">
        <v>408</v>
      </c>
      <c r="C311">
        <v>10</v>
      </c>
      <c r="D311">
        <v>2</v>
      </c>
      <c r="E311">
        <v>5</v>
      </c>
      <c r="F311" t="s">
        <v>708</v>
      </c>
      <c r="G311" t="s">
        <v>708</v>
      </c>
      <c r="H311" s="22">
        <v>0</v>
      </c>
      <c r="I311" s="2" t="s">
        <v>96</v>
      </c>
      <c r="J311" s="2">
        <f t="shared" si="202"/>
        <v>3</v>
      </c>
      <c r="K311" s="2">
        <f t="shared" si="215"/>
        <v>1.8</v>
      </c>
      <c r="L311" s="2">
        <f t="shared" si="216"/>
        <v>2</v>
      </c>
      <c r="M311" s="2">
        <v>11</v>
      </c>
      <c r="N311" s="2">
        <f t="shared" si="217"/>
        <v>224.64</v>
      </c>
      <c r="O311" s="2">
        <f t="shared" si="218"/>
        <v>22.46</v>
      </c>
      <c r="P311" s="2">
        <f t="shared" si="219"/>
        <v>2773.33</v>
      </c>
      <c r="Q311" s="2">
        <f t="shared" si="220"/>
        <v>277.33</v>
      </c>
      <c r="R311" s="2">
        <f t="shared" si="221"/>
        <v>44.93</v>
      </c>
      <c r="S311" s="2">
        <f t="shared" si="222"/>
        <v>4.49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11">
        <v>552023</v>
      </c>
      <c r="Z311" s="26" t="s">
        <v>627</v>
      </c>
      <c r="AA311" s="4">
        <v>1</v>
      </c>
      <c r="AB311" s="4">
        <v>0</v>
      </c>
      <c r="AC311" s="4"/>
      <c r="AD311" s="4">
        <f t="shared" si="203"/>
        <v>13189.777851459998</v>
      </c>
      <c r="AF311" s="1" t="str">
        <f t="shared" si="204"/>
        <v>2</v>
      </c>
      <c r="AG311">
        <v>10</v>
      </c>
      <c r="AH311">
        <f t="shared" si="206"/>
        <v>224.64000000000001</v>
      </c>
      <c r="AI311">
        <f t="shared" si="207"/>
        <v>22.464000000000002</v>
      </c>
      <c r="AJ311">
        <f t="shared" si="208"/>
        <v>2773.3333333333335</v>
      </c>
      <c r="AK311">
        <f t="shared" si="209"/>
        <v>277.33333333333337</v>
      </c>
      <c r="AL311">
        <f t="shared" si="210"/>
        <v>44.928000000000004</v>
      </c>
      <c r="AM311">
        <f t="shared" si="223"/>
        <v>4.4928000000000008</v>
      </c>
      <c r="AN311">
        <f t="shared" si="211"/>
        <v>1.8</v>
      </c>
      <c r="AO311">
        <f t="shared" si="212"/>
        <v>2</v>
      </c>
      <c r="AP311">
        <f t="shared" si="213"/>
        <v>3</v>
      </c>
      <c r="AQ311">
        <v>202</v>
      </c>
      <c r="AR311">
        <v>5</v>
      </c>
      <c r="BO311" t="s">
        <v>184</v>
      </c>
      <c r="BP311" t="str">
        <f t="shared" si="224"/>
        <v>0</v>
      </c>
    </row>
    <row r="312" spans="1:68" x14ac:dyDescent="0.15">
      <c r="A312">
        <f t="shared" si="205"/>
        <v>5300105</v>
      </c>
      <c r="B312" t="s">
        <v>415</v>
      </c>
      <c r="C312">
        <v>10</v>
      </c>
      <c r="D312">
        <v>3</v>
      </c>
      <c r="E312">
        <v>5</v>
      </c>
      <c r="F312" t="s">
        <v>238</v>
      </c>
      <c r="G312" t="s">
        <v>238</v>
      </c>
      <c r="H312" s="2">
        <v>0</v>
      </c>
      <c r="I312" s="28" t="s">
        <v>720</v>
      </c>
      <c r="J312" s="2">
        <f t="shared" si="202"/>
        <v>3</v>
      </c>
      <c r="K312" s="2">
        <f t="shared" si="215"/>
        <v>1.3</v>
      </c>
      <c r="L312" s="2">
        <f t="shared" si="216"/>
        <v>1.9000000000000001</v>
      </c>
      <c r="M312" s="2">
        <v>12</v>
      </c>
      <c r="N312" s="2">
        <f t="shared" si="217"/>
        <v>162.24</v>
      </c>
      <c r="O312" s="2">
        <f t="shared" si="218"/>
        <v>16.22</v>
      </c>
      <c r="P312" s="2">
        <f t="shared" si="219"/>
        <v>2773.33</v>
      </c>
      <c r="Q312" s="2">
        <f t="shared" si="220"/>
        <v>277.33</v>
      </c>
      <c r="R312" s="2">
        <f t="shared" si="221"/>
        <v>32.450000000000003</v>
      </c>
      <c r="S312" s="2">
        <f t="shared" si="222"/>
        <v>3.24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11">
        <v>553003</v>
      </c>
      <c r="Z312" s="12" t="s">
        <v>628</v>
      </c>
      <c r="AA312" s="4">
        <v>1</v>
      </c>
      <c r="AB312" s="4">
        <v>0</v>
      </c>
      <c r="AC312" s="4"/>
      <c r="AD312" s="4">
        <f t="shared" si="203"/>
        <v>13188.95652719077</v>
      </c>
      <c r="AF312" s="1" t="str">
        <f t="shared" si="204"/>
        <v>0</v>
      </c>
      <c r="AG312">
        <v>10</v>
      </c>
      <c r="AH312">
        <f t="shared" si="206"/>
        <v>162.24000000000004</v>
      </c>
      <c r="AI312">
        <f t="shared" si="207"/>
        <v>16.224000000000004</v>
      </c>
      <c r="AJ312">
        <f t="shared" si="208"/>
        <v>2773.3333333333335</v>
      </c>
      <c r="AK312">
        <f t="shared" si="209"/>
        <v>277.33333333333337</v>
      </c>
      <c r="AL312">
        <f t="shared" si="210"/>
        <v>32.448000000000008</v>
      </c>
      <c r="AM312">
        <f t="shared" si="223"/>
        <v>3.244800000000001</v>
      </c>
      <c r="AN312">
        <f t="shared" si="211"/>
        <v>1.3</v>
      </c>
      <c r="AO312">
        <f t="shared" si="212"/>
        <v>1.9</v>
      </c>
      <c r="AP312">
        <f t="shared" si="213"/>
        <v>3</v>
      </c>
      <c r="AQ312">
        <v>300</v>
      </c>
      <c r="AR312">
        <v>5</v>
      </c>
    </row>
    <row r="313" spans="1:68" x14ac:dyDescent="0.15">
      <c r="A313">
        <f t="shared" si="205"/>
        <v>5302105</v>
      </c>
      <c r="B313" t="s">
        <v>143</v>
      </c>
      <c r="C313">
        <v>10</v>
      </c>
      <c r="D313">
        <v>3</v>
      </c>
      <c r="E313">
        <v>5</v>
      </c>
      <c r="F313" t="s">
        <v>239</v>
      </c>
      <c r="G313" t="s">
        <v>239</v>
      </c>
      <c r="H313" s="2">
        <v>0</v>
      </c>
      <c r="I313" s="2" t="s">
        <v>157</v>
      </c>
      <c r="J313" s="2">
        <f t="shared" si="202"/>
        <v>3</v>
      </c>
      <c r="K313" s="2">
        <f t="shared" si="215"/>
        <v>1.4000000000000001</v>
      </c>
      <c r="L313" s="2">
        <f t="shared" si="216"/>
        <v>1.7</v>
      </c>
      <c r="M313" s="2">
        <v>13</v>
      </c>
      <c r="N313" s="2">
        <f t="shared" si="217"/>
        <v>174.72</v>
      </c>
      <c r="O313" s="2">
        <f t="shared" si="218"/>
        <v>17.47</v>
      </c>
      <c r="P313" s="2">
        <f t="shared" si="219"/>
        <v>2773.33</v>
      </c>
      <c r="Q313" s="2">
        <f t="shared" si="220"/>
        <v>277.33</v>
      </c>
      <c r="R313" s="2">
        <f t="shared" si="221"/>
        <v>34.94</v>
      </c>
      <c r="S313" s="2">
        <f t="shared" si="222"/>
        <v>3.49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11">
        <v>553023</v>
      </c>
      <c r="Z313" s="12" t="s">
        <v>629</v>
      </c>
      <c r="AA313" s="4">
        <v>1</v>
      </c>
      <c r="AB313" s="4">
        <v>0</v>
      </c>
      <c r="AC313" s="4"/>
      <c r="AD313" s="4">
        <f t="shared" si="203"/>
        <v>13190.540509709999</v>
      </c>
      <c r="AF313" s="1" t="str">
        <f t="shared" si="204"/>
        <v>2</v>
      </c>
      <c r="AG313">
        <v>10</v>
      </c>
      <c r="AH313">
        <f t="shared" si="206"/>
        <v>174.72000000000003</v>
      </c>
      <c r="AI313">
        <f t="shared" si="207"/>
        <v>17.472000000000005</v>
      </c>
      <c r="AJ313">
        <f t="shared" si="208"/>
        <v>2773.3333333333335</v>
      </c>
      <c r="AK313">
        <f t="shared" si="209"/>
        <v>277.33333333333337</v>
      </c>
      <c r="AL313">
        <f t="shared" si="210"/>
        <v>34.944000000000003</v>
      </c>
      <c r="AM313">
        <f t="shared" si="223"/>
        <v>3.4944000000000006</v>
      </c>
      <c r="AN313">
        <f t="shared" si="211"/>
        <v>1.4</v>
      </c>
      <c r="AO313">
        <f t="shared" si="212"/>
        <v>1.7</v>
      </c>
      <c r="AP313">
        <f t="shared" si="213"/>
        <v>3</v>
      </c>
      <c r="AQ313">
        <v>302</v>
      </c>
      <c r="AR313">
        <v>5</v>
      </c>
      <c r="BO313" t="s">
        <v>173</v>
      </c>
      <c r="BP313" t="str">
        <f t="shared" ref="BP313:BP339" si="225">RIGHT(BO313,1)</f>
        <v>0</v>
      </c>
    </row>
    <row r="314" spans="1:68" x14ac:dyDescent="0.15">
      <c r="A314">
        <f t="shared" si="205"/>
        <v>5400105</v>
      </c>
      <c r="B314" t="s">
        <v>149</v>
      </c>
      <c r="C314">
        <v>10</v>
      </c>
      <c r="D314">
        <v>4</v>
      </c>
      <c r="E314">
        <v>5</v>
      </c>
      <c r="F314" t="s">
        <v>240</v>
      </c>
      <c r="G314" t="s">
        <v>240</v>
      </c>
      <c r="H314">
        <v>0</v>
      </c>
      <c r="I314" s="2" t="s">
        <v>161</v>
      </c>
      <c r="J314" s="2">
        <f t="shared" si="202"/>
        <v>6</v>
      </c>
      <c r="K314" s="2">
        <f t="shared" si="215"/>
        <v>1.4000000000000001</v>
      </c>
      <c r="L314" s="2">
        <f t="shared" si="216"/>
        <v>1.4000000000000001</v>
      </c>
      <c r="M314" s="2">
        <v>14</v>
      </c>
      <c r="N314" s="2">
        <f t="shared" si="217"/>
        <v>232.96</v>
      </c>
      <c r="O314" s="2">
        <f t="shared" si="218"/>
        <v>23.3</v>
      </c>
      <c r="P314" s="2">
        <f t="shared" si="219"/>
        <v>2080</v>
      </c>
      <c r="Q314" s="2">
        <f t="shared" si="220"/>
        <v>208</v>
      </c>
      <c r="R314" s="2">
        <f t="shared" si="221"/>
        <v>33.28</v>
      </c>
      <c r="S314" s="2">
        <f t="shared" si="222"/>
        <v>3.33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11">
        <v>554003</v>
      </c>
      <c r="Z314" s="12" t="s">
        <v>630</v>
      </c>
      <c r="AA314" s="4">
        <v>1</v>
      </c>
      <c r="AB314" s="4">
        <v>0</v>
      </c>
      <c r="AC314" s="4"/>
      <c r="AD314" s="4">
        <f t="shared" si="203"/>
        <v>13194.118079999998</v>
      </c>
      <c r="AF314" s="1" t="str">
        <f t="shared" si="204"/>
        <v>0</v>
      </c>
      <c r="AG314">
        <v>10</v>
      </c>
      <c r="AH314">
        <f t="shared" si="206"/>
        <v>232.95999999999998</v>
      </c>
      <c r="AI314">
        <f t="shared" si="207"/>
        <v>23.295999999999999</v>
      </c>
      <c r="AJ314">
        <f t="shared" si="208"/>
        <v>2080</v>
      </c>
      <c r="AK314">
        <f t="shared" si="209"/>
        <v>208</v>
      </c>
      <c r="AL314">
        <f t="shared" si="210"/>
        <v>33.279999999999994</v>
      </c>
      <c r="AM314">
        <f t="shared" si="223"/>
        <v>3.3279999999999994</v>
      </c>
      <c r="AN314">
        <f t="shared" si="211"/>
        <v>1.4</v>
      </c>
      <c r="AO314">
        <f t="shared" si="212"/>
        <v>1.4</v>
      </c>
      <c r="AP314">
        <f t="shared" si="213"/>
        <v>6</v>
      </c>
      <c r="AQ314">
        <v>400</v>
      </c>
      <c r="AR314">
        <v>5</v>
      </c>
      <c r="BO314" t="s">
        <v>182</v>
      </c>
      <c r="BP314" t="str">
        <f t="shared" si="225"/>
        <v>2</v>
      </c>
    </row>
    <row r="315" spans="1:68" x14ac:dyDescent="0.15">
      <c r="A315">
        <f t="shared" si="205"/>
        <v>5501105</v>
      </c>
      <c r="B315" t="s">
        <v>413</v>
      </c>
      <c r="C315">
        <v>10</v>
      </c>
      <c r="D315">
        <v>5</v>
      </c>
      <c r="E315">
        <v>5</v>
      </c>
      <c r="F315" t="s">
        <v>709</v>
      </c>
      <c r="G315" t="s">
        <v>709</v>
      </c>
      <c r="H315" s="22">
        <v>0</v>
      </c>
      <c r="I315" s="28" t="s">
        <v>721</v>
      </c>
      <c r="J315" s="2">
        <f t="shared" si="202"/>
        <v>6</v>
      </c>
      <c r="K315" s="2">
        <f t="shared" si="215"/>
        <v>1.6</v>
      </c>
      <c r="L315" s="2">
        <f t="shared" si="216"/>
        <v>2</v>
      </c>
      <c r="M315" s="2">
        <v>15</v>
      </c>
      <c r="N315" s="2">
        <f t="shared" si="217"/>
        <v>310.61</v>
      </c>
      <c r="O315" s="2">
        <f t="shared" si="218"/>
        <v>31.06</v>
      </c>
      <c r="P315" s="2">
        <f t="shared" si="219"/>
        <v>1782.86</v>
      </c>
      <c r="Q315" s="2">
        <f t="shared" si="220"/>
        <v>178.29</v>
      </c>
      <c r="R315" s="2">
        <f t="shared" si="221"/>
        <v>38.83</v>
      </c>
      <c r="S315" s="2">
        <f t="shared" si="222"/>
        <v>3.88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11">
        <v>555013</v>
      </c>
      <c r="Z315" s="26" t="s">
        <v>631</v>
      </c>
      <c r="AA315" s="4">
        <v>1</v>
      </c>
      <c r="AB315" s="4">
        <v>0</v>
      </c>
      <c r="AC315" s="4"/>
      <c r="AD315" s="4">
        <f t="shared" si="203"/>
        <v>13191.821408311873</v>
      </c>
      <c r="AF315" s="1" t="str">
        <f t="shared" si="204"/>
        <v>1</v>
      </c>
      <c r="AG315">
        <v>10</v>
      </c>
      <c r="AH315">
        <f t="shared" si="206"/>
        <v>310.61333333333329</v>
      </c>
      <c r="AI315">
        <f t="shared" si="207"/>
        <v>31.06133333333333</v>
      </c>
      <c r="AJ315">
        <f t="shared" si="208"/>
        <v>1782.8571428571431</v>
      </c>
      <c r="AK315">
        <f t="shared" si="209"/>
        <v>178.28571428571433</v>
      </c>
      <c r="AL315">
        <f t="shared" si="210"/>
        <v>38.826666666666661</v>
      </c>
      <c r="AM315">
        <f t="shared" si="223"/>
        <v>3.8826666666666663</v>
      </c>
      <c r="AN315">
        <f t="shared" si="211"/>
        <v>1.6</v>
      </c>
      <c r="AO315">
        <f t="shared" si="212"/>
        <v>2</v>
      </c>
      <c r="AP315">
        <f t="shared" si="213"/>
        <v>6</v>
      </c>
      <c r="AQ315">
        <v>501</v>
      </c>
      <c r="AR315">
        <v>5</v>
      </c>
      <c r="BO315" t="s">
        <v>184</v>
      </c>
      <c r="BP315" t="str">
        <f t="shared" si="225"/>
        <v>0</v>
      </c>
    </row>
    <row r="316" spans="1:68" x14ac:dyDescent="0.15">
      <c r="A316">
        <f t="shared" si="205"/>
        <v>5200111</v>
      </c>
      <c r="B316" t="s">
        <v>160</v>
      </c>
      <c r="C316">
        <v>11</v>
      </c>
      <c r="D316">
        <v>2</v>
      </c>
      <c r="E316">
        <v>1</v>
      </c>
      <c r="F316" t="s">
        <v>207</v>
      </c>
      <c r="G316" t="s">
        <v>207</v>
      </c>
      <c r="H316" s="2">
        <v>0</v>
      </c>
      <c r="I316" s="28" t="s">
        <v>711</v>
      </c>
      <c r="J316" s="2">
        <f t="shared" si="202"/>
        <v>3</v>
      </c>
      <c r="K316" s="2">
        <f t="shared" si="215"/>
        <v>1.5</v>
      </c>
      <c r="L316" s="2">
        <f t="shared" si="216"/>
        <v>1.2</v>
      </c>
      <c r="M316" s="2">
        <v>10</v>
      </c>
      <c r="N316" s="2">
        <f t="shared" si="217"/>
        <v>224</v>
      </c>
      <c r="O316" s="2">
        <f t="shared" si="218"/>
        <v>22.4</v>
      </c>
      <c r="P316" s="2">
        <f t="shared" si="219"/>
        <v>2688</v>
      </c>
      <c r="Q316" s="2">
        <f t="shared" si="220"/>
        <v>268.8</v>
      </c>
      <c r="R316" s="2">
        <f t="shared" si="221"/>
        <v>56</v>
      </c>
      <c r="S316" s="2">
        <f t="shared" si="222"/>
        <v>5.6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11">
        <v>512003</v>
      </c>
      <c r="Z316" s="12" t="s">
        <v>632</v>
      </c>
      <c r="AA316" s="4">
        <v>1</v>
      </c>
      <c r="AB316" s="4">
        <v>0</v>
      </c>
      <c r="AC316" s="4"/>
      <c r="AD316" s="4">
        <f t="shared" si="203"/>
        <v>15299.665919999999</v>
      </c>
      <c r="AF316" s="1" t="str">
        <f t="shared" si="204"/>
        <v>0</v>
      </c>
      <c r="AG316">
        <v>11</v>
      </c>
      <c r="AH316">
        <f t="shared" si="206"/>
        <v>224</v>
      </c>
      <c r="AI316">
        <f t="shared" si="207"/>
        <v>22.400000000000002</v>
      </c>
      <c r="AJ316">
        <f t="shared" si="208"/>
        <v>2688</v>
      </c>
      <c r="AK316">
        <f t="shared" si="209"/>
        <v>268.8</v>
      </c>
      <c r="AL316">
        <f t="shared" si="210"/>
        <v>56</v>
      </c>
      <c r="AM316">
        <f t="shared" si="223"/>
        <v>5.6000000000000005</v>
      </c>
      <c r="AN316">
        <f t="shared" si="211"/>
        <v>1.5</v>
      </c>
      <c r="AO316">
        <f t="shared" si="212"/>
        <v>1.2</v>
      </c>
      <c r="AP316">
        <f t="shared" si="213"/>
        <v>3</v>
      </c>
      <c r="AQ316">
        <v>200</v>
      </c>
      <c r="AR316">
        <v>5</v>
      </c>
      <c r="BO316" t="s">
        <v>141</v>
      </c>
      <c r="BP316" t="str">
        <f t="shared" si="225"/>
        <v>1</v>
      </c>
    </row>
    <row r="317" spans="1:68" x14ac:dyDescent="0.15">
      <c r="A317">
        <f t="shared" si="205"/>
        <v>5201111</v>
      </c>
      <c r="B317" t="s">
        <v>407</v>
      </c>
      <c r="C317">
        <v>11</v>
      </c>
      <c r="D317">
        <v>2</v>
      </c>
      <c r="E317">
        <v>1</v>
      </c>
      <c r="F317" t="s">
        <v>208</v>
      </c>
      <c r="G317" t="s">
        <v>208</v>
      </c>
      <c r="H317" s="2">
        <v>0</v>
      </c>
      <c r="I317" s="2" t="s">
        <v>92</v>
      </c>
      <c r="J317" s="2">
        <f t="shared" si="202"/>
        <v>3</v>
      </c>
      <c r="K317" s="2">
        <f t="shared" si="215"/>
        <v>1.8</v>
      </c>
      <c r="L317" s="2">
        <f t="shared" si="216"/>
        <v>1.8</v>
      </c>
      <c r="M317" s="2">
        <v>10</v>
      </c>
      <c r="N317" s="2">
        <f t="shared" si="217"/>
        <v>215.04</v>
      </c>
      <c r="O317" s="2">
        <f t="shared" si="218"/>
        <v>21.5</v>
      </c>
      <c r="P317" s="2">
        <f t="shared" si="219"/>
        <v>3360</v>
      </c>
      <c r="Q317" s="2">
        <f t="shared" si="220"/>
        <v>336</v>
      </c>
      <c r="R317" s="2">
        <f t="shared" si="221"/>
        <v>71.680000000000007</v>
      </c>
      <c r="S317" s="2">
        <f t="shared" si="222"/>
        <v>7.17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11">
        <v>512013</v>
      </c>
      <c r="Z317" s="12" t="s">
        <v>633</v>
      </c>
      <c r="AA317" s="4">
        <v>1</v>
      </c>
      <c r="AB317" s="4">
        <v>0</v>
      </c>
      <c r="AC317" s="4"/>
      <c r="AD317" s="4">
        <f t="shared" si="203"/>
        <v>15297.078720000001</v>
      </c>
      <c r="AF317" s="1" t="str">
        <f t="shared" si="204"/>
        <v>1</v>
      </c>
      <c r="AG317">
        <v>11</v>
      </c>
      <c r="AH317">
        <f t="shared" si="206"/>
        <v>215.04000000000002</v>
      </c>
      <c r="AI317">
        <f t="shared" si="207"/>
        <v>21.504000000000005</v>
      </c>
      <c r="AJ317">
        <f t="shared" si="208"/>
        <v>3360</v>
      </c>
      <c r="AK317">
        <f t="shared" si="209"/>
        <v>336</v>
      </c>
      <c r="AL317">
        <f t="shared" si="210"/>
        <v>71.680000000000007</v>
      </c>
      <c r="AM317">
        <f t="shared" si="223"/>
        <v>7.168000000000001</v>
      </c>
      <c r="AN317">
        <f t="shared" si="211"/>
        <v>1.8</v>
      </c>
      <c r="AO317">
        <f t="shared" si="212"/>
        <v>1.8</v>
      </c>
      <c r="AP317">
        <f t="shared" si="213"/>
        <v>3</v>
      </c>
      <c r="AQ317">
        <v>201</v>
      </c>
      <c r="AR317">
        <v>5</v>
      </c>
      <c r="BO317" t="s">
        <v>186</v>
      </c>
      <c r="BP317" t="str">
        <f t="shared" si="225"/>
        <v>0</v>
      </c>
    </row>
    <row r="318" spans="1:68" x14ac:dyDescent="0.15">
      <c r="A318">
        <f t="shared" si="205"/>
        <v>5202111</v>
      </c>
      <c r="B318" t="s">
        <v>408</v>
      </c>
      <c r="C318">
        <v>11</v>
      </c>
      <c r="D318">
        <v>2</v>
      </c>
      <c r="E318">
        <v>1</v>
      </c>
      <c r="F318" t="s">
        <v>210</v>
      </c>
      <c r="G318" t="s">
        <v>210</v>
      </c>
      <c r="H318">
        <v>0</v>
      </c>
      <c r="I318" s="28" t="s">
        <v>712</v>
      </c>
      <c r="J318" s="2">
        <f t="shared" si="202"/>
        <v>3</v>
      </c>
      <c r="K318" s="2">
        <f t="shared" si="215"/>
        <v>1.8</v>
      </c>
      <c r="L318" s="2">
        <f t="shared" si="216"/>
        <v>2</v>
      </c>
      <c r="M318" s="2">
        <v>10</v>
      </c>
      <c r="N318" s="2">
        <f t="shared" si="217"/>
        <v>241.92</v>
      </c>
      <c r="O318" s="2">
        <f t="shared" si="218"/>
        <v>24.19</v>
      </c>
      <c r="P318" s="2">
        <f t="shared" si="219"/>
        <v>2986.67</v>
      </c>
      <c r="Q318" s="2">
        <f t="shared" si="220"/>
        <v>298.67</v>
      </c>
      <c r="R318" s="2">
        <f t="shared" si="221"/>
        <v>48.38</v>
      </c>
      <c r="S318" s="2">
        <f t="shared" si="222"/>
        <v>4.84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11">
        <v>512023</v>
      </c>
      <c r="Z318" s="12" t="s">
        <v>634</v>
      </c>
      <c r="AA318" s="4">
        <v>1</v>
      </c>
      <c r="AB318" s="4">
        <v>0</v>
      </c>
      <c r="AC318" s="4"/>
      <c r="AD318" s="4">
        <f t="shared" si="203"/>
        <v>15298.67282587</v>
      </c>
      <c r="AF318" s="1" t="str">
        <f t="shared" si="204"/>
        <v>2</v>
      </c>
      <c r="AG318">
        <v>11</v>
      </c>
      <c r="AH318">
        <f t="shared" si="206"/>
        <v>241.92</v>
      </c>
      <c r="AI318">
        <f t="shared" si="207"/>
        <v>24.192</v>
      </c>
      <c r="AJ318">
        <f t="shared" si="208"/>
        <v>2986.6666666666665</v>
      </c>
      <c r="AK318">
        <f t="shared" si="209"/>
        <v>298.66666666666669</v>
      </c>
      <c r="AL318">
        <f t="shared" si="210"/>
        <v>48.384</v>
      </c>
      <c r="AM318">
        <f t="shared" si="223"/>
        <v>4.8384</v>
      </c>
      <c r="AN318">
        <f t="shared" si="211"/>
        <v>1.8</v>
      </c>
      <c r="AO318">
        <f t="shared" si="212"/>
        <v>2</v>
      </c>
      <c r="AP318">
        <f t="shared" si="213"/>
        <v>3</v>
      </c>
      <c r="AQ318">
        <v>202</v>
      </c>
      <c r="AR318">
        <v>5</v>
      </c>
      <c r="BO318" t="s">
        <v>176</v>
      </c>
      <c r="BP318" t="str">
        <f t="shared" si="225"/>
        <v>2</v>
      </c>
    </row>
    <row r="319" spans="1:68" x14ac:dyDescent="0.15">
      <c r="A319">
        <f t="shared" si="205"/>
        <v>5301111</v>
      </c>
      <c r="B319" t="s">
        <v>409</v>
      </c>
      <c r="C319">
        <v>11</v>
      </c>
      <c r="D319">
        <v>3</v>
      </c>
      <c r="E319">
        <v>1</v>
      </c>
      <c r="F319" t="s">
        <v>211</v>
      </c>
      <c r="G319" t="s">
        <v>211</v>
      </c>
      <c r="H319" s="2">
        <v>0</v>
      </c>
      <c r="I319" s="28" t="s">
        <v>713</v>
      </c>
      <c r="J319" s="2">
        <f t="shared" si="202"/>
        <v>3</v>
      </c>
      <c r="K319" s="2">
        <f t="shared" si="215"/>
        <v>1.2</v>
      </c>
      <c r="L319" s="2">
        <f t="shared" si="216"/>
        <v>2</v>
      </c>
      <c r="M319" s="2">
        <v>10</v>
      </c>
      <c r="N319" s="2">
        <f t="shared" si="217"/>
        <v>161.28</v>
      </c>
      <c r="O319" s="2">
        <f t="shared" si="218"/>
        <v>16.13</v>
      </c>
      <c r="P319" s="2">
        <f t="shared" si="219"/>
        <v>2986.67</v>
      </c>
      <c r="Q319" s="2">
        <f t="shared" si="220"/>
        <v>298.67</v>
      </c>
      <c r="R319" s="2">
        <f t="shared" si="221"/>
        <v>32.26</v>
      </c>
      <c r="S319" s="2">
        <f t="shared" si="222"/>
        <v>3.23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11">
        <v>513013</v>
      </c>
      <c r="Z319" s="12" t="s">
        <v>635</v>
      </c>
      <c r="AA319" s="4">
        <v>1</v>
      </c>
      <c r="AB319" s="4">
        <v>0</v>
      </c>
      <c r="AC319" s="4"/>
      <c r="AD319" s="4">
        <f t="shared" si="203"/>
        <v>15301.547521994999</v>
      </c>
      <c r="AF319" s="1" t="str">
        <f t="shared" si="204"/>
        <v>1</v>
      </c>
      <c r="AG319">
        <v>11</v>
      </c>
      <c r="AH319">
        <f t="shared" si="206"/>
        <v>161.28</v>
      </c>
      <c r="AI319">
        <f t="shared" si="207"/>
        <v>16.128</v>
      </c>
      <c r="AJ319">
        <f t="shared" si="208"/>
        <v>2986.6666666666665</v>
      </c>
      <c r="AK319">
        <f t="shared" si="209"/>
        <v>298.66666666666669</v>
      </c>
      <c r="AL319">
        <f t="shared" si="210"/>
        <v>32.256</v>
      </c>
      <c r="AM319">
        <f t="shared" si="223"/>
        <v>3.2256</v>
      </c>
      <c r="AN319">
        <f t="shared" si="211"/>
        <v>1.2</v>
      </c>
      <c r="AO319">
        <f t="shared" si="212"/>
        <v>2</v>
      </c>
      <c r="AP319">
        <f t="shared" si="213"/>
        <v>3</v>
      </c>
      <c r="AQ319">
        <v>301</v>
      </c>
      <c r="AR319">
        <v>5</v>
      </c>
      <c r="BO319" t="s">
        <v>169</v>
      </c>
      <c r="BP319" t="str">
        <f t="shared" si="225"/>
        <v>0</v>
      </c>
    </row>
    <row r="320" spans="1:68" x14ac:dyDescent="0.15">
      <c r="A320">
        <f t="shared" si="205"/>
        <v>5401111</v>
      </c>
      <c r="B320" t="s">
        <v>410</v>
      </c>
      <c r="C320">
        <v>11</v>
      </c>
      <c r="D320">
        <v>4</v>
      </c>
      <c r="E320">
        <v>1</v>
      </c>
      <c r="F320" t="s">
        <v>212</v>
      </c>
      <c r="G320" t="s">
        <v>212</v>
      </c>
      <c r="H320" s="2">
        <v>0</v>
      </c>
      <c r="I320" s="2" t="s">
        <v>103</v>
      </c>
      <c r="J320" s="2">
        <f t="shared" si="202"/>
        <v>6</v>
      </c>
      <c r="K320" s="2">
        <f t="shared" si="215"/>
        <v>1.6</v>
      </c>
      <c r="L320" s="2">
        <f t="shared" si="216"/>
        <v>2</v>
      </c>
      <c r="M320" s="2">
        <v>10</v>
      </c>
      <c r="N320" s="2">
        <f t="shared" si="217"/>
        <v>286.72000000000003</v>
      </c>
      <c r="O320" s="2">
        <f t="shared" si="218"/>
        <v>28.67</v>
      </c>
      <c r="P320" s="2">
        <f t="shared" si="219"/>
        <v>2240</v>
      </c>
      <c r="Q320" s="2">
        <f t="shared" si="220"/>
        <v>224</v>
      </c>
      <c r="R320" s="2">
        <f t="shared" si="221"/>
        <v>40.96</v>
      </c>
      <c r="S320" s="2">
        <f t="shared" si="222"/>
        <v>4.0999999999999996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11">
        <v>514013</v>
      </c>
      <c r="Z320" s="12" t="s">
        <v>636</v>
      </c>
      <c r="AA320" s="4">
        <v>1</v>
      </c>
      <c r="AB320" s="4">
        <v>0</v>
      </c>
      <c r="AC320" s="4"/>
      <c r="AD320" s="4">
        <f t="shared" si="203"/>
        <v>15298.695720000002</v>
      </c>
      <c r="AF320" s="1" t="str">
        <f t="shared" si="204"/>
        <v>1</v>
      </c>
      <c r="AG320">
        <v>11</v>
      </c>
      <c r="AH320">
        <f t="shared" si="206"/>
        <v>286.71999999999997</v>
      </c>
      <c r="AI320">
        <f t="shared" si="207"/>
        <v>28.671999999999997</v>
      </c>
      <c r="AJ320">
        <f t="shared" si="208"/>
        <v>2240</v>
      </c>
      <c r="AK320">
        <f t="shared" si="209"/>
        <v>224</v>
      </c>
      <c r="AL320">
        <f t="shared" si="210"/>
        <v>40.959999999999994</v>
      </c>
      <c r="AM320">
        <f t="shared" si="223"/>
        <v>4.0959999999999992</v>
      </c>
      <c r="AN320">
        <f t="shared" si="211"/>
        <v>1.6</v>
      </c>
      <c r="AO320">
        <f t="shared" si="212"/>
        <v>2</v>
      </c>
      <c r="AP320">
        <f t="shared" si="213"/>
        <v>6</v>
      </c>
      <c r="AQ320">
        <v>401</v>
      </c>
      <c r="AR320">
        <v>5</v>
      </c>
      <c r="BO320" t="s">
        <v>178</v>
      </c>
      <c r="BP320" t="str">
        <f t="shared" si="225"/>
        <v>2</v>
      </c>
    </row>
    <row r="321" spans="1:68" x14ac:dyDescent="0.15">
      <c r="A321">
        <f t="shared" si="205"/>
        <v>5402111</v>
      </c>
      <c r="B321" t="s">
        <v>102</v>
      </c>
      <c r="C321">
        <v>11</v>
      </c>
      <c r="D321">
        <v>4</v>
      </c>
      <c r="E321">
        <v>1</v>
      </c>
      <c r="F321" t="s">
        <v>213</v>
      </c>
      <c r="G321" t="s">
        <v>213</v>
      </c>
      <c r="H321">
        <v>0</v>
      </c>
      <c r="I321" s="28" t="s">
        <v>714</v>
      </c>
      <c r="J321" s="2">
        <f t="shared" si="202"/>
        <v>6</v>
      </c>
      <c r="K321" s="2">
        <f t="shared" si="215"/>
        <v>1.5</v>
      </c>
      <c r="L321" s="2">
        <f t="shared" si="216"/>
        <v>1.5</v>
      </c>
      <c r="M321" s="2">
        <v>10</v>
      </c>
      <c r="N321" s="2">
        <f t="shared" si="217"/>
        <v>268.8</v>
      </c>
      <c r="O321" s="2">
        <f t="shared" si="218"/>
        <v>26.88</v>
      </c>
      <c r="P321" s="2">
        <f t="shared" si="219"/>
        <v>2240</v>
      </c>
      <c r="Q321" s="2">
        <f t="shared" si="220"/>
        <v>224</v>
      </c>
      <c r="R321" s="2">
        <f t="shared" si="221"/>
        <v>38.4</v>
      </c>
      <c r="S321" s="2">
        <f t="shared" si="222"/>
        <v>3.84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11">
        <v>514023</v>
      </c>
      <c r="Z321" s="12" t="s">
        <v>637</v>
      </c>
      <c r="AA321" s="4">
        <v>1</v>
      </c>
      <c r="AB321" s="4">
        <v>0</v>
      </c>
      <c r="AC321" s="4"/>
      <c r="AD321" s="4">
        <f t="shared" si="203"/>
        <v>15299.665919999999</v>
      </c>
      <c r="AF321" s="1" t="str">
        <f t="shared" si="204"/>
        <v>2</v>
      </c>
      <c r="AG321">
        <v>11</v>
      </c>
      <c r="AH321">
        <f t="shared" si="206"/>
        <v>268.79999999999995</v>
      </c>
      <c r="AI321">
        <f t="shared" si="207"/>
        <v>26.879999999999995</v>
      </c>
      <c r="AJ321">
        <f t="shared" si="208"/>
        <v>2240</v>
      </c>
      <c r="AK321">
        <f t="shared" si="209"/>
        <v>224</v>
      </c>
      <c r="AL321">
        <f t="shared" si="210"/>
        <v>38.399999999999991</v>
      </c>
      <c r="AM321">
        <f t="shared" si="223"/>
        <v>3.8399999999999994</v>
      </c>
      <c r="AN321">
        <f t="shared" si="211"/>
        <v>1.5</v>
      </c>
      <c r="AO321">
        <f t="shared" si="212"/>
        <v>1.5</v>
      </c>
      <c r="AP321">
        <f t="shared" si="213"/>
        <v>6</v>
      </c>
      <c r="AQ321">
        <v>402</v>
      </c>
      <c r="AR321">
        <v>5</v>
      </c>
      <c r="BO321" t="s">
        <v>188</v>
      </c>
      <c r="BP321" t="str">
        <f t="shared" si="225"/>
        <v>0</v>
      </c>
    </row>
    <row r="322" spans="1:68" x14ac:dyDescent="0.15">
      <c r="A322">
        <f t="shared" si="205"/>
        <v>5500111</v>
      </c>
      <c r="B322" t="s">
        <v>411</v>
      </c>
      <c r="C322">
        <v>11</v>
      </c>
      <c r="D322">
        <v>5</v>
      </c>
      <c r="E322">
        <v>1</v>
      </c>
      <c r="F322" t="s">
        <v>214</v>
      </c>
      <c r="G322" t="s">
        <v>214</v>
      </c>
      <c r="H322">
        <v>0</v>
      </c>
      <c r="I322" s="2" t="s">
        <v>109</v>
      </c>
      <c r="J322" s="2">
        <f t="shared" si="202"/>
        <v>6</v>
      </c>
      <c r="K322" s="2">
        <f t="shared" si="215"/>
        <v>1.5</v>
      </c>
      <c r="L322" s="2">
        <f t="shared" si="216"/>
        <v>1.5</v>
      </c>
      <c r="M322" s="2">
        <v>10</v>
      </c>
      <c r="N322" s="2">
        <f t="shared" si="217"/>
        <v>313.60000000000002</v>
      </c>
      <c r="O322" s="2">
        <f t="shared" si="218"/>
        <v>31.36</v>
      </c>
      <c r="P322" s="2">
        <f t="shared" si="219"/>
        <v>1920</v>
      </c>
      <c r="Q322" s="2">
        <f t="shared" si="220"/>
        <v>192</v>
      </c>
      <c r="R322" s="2">
        <f t="shared" si="221"/>
        <v>39.200000000000003</v>
      </c>
      <c r="S322" s="2">
        <f t="shared" si="222"/>
        <v>3.92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11">
        <v>515003</v>
      </c>
      <c r="Z322" s="12" t="s">
        <v>638</v>
      </c>
      <c r="AA322" s="4">
        <v>1</v>
      </c>
      <c r="AB322" s="4">
        <v>0</v>
      </c>
      <c r="AC322" s="4"/>
      <c r="AD322" s="4">
        <f t="shared" si="203"/>
        <v>15299.665919999999</v>
      </c>
      <c r="AF322" s="1" t="str">
        <f t="shared" si="204"/>
        <v>0</v>
      </c>
      <c r="AG322">
        <v>11</v>
      </c>
      <c r="AH322">
        <f t="shared" si="206"/>
        <v>313.59999999999991</v>
      </c>
      <c r="AI322">
        <f t="shared" si="207"/>
        <v>31.359999999999992</v>
      </c>
      <c r="AJ322">
        <f t="shared" si="208"/>
        <v>1920</v>
      </c>
      <c r="AK322">
        <f t="shared" si="209"/>
        <v>192</v>
      </c>
      <c r="AL322">
        <f t="shared" si="210"/>
        <v>39.199999999999989</v>
      </c>
      <c r="AM322">
        <f t="shared" si="223"/>
        <v>3.919999999999999</v>
      </c>
      <c r="AN322">
        <f t="shared" si="211"/>
        <v>1.5</v>
      </c>
      <c r="AO322">
        <f t="shared" si="212"/>
        <v>1.5</v>
      </c>
      <c r="AP322">
        <f t="shared" si="213"/>
        <v>6</v>
      </c>
      <c r="AQ322">
        <v>500</v>
      </c>
      <c r="AR322">
        <v>5</v>
      </c>
      <c r="BO322" t="s">
        <v>180</v>
      </c>
      <c r="BP322" t="str">
        <f t="shared" si="225"/>
        <v>2</v>
      </c>
    </row>
    <row r="323" spans="1:68" x14ac:dyDescent="0.15">
      <c r="A323">
        <f t="shared" si="205"/>
        <v>5502111</v>
      </c>
      <c r="B323" t="s">
        <v>115</v>
      </c>
      <c r="C323">
        <v>11</v>
      </c>
      <c r="D323">
        <v>5</v>
      </c>
      <c r="E323">
        <v>1</v>
      </c>
      <c r="F323" t="s">
        <v>215</v>
      </c>
      <c r="G323" t="s">
        <v>215</v>
      </c>
      <c r="H323" s="2">
        <v>0</v>
      </c>
      <c r="I323" s="2" t="s">
        <v>113</v>
      </c>
      <c r="J323" s="2">
        <f t="shared" si="202"/>
        <v>6</v>
      </c>
      <c r="K323" s="2">
        <f t="shared" si="215"/>
        <v>1.4000000000000001</v>
      </c>
      <c r="L323" s="2">
        <f t="shared" si="216"/>
        <v>2</v>
      </c>
      <c r="M323" s="2">
        <v>10</v>
      </c>
      <c r="N323" s="2">
        <f t="shared" si="217"/>
        <v>292.69</v>
      </c>
      <c r="O323" s="2">
        <f t="shared" si="218"/>
        <v>29.27</v>
      </c>
      <c r="P323" s="2">
        <f t="shared" si="219"/>
        <v>1920</v>
      </c>
      <c r="Q323" s="2">
        <f t="shared" si="220"/>
        <v>192</v>
      </c>
      <c r="R323" s="2">
        <f t="shared" si="221"/>
        <v>36.590000000000003</v>
      </c>
      <c r="S323" s="2">
        <f t="shared" si="222"/>
        <v>3.66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11">
        <v>515023</v>
      </c>
      <c r="Z323" s="12" t="s">
        <v>639</v>
      </c>
      <c r="AA323" s="4">
        <v>1</v>
      </c>
      <c r="AB323" s="4">
        <v>0</v>
      </c>
      <c r="AC323" s="4"/>
      <c r="AD323" s="4">
        <f t="shared" si="203"/>
        <v>15299.966879999998</v>
      </c>
      <c r="AF323" s="1" t="str">
        <f t="shared" si="204"/>
        <v>2</v>
      </c>
      <c r="AG323">
        <v>11</v>
      </c>
      <c r="AH323">
        <f t="shared" si="206"/>
        <v>292.69333333333327</v>
      </c>
      <c r="AI323">
        <f t="shared" si="207"/>
        <v>29.269333333333329</v>
      </c>
      <c r="AJ323">
        <f t="shared" si="208"/>
        <v>1920</v>
      </c>
      <c r="AK323">
        <f t="shared" si="209"/>
        <v>192</v>
      </c>
      <c r="AL323">
        <f t="shared" si="210"/>
        <v>36.586666666666659</v>
      </c>
      <c r="AM323">
        <f t="shared" si="223"/>
        <v>3.6586666666666661</v>
      </c>
      <c r="AN323">
        <f t="shared" si="211"/>
        <v>1.4</v>
      </c>
      <c r="AO323">
        <f t="shared" si="212"/>
        <v>2</v>
      </c>
      <c r="AP323">
        <f t="shared" si="213"/>
        <v>6</v>
      </c>
      <c r="AQ323">
        <v>502</v>
      </c>
      <c r="AR323">
        <v>5</v>
      </c>
      <c r="BO323" t="s">
        <v>173</v>
      </c>
      <c r="BP323" t="str">
        <f t="shared" si="225"/>
        <v>0</v>
      </c>
    </row>
    <row r="324" spans="1:68" x14ac:dyDescent="0.15">
      <c r="A324">
        <f t="shared" si="205"/>
        <v>5601111</v>
      </c>
      <c r="B324" t="s">
        <v>412</v>
      </c>
      <c r="C324">
        <v>11</v>
      </c>
      <c r="D324">
        <v>6</v>
      </c>
      <c r="E324">
        <v>1</v>
      </c>
      <c r="F324" t="s">
        <v>216</v>
      </c>
      <c r="G324" t="s">
        <v>216</v>
      </c>
      <c r="H324">
        <v>0</v>
      </c>
      <c r="I324" s="2" t="s">
        <v>116</v>
      </c>
      <c r="J324" s="2">
        <f t="shared" si="202"/>
        <v>6</v>
      </c>
      <c r="K324" s="2">
        <f t="shared" si="215"/>
        <v>1.5</v>
      </c>
      <c r="L324" s="2">
        <f t="shared" si="216"/>
        <v>2</v>
      </c>
      <c r="M324" s="2">
        <v>10</v>
      </c>
      <c r="N324" s="2">
        <f t="shared" si="217"/>
        <v>347.2</v>
      </c>
      <c r="O324" s="2">
        <f t="shared" si="218"/>
        <v>34.72</v>
      </c>
      <c r="P324" s="2">
        <f t="shared" si="219"/>
        <v>1734.19</v>
      </c>
      <c r="Q324" s="2">
        <f t="shared" si="220"/>
        <v>173.42</v>
      </c>
      <c r="R324" s="2">
        <f t="shared" si="221"/>
        <v>34.72</v>
      </c>
      <c r="S324" s="2">
        <f t="shared" si="222"/>
        <v>3.47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11">
        <v>516013</v>
      </c>
      <c r="Z324" s="12" t="s">
        <v>640</v>
      </c>
      <c r="AA324" s="4">
        <v>1</v>
      </c>
      <c r="AB324" s="4">
        <v>0</v>
      </c>
      <c r="AC324" s="4"/>
      <c r="AD324" s="4">
        <f t="shared" si="203"/>
        <v>15299.714818079998</v>
      </c>
      <c r="AF324" s="1" t="str">
        <f t="shared" si="204"/>
        <v>1</v>
      </c>
      <c r="AG324">
        <v>11</v>
      </c>
      <c r="AH324">
        <f t="shared" si="206"/>
        <v>347.2</v>
      </c>
      <c r="AI324">
        <f t="shared" si="207"/>
        <v>34.72</v>
      </c>
      <c r="AJ324">
        <f t="shared" si="208"/>
        <v>1734.1935483870968</v>
      </c>
      <c r="AK324">
        <f t="shared" si="209"/>
        <v>173.41935483870969</v>
      </c>
      <c r="AL324">
        <f t="shared" si="210"/>
        <v>34.72</v>
      </c>
      <c r="AM324">
        <f t="shared" si="223"/>
        <v>3.472</v>
      </c>
      <c r="AN324">
        <f t="shared" si="211"/>
        <v>1.5</v>
      </c>
      <c r="AO324">
        <f t="shared" si="212"/>
        <v>2</v>
      </c>
      <c r="AP324">
        <f t="shared" si="213"/>
        <v>6</v>
      </c>
      <c r="AQ324">
        <v>601</v>
      </c>
      <c r="AR324">
        <v>5</v>
      </c>
      <c r="BO324" t="s">
        <v>182</v>
      </c>
      <c r="BP324" t="str">
        <f t="shared" si="225"/>
        <v>2</v>
      </c>
    </row>
    <row r="325" spans="1:68" x14ac:dyDescent="0.15">
      <c r="A325">
        <f t="shared" si="205"/>
        <v>5200112</v>
      </c>
      <c r="B325" t="s">
        <v>160</v>
      </c>
      <c r="C325">
        <v>11</v>
      </c>
      <c r="D325">
        <v>2</v>
      </c>
      <c r="E325">
        <v>2</v>
      </c>
      <c r="F325" t="s">
        <v>217</v>
      </c>
      <c r="G325" t="s">
        <v>217</v>
      </c>
      <c r="H325">
        <v>0</v>
      </c>
      <c r="I325" s="28" t="s">
        <v>715</v>
      </c>
      <c r="J325" s="2">
        <f t="shared" si="202"/>
        <v>3</v>
      </c>
      <c r="K325" s="2">
        <f t="shared" si="215"/>
        <v>1.5</v>
      </c>
      <c r="L325" s="2">
        <f t="shared" si="216"/>
        <v>1.2</v>
      </c>
      <c r="M325" s="2">
        <v>10</v>
      </c>
      <c r="N325" s="2">
        <f t="shared" si="217"/>
        <v>224</v>
      </c>
      <c r="O325" s="2">
        <f t="shared" si="218"/>
        <v>22.4</v>
      </c>
      <c r="P325" s="2">
        <f t="shared" si="219"/>
        <v>2688</v>
      </c>
      <c r="Q325" s="2">
        <f t="shared" si="220"/>
        <v>268.8</v>
      </c>
      <c r="R325" s="2">
        <f t="shared" si="221"/>
        <v>56</v>
      </c>
      <c r="S325" s="2">
        <f t="shared" si="222"/>
        <v>5.6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11">
        <v>522003</v>
      </c>
      <c r="Z325" s="12" t="s">
        <v>641</v>
      </c>
      <c r="AA325" s="4">
        <v>1</v>
      </c>
      <c r="AB325" s="4">
        <v>0</v>
      </c>
      <c r="AC325" s="4"/>
      <c r="AD325" s="4">
        <f t="shared" si="203"/>
        <v>15299.665919999999</v>
      </c>
      <c r="AF325" s="1" t="str">
        <f t="shared" si="204"/>
        <v>0</v>
      </c>
      <c r="AG325">
        <v>11</v>
      </c>
      <c r="AH325">
        <f t="shared" si="206"/>
        <v>224</v>
      </c>
      <c r="AI325">
        <f t="shared" si="207"/>
        <v>22.400000000000002</v>
      </c>
      <c r="AJ325">
        <f t="shared" si="208"/>
        <v>2688</v>
      </c>
      <c r="AK325">
        <f t="shared" si="209"/>
        <v>268.8</v>
      </c>
      <c r="AL325">
        <f t="shared" si="210"/>
        <v>56</v>
      </c>
      <c r="AM325">
        <f t="shared" si="223"/>
        <v>5.6000000000000005</v>
      </c>
      <c r="AN325">
        <f t="shared" si="211"/>
        <v>1.5</v>
      </c>
      <c r="AO325">
        <f t="shared" si="212"/>
        <v>1.2</v>
      </c>
      <c r="AP325">
        <f t="shared" si="213"/>
        <v>3</v>
      </c>
      <c r="AQ325">
        <v>200</v>
      </c>
      <c r="AR325">
        <v>5</v>
      </c>
      <c r="BO325" t="s">
        <v>184</v>
      </c>
      <c r="BP325" t="str">
        <f t="shared" si="225"/>
        <v>0</v>
      </c>
    </row>
    <row r="326" spans="1:68" x14ac:dyDescent="0.15">
      <c r="A326">
        <f t="shared" si="205"/>
        <v>5201112</v>
      </c>
      <c r="B326" t="s">
        <v>407</v>
      </c>
      <c r="C326">
        <v>11</v>
      </c>
      <c r="D326">
        <v>2</v>
      </c>
      <c r="E326">
        <v>2</v>
      </c>
      <c r="F326" t="s">
        <v>218</v>
      </c>
      <c r="G326" t="s">
        <v>218</v>
      </c>
      <c r="H326">
        <v>0</v>
      </c>
      <c r="I326" s="28" t="s">
        <v>722</v>
      </c>
      <c r="J326" s="2">
        <f t="shared" si="202"/>
        <v>3</v>
      </c>
      <c r="K326" s="2">
        <f t="shared" si="215"/>
        <v>1.8</v>
      </c>
      <c r="L326" s="2">
        <f t="shared" si="216"/>
        <v>1.8</v>
      </c>
      <c r="M326" s="2">
        <v>10</v>
      </c>
      <c r="N326" s="2">
        <f t="shared" si="217"/>
        <v>215.04</v>
      </c>
      <c r="O326" s="2">
        <f t="shared" si="218"/>
        <v>21.5</v>
      </c>
      <c r="P326" s="2">
        <f t="shared" si="219"/>
        <v>3360</v>
      </c>
      <c r="Q326" s="2">
        <f t="shared" si="220"/>
        <v>336</v>
      </c>
      <c r="R326" s="2">
        <f t="shared" si="221"/>
        <v>71.680000000000007</v>
      </c>
      <c r="S326" s="2">
        <f t="shared" si="222"/>
        <v>7.17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11">
        <v>522013</v>
      </c>
      <c r="Z326" s="12" t="s">
        <v>642</v>
      </c>
      <c r="AA326" s="4">
        <v>1</v>
      </c>
      <c r="AB326" s="4">
        <v>0</v>
      </c>
      <c r="AC326" s="4"/>
      <c r="AD326" s="4">
        <f t="shared" si="203"/>
        <v>15297.078720000001</v>
      </c>
      <c r="AF326" s="1" t="str">
        <f t="shared" si="204"/>
        <v>1</v>
      </c>
      <c r="AG326">
        <v>11</v>
      </c>
      <c r="AH326">
        <f t="shared" si="206"/>
        <v>215.04000000000002</v>
      </c>
      <c r="AI326">
        <f t="shared" si="207"/>
        <v>21.504000000000005</v>
      </c>
      <c r="AJ326">
        <f t="shared" si="208"/>
        <v>3360</v>
      </c>
      <c r="AK326">
        <f t="shared" si="209"/>
        <v>336</v>
      </c>
      <c r="AL326">
        <f t="shared" si="210"/>
        <v>71.680000000000007</v>
      </c>
      <c r="AM326">
        <f t="shared" si="223"/>
        <v>7.168000000000001</v>
      </c>
      <c r="AN326">
        <f t="shared" si="211"/>
        <v>1.8</v>
      </c>
      <c r="AO326">
        <f t="shared" si="212"/>
        <v>1.8</v>
      </c>
      <c r="AP326">
        <f t="shared" si="213"/>
        <v>3</v>
      </c>
      <c r="AQ326">
        <v>201</v>
      </c>
      <c r="AR326">
        <v>5</v>
      </c>
      <c r="BO326" t="s">
        <v>165</v>
      </c>
      <c r="BP326" t="str">
        <f t="shared" si="225"/>
        <v>2</v>
      </c>
    </row>
    <row r="327" spans="1:68" x14ac:dyDescent="0.15">
      <c r="A327">
        <f t="shared" si="205"/>
        <v>5202112</v>
      </c>
      <c r="B327" t="s">
        <v>408</v>
      </c>
      <c r="C327">
        <v>11</v>
      </c>
      <c r="D327">
        <v>2</v>
      </c>
      <c r="E327">
        <v>2</v>
      </c>
      <c r="F327" t="s">
        <v>219</v>
      </c>
      <c r="G327" t="s">
        <v>219</v>
      </c>
      <c r="H327" s="2">
        <v>0</v>
      </c>
      <c r="I327" s="2" t="s">
        <v>96</v>
      </c>
      <c r="J327" s="2">
        <f t="shared" si="202"/>
        <v>3</v>
      </c>
      <c r="K327" s="2">
        <f t="shared" si="215"/>
        <v>1.8</v>
      </c>
      <c r="L327" s="2">
        <f t="shared" si="216"/>
        <v>2</v>
      </c>
      <c r="M327" s="2">
        <v>10</v>
      </c>
      <c r="N327" s="2">
        <f t="shared" si="217"/>
        <v>241.92</v>
      </c>
      <c r="O327" s="2">
        <f t="shared" si="218"/>
        <v>24.19</v>
      </c>
      <c r="P327" s="2">
        <f t="shared" si="219"/>
        <v>2986.67</v>
      </c>
      <c r="Q327" s="2">
        <f t="shared" si="220"/>
        <v>298.67</v>
      </c>
      <c r="R327" s="2">
        <f t="shared" si="221"/>
        <v>48.38</v>
      </c>
      <c r="S327" s="2">
        <f t="shared" si="222"/>
        <v>4.84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11">
        <v>522023</v>
      </c>
      <c r="Z327" s="12" t="s">
        <v>643</v>
      </c>
      <c r="AA327" s="4">
        <v>1</v>
      </c>
      <c r="AB327" s="4">
        <v>0</v>
      </c>
      <c r="AC327" s="4"/>
      <c r="AD327" s="4">
        <f t="shared" si="203"/>
        <v>15298.67282587</v>
      </c>
      <c r="AF327" s="1" t="str">
        <f t="shared" si="204"/>
        <v>2</v>
      </c>
      <c r="AG327">
        <v>11</v>
      </c>
      <c r="AH327">
        <f t="shared" si="206"/>
        <v>241.92</v>
      </c>
      <c r="AI327">
        <f t="shared" si="207"/>
        <v>24.192</v>
      </c>
      <c r="AJ327">
        <f t="shared" si="208"/>
        <v>2986.6666666666665</v>
      </c>
      <c r="AK327">
        <f t="shared" si="209"/>
        <v>298.66666666666669</v>
      </c>
      <c r="AL327">
        <f t="shared" si="210"/>
        <v>48.384</v>
      </c>
      <c r="AM327">
        <f t="shared" si="223"/>
        <v>4.8384</v>
      </c>
      <c r="AN327">
        <f t="shared" si="211"/>
        <v>1.8</v>
      </c>
      <c r="AO327">
        <f t="shared" si="212"/>
        <v>2</v>
      </c>
      <c r="AP327">
        <f t="shared" si="213"/>
        <v>3</v>
      </c>
      <c r="AQ327">
        <v>202</v>
      </c>
      <c r="AR327">
        <v>5</v>
      </c>
      <c r="BO327" t="s">
        <v>186</v>
      </c>
      <c r="BP327" t="str">
        <f t="shared" si="225"/>
        <v>0</v>
      </c>
    </row>
    <row r="328" spans="1:68" ht="14.25" customHeight="1" x14ac:dyDescent="0.15">
      <c r="A328">
        <f t="shared" si="205"/>
        <v>5301112</v>
      </c>
      <c r="B328" t="s">
        <v>409</v>
      </c>
      <c r="C328">
        <v>11</v>
      </c>
      <c r="D328">
        <v>3</v>
      </c>
      <c r="E328">
        <v>2</v>
      </c>
      <c r="F328" t="s">
        <v>220</v>
      </c>
      <c r="G328" t="s">
        <v>220</v>
      </c>
      <c r="H328">
        <v>0</v>
      </c>
      <c r="I328" s="2" t="s">
        <v>100</v>
      </c>
      <c r="J328" s="2">
        <f t="shared" si="202"/>
        <v>3</v>
      </c>
      <c r="K328" s="2">
        <f t="shared" si="215"/>
        <v>1.2</v>
      </c>
      <c r="L328" s="2">
        <f t="shared" si="216"/>
        <v>2</v>
      </c>
      <c r="M328" s="2">
        <v>10</v>
      </c>
      <c r="N328" s="2">
        <f t="shared" si="217"/>
        <v>161.28</v>
      </c>
      <c r="O328" s="2">
        <f t="shared" si="218"/>
        <v>16.13</v>
      </c>
      <c r="P328" s="2">
        <f t="shared" si="219"/>
        <v>2986.67</v>
      </c>
      <c r="Q328" s="2">
        <f t="shared" si="220"/>
        <v>298.67</v>
      </c>
      <c r="R328" s="2">
        <f t="shared" si="221"/>
        <v>32.26</v>
      </c>
      <c r="S328" s="2">
        <f t="shared" si="222"/>
        <v>3.23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11">
        <v>523013</v>
      </c>
      <c r="Z328" s="12" t="s">
        <v>644</v>
      </c>
      <c r="AA328" s="4">
        <v>1</v>
      </c>
      <c r="AB328" s="4">
        <v>0</v>
      </c>
      <c r="AC328" s="4"/>
      <c r="AD328" s="4">
        <f t="shared" si="203"/>
        <v>15301.547521994999</v>
      </c>
      <c r="AF328" s="1" t="str">
        <f t="shared" si="204"/>
        <v>1</v>
      </c>
      <c r="AG328">
        <v>11</v>
      </c>
      <c r="AH328">
        <f t="shared" si="206"/>
        <v>161.28</v>
      </c>
      <c r="AI328">
        <f t="shared" si="207"/>
        <v>16.128</v>
      </c>
      <c r="AJ328">
        <f t="shared" si="208"/>
        <v>2986.6666666666665</v>
      </c>
      <c r="AK328">
        <f t="shared" si="209"/>
        <v>298.66666666666669</v>
      </c>
      <c r="AL328">
        <f t="shared" si="210"/>
        <v>32.256</v>
      </c>
      <c r="AM328">
        <f t="shared" si="223"/>
        <v>3.2256</v>
      </c>
      <c r="AN328">
        <f t="shared" si="211"/>
        <v>1.2</v>
      </c>
      <c r="AO328">
        <f t="shared" si="212"/>
        <v>2</v>
      </c>
      <c r="AP328">
        <f t="shared" si="213"/>
        <v>3</v>
      </c>
      <c r="AQ328">
        <v>301</v>
      </c>
      <c r="AR328">
        <v>5</v>
      </c>
      <c r="BO328" t="s">
        <v>167</v>
      </c>
      <c r="BP328" t="str">
        <f t="shared" si="225"/>
        <v>1</v>
      </c>
    </row>
    <row r="329" spans="1:68" x14ac:dyDescent="0.15">
      <c r="A329">
        <f t="shared" si="205"/>
        <v>5401112</v>
      </c>
      <c r="B329" t="s">
        <v>410</v>
      </c>
      <c r="C329">
        <v>11</v>
      </c>
      <c r="D329">
        <v>4</v>
      </c>
      <c r="E329">
        <v>2</v>
      </c>
      <c r="F329" t="s">
        <v>221</v>
      </c>
      <c r="G329" t="s">
        <v>221</v>
      </c>
      <c r="H329" s="2">
        <v>0</v>
      </c>
      <c r="I329" s="28" t="s">
        <v>716</v>
      </c>
      <c r="J329" s="2">
        <f t="shared" si="202"/>
        <v>6</v>
      </c>
      <c r="K329" s="2">
        <f t="shared" si="215"/>
        <v>1.6</v>
      </c>
      <c r="L329" s="2">
        <f t="shared" si="216"/>
        <v>2</v>
      </c>
      <c r="M329" s="2">
        <v>10</v>
      </c>
      <c r="N329" s="2">
        <f t="shared" si="217"/>
        <v>286.72000000000003</v>
      </c>
      <c r="O329" s="2">
        <f t="shared" si="218"/>
        <v>28.67</v>
      </c>
      <c r="P329" s="2">
        <f t="shared" si="219"/>
        <v>2240</v>
      </c>
      <c r="Q329" s="2">
        <f t="shared" si="220"/>
        <v>224</v>
      </c>
      <c r="R329" s="2">
        <f t="shared" si="221"/>
        <v>40.96</v>
      </c>
      <c r="S329" s="2">
        <f t="shared" si="222"/>
        <v>4.0999999999999996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11">
        <v>524013</v>
      </c>
      <c r="Z329" s="12" t="s">
        <v>645</v>
      </c>
      <c r="AA329" s="4">
        <v>1</v>
      </c>
      <c r="AB329" s="4">
        <v>0</v>
      </c>
      <c r="AC329" s="4"/>
      <c r="AD329" s="4">
        <f t="shared" si="203"/>
        <v>15298.695720000002</v>
      </c>
      <c r="AF329" s="1" t="str">
        <f t="shared" si="204"/>
        <v>1</v>
      </c>
      <c r="AG329">
        <v>11</v>
      </c>
      <c r="AH329">
        <f t="shared" si="206"/>
        <v>286.71999999999997</v>
      </c>
      <c r="AI329">
        <f t="shared" si="207"/>
        <v>28.671999999999997</v>
      </c>
      <c r="AJ329">
        <f t="shared" si="208"/>
        <v>2240</v>
      </c>
      <c r="AK329">
        <f t="shared" si="209"/>
        <v>224</v>
      </c>
      <c r="AL329">
        <f t="shared" si="210"/>
        <v>40.959999999999994</v>
      </c>
      <c r="AM329">
        <f t="shared" si="223"/>
        <v>4.0959999999999992</v>
      </c>
      <c r="AN329">
        <f t="shared" si="211"/>
        <v>1.6</v>
      </c>
      <c r="AO329">
        <f t="shared" si="212"/>
        <v>2</v>
      </c>
      <c r="AP329">
        <f t="shared" si="213"/>
        <v>6</v>
      </c>
      <c r="AQ329">
        <v>401</v>
      </c>
      <c r="AR329">
        <v>5</v>
      </c>
      <c r="BO329" t="s">
        <v>159</v>
      </c>
      <c r="BP329" t="str">
        <f t="shared" si="225"/>
        <v>1</v>
      </c>
    </row>
    <row r="330" spans="1:68" x14ac:dyDescent="0.15">
      <c r="A330">
        <f t="shared" si="205"/>
        <v>5402112</v>
      </c>
      <c r="B330" t="s">
        <v>102</v>
      </c>
      <c r="C330">
        <v>11</v>
      </c>
      <c r="D330">
        <v>4</v>
      </c>
      <c r="E330">
        <v>2</v>
      </c>
      <c r="F330" t="s">
        <v>222</v>
      </c>
      <c r="G330" t="s">
        <v>222</v>
      </c>
      <c r="H330">
        <v>0</v>
      </c>
      <c r="I330" s="2" t="s">
        <v>106</v>
      </c>
      <c r="J330" s="2">
        <f t="shared" si="202"/>
        <v>6</v>
      </c>
      <c r="K330" s="2">
        <f t="shared" si="215"/>
        <v>1.5</v>
      </c>
      <c r="L330" s="2">
        <f t="shared" si="216"/>
        <v>1.5</v>
      </c>
      <c r="M330" s="2">
        <v>10</v>
      </c>
      <c r="N330" s="2">
        <f t="shared" si="217"/>
        <v>268.8</v>
      </c>
      <c r="O330" s="2">
        <f t="shared" si="218"/>
        <v>26.88</v>
      </c>
      <c r="P330" s="2">
        <f t="shared" si="219"/>
        <v>2240</v>
      </c>
      <c r="Q330" s="2">
        <f t="shared" si="220"/>
        <v>224</v>
      </c>
      <c r="R330" s="2">
        <f t="shared" si="221"/>
        <v>38.4</v>
      </c>
      <c r="S330" s="2">
        <f t="shared" si="222"/>
        <v>3.84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11">
        <v>524023</v>
      </c>
      <c r="Z330" s="12" t="s">
        <v>646</v>
      </c>
      <c r="AA330" s="4">
        <v>1</v>
      </c>
      <c r="AB330" s="4">
        <v>0</v>
      </c>
      <c r="AC330" s="4"/>
      <c r="AD330" s="4">
        <f t="shared" si="203"/>
        <v>15299.665919999999</v>
      </c>
      <c r="AF330" s="1" t="str">
        <f t="shared" si="204"/>
        <v>2</v>
      </c>
      <c r="AG330">
        <v>11</v>
      </c>
      <c r="AH330">
        <f t="shared" si="206"/>
        <v>268.79999999999995</v>
      </c>
      <c r="AI330">
        <f t="shared" si="207"/>
        <v>26.879999999999995</v>
      </c>
      <c r="AJ330">
        <f t="shared" si="208"/>
        <v>2240</v>
      </c>
      <c r="AK330">
        <f t="shared" si="209"/>
        <v>224</v>
      </c>
      <c r="AL330">
        <f t="shared" si="210"/>
        <v>38.399999999999991</v>
      </c>
      <c r="AM330">
        <f t="shared" si="223"/>
        <v>3.8399999999999994</v>
      </c>
      <c r="AN330">
        <f t="shared" si="211"/>
        <v>1.5</v>
      </c>
      <c r="AO330">
        <f t="shared" si="212"/>
        <v>1.5</v>
      </c>
      <c r="AP330">
        <f t="shared" si="213"/>
        <v>6</v>
      </c>
      <c r="AQ330">
        <v>402</v>
      </c>
      <c r="AR330">
        <v>5</v>
      </c>
      <c r="BO330" t="s">
        <v>178</v>
      </c>
      <c r="BP330" t="str">
        <f t="shared" si="225"/>
        <v>2</v>
      </c>
    </row>
    <row r="331" spans="1:68" x14ac:dyDescent="0.15">
      <c r="A331">
        <f t="shared" si="205"/>
        <v>5500112</v>
      </c>
      <c r="B331" t="s">
        <v>411</v>
      </c>
      <c r="C331">
        <v>11</v>
      </c>
      <c r="D331">
        <v>5</v>
      </c>
      <c r="E331">
        <v>2</v>
      </c>
      <c r="F331" t="s">
        <v>223</v>
      </c>
      <c r="G331" t="s">
        <v>223</v>
      </c>
      <c r="H331" s="2">
        <v>0</v>
      </c>
      <c r="I331" s="2" t="s">
        <v>109</v>
      </c>
      <c r="J331" s="2">
        <f t="shared" si="202"/>
        <v>6</v>
      </c>
      <c r="K331" s="2">
        <f t="shared" si="215"/>
        <v>1.5</v>
      </c>
      <c r="L331" s="2">
        <f t="shared" si="216"/>
        <v>1.5</v>
      </c>
      <c r="M331" s="2">
        <v>10</v>
      </c>
      <c r="N331" s="2">
        <f t="shared" si="217"/>
        <v>313.60000000000002</v>
      </c>
      <c r="O331" s="2">
        <f t="shared" si="218"/>
        <v>31.36</v>
      </c>
      <c r="P331" s="2">
        <f t="shared" si="219"/>
        <v>1920</v>
      </c>
      <c r="Q331" s="2">
        <f t="shared" si="220"/>
        <v>192</v>
      </c>
      <c r="R331" s="2">
        <f t="shared" si="221"/>
        <v>39.200000000000003</v>
      </c>
      <c r="S331" s="2">
        <f t="shared" si="222"/>
        <v>3.92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11">
        <v>525003</v>
      </c>
      <c r="Z331" s="12" t="s">
        <v>647</v>
      </c>
      <c r="AA331" s="4">
        <v>1</v>
      </c>
      <c r="AB331" s="4">
        <v>0</v>
      </c>
      <c r="AC331" s="4"/>
      <c r="AD331" s="4">
        <f t="shared" si="203"/>
        <v>15299.665919999999</v>
      </c>
      <c r="AF331" s="1" t="str">
        <f t="shared" si="204"/>
        <v>0</v>
      </c>
      <c r="AG331">
        <v>11</v>
      </c>
      <c r="AH331">
        <f t="shared" si="206"/>
        <v>313.59999999999991</v>
      </c>
      <c r="AI331">
        <f t="shared" si="207"/>
        <v>31.359999999999992</v>
      </c>
      <c r="AJ331">
        <f t="shared" si="208"/>
        <v>1920</v>
      </c>
      <c r="AK331">
        <f t="shared" si="209"/>
        <v>192</v>
      </c>
      <c r="AL331">
        <f t="shared" si="210"/>
        <v>39.199999999999989</v>
      </c>
      <c r="AM331">
        <f t="shared" si="223"/>
        <v>3.919999999999999</v>
      </c>
      <c r="AN331">
        <f t="shared" si="211"/>
        <v>1.5</v>
      </c>
      <c r="AO331">
        <f t="shared" si="212"/>
        <v>1.5</v>
      </c>
      <c r="AP331">
        <f t="shared" si="213"/>
        <v>6</v>
      </c>
      <c r="AQ331">
        <v>500</v>
      </c>
      <c r="AR331">
        <v>5</v>
      </c>
      <c r="BO331" t="s">
        <v>188</v>
      </c>
      <c r="BP331" t="str">
        <f t="shared" si="225"/>
        <v>0</v>
      </c>
    </row>
    <row r="332" spans="1:68" x14ac:dyDescent="0.15">
      <c r="A332">
        <f t="shared" si="205"/>
        <v>5502112</v>
      </c>
      <c r="B332" t="s">
        <v>115</v>
      </c>
      <c r="C332">
        <v>11</v>
      </c>
      <c r="D332">
        <v>5</v>
      </c>
      <c r="E332">
        <v>2</v>
      </c>
      <c r="F332" t="s">
        <v>224</v>
      </c>
      <c r="G332" t="s">
        <v>224</v>
      </c>
      <c r="H332" s="2">
        <v>0</v>
      </c>
      <c r="I332" s="2" t="s">
        <v>113</v>
      </c>
      <c r="J332" s="2">
        <f t="shared" si="202"/>
        <v>6</v>
      </c>
      <c r="K332" s="2">
        <f t="shared" si="215"/>
        <v>1.4000000000000001</v>
      </c>
      <c r="L332" s="2">
        <f t="shared" si="216"/>
        <v>2</v>
      </c>
      <c r="M332" s="2">
        <v>10</v>
      </c>
      <c r="N332" s="2">
        <f t="shared" si="217"/>
        <v>292.69</v>
      </c>
      <c r="O332" s="2">
        <f t="shared" si="218"/>
        <v>29.27</v>
      </c>
      <c r="P332" s="2">
        <f t="shared" si="219"/>
        <v>1920</v>
      </c>
      <c r="Q332" s="2">
        <f t="shared" si="220"/>
        <v>192</v>
      </c>
      <c r="R332" s="2">
        <f t="shared" si="221"/>
        <v>36.590000000000003</v>
      </c>
      <c r="S332" s="2">
        <f t="shared" si="222"/>
        <v>3.66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11">
        <v>525023</v>
      </c>
      <c r="Z332" s="12" t="s">
        <v>648</v>
      </c>
      <c r="AA332" s="4">
        <v>1</v>
      </c>
      <c r="AB332" s="4">
        <v>0</v>
      </c>
      <c r="AC332" s="4"/>
      <c r="AD332" s="4">
        <f t="shared" si="203"/>
        <v>15299.966879999998</v>
      </c>
      <c r="AF332" s="1" t="str">
        <f t="shared" si="204"/>
        <v>2</v>
      </c>
      <c r="AG332">
        <v>11</v>
      </c>
      <c r="AH332">
        <f t="shared" si="206"/>
        <v>292.69333333333327</v>
      </c>
      <c r="AI332">
        <f t="shared" si="207"/>
        <v>29.269333333333329</v>
      </c>
      <c r="AJ332">
        <f t="shared" si="208"/>
        <v>1920</v>
      </c>
      <c r="AK332">
        <f t="shared" si="209"/>
        <v>192</v>
      </c>
      <c r="AL332">
        <f t="shared" si="210"/>
        <v>36.586666666666659</v>
      </c>
      <c r="AM332">
        <f t="shared" si="223"/>
        <v>3.6586666666666661</v>
      </c>
      <c r="AN332">
        <f t="shared" si="211"/>
        <v>1.4</v>
      </c>
      <c r="AO332">
        <f t="shared" si="212"/>
        <v>2</v>
      </c>
      <c r="AP332">
        <f t="shared" si="213"/>
        <v>6</v>
      </c>
      <c r="AQ332">
        <v>502</v>
      </c>
      <c r="AR332">
        <v>5</v>
      </c>
      <c r="BO332" t="s">
        <v>171</v>
      </c>
      <c r="BP332" t="str">
        <f t="shared" si="225"/>
        <v>1</v>
      </c>
    </row>
    <row r="333" spans="1:68" x14ac:dyDescent="0.15">
      <c r="A333">
        <f t="shared" si="205"/>
        <v>5601112</v>
      </c>
      <c r="B333" t="s">
        <v>412</v>
      </c>
      <c r="C333">
        <v>11</v>
      </c>
      <c r="D333">
        <v>6</v>
      </c>
      <c r="E333">
        <v>2</v>
      </c>
      <c r="F333" t="s">
        <v>225</v>
      </c>
      <c r="G333" t="s">
        <v>225</v>
      </c>
      <c r="H333" s="2">
        <v>0</v>
      </c>
      <c r="I333" s="2" t="s">
        <v>116</v>
      </c>
      <c r="J333" s="2">
        <f t="shared" si="202"/>
        <v>6</v>
      </c>
      <c r="K333" s="2">
        <f t="shared" si="215"/>
        <v>1.5</v>
      </c>
      <c r="L333" s="2">
        <f t="shared" si="216"/>
        <v>2</v>
      </c>
      <c r="M333" s="2">
        <v>10</v>
      </c>
      <c r="N333" s="2">
        <f t="shared" si="217"/>
        <v>347.2</v>
      </c>
      <c r="O333" s="2">
        <f t="shared" si="218"/>
        <v>34.72</v>
      </c>
      <c r="P333" s="2">
        <f t="shared" si="219"/>
        <v>1734.19</v>
      </c>
      <c r="Q333" s="2">
        <f t="shared" si="220"/>
        <v>173.42</v>
      </c>
      <c r="R333" s="2">
        <f t="shared" si="221"/>
        <v>34.72</v>
      </c>
      <c r="S333" s="2">
        <f t="shared" si="222"/>
        <v>3.47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11">
        <v>526013</v>
      </c>
      <c r="Z333" s="12" t="s">
        <v>649</v>
      </c>
      <c r="AA333" s="4">
        <v>1</v>
      </c>
      <c r="AB333" s="4">
        <v>0</v>
      </c>
      <c r="AC333" s="4"/>
      <c r="AD333" s="4">
        <f t="shared" si="203"/>
        <v>15299.714818079998</v>
      </c>
      <c r="AF333" s="1" t="str">
        <f t="shared" si="204"/>
        <v>1</v>
      </c>
      <c r="AG333">
        <v>11</v>
      </c>
      <c r="AH333">
        <f t="shared" si="206"/>
        <v>347.2</v>
      </c>
      <c r="AI333">
        <f t="shared" si="207"/>
        <v>34.72</v>
      </c>
      <c r="AJ333">
        <f t="shared" si="208"/>
        <v>1734.1935483870968</v>
      </c>
      <c r="AK333">
        <f t="shared" si="209"/>
        <v>173.41935483870969</v>
      </c>
      <c r="AL333">
        <f t="shared" si="210"/>
        <v>34.72</v>
      </c>
      <c r="AM333">
        <f t="shared" si="223"/>
        <v>3.472</v>
      </c>
      <c r="AN333">
        <f t="shared" si="211"/>
        <v>1.5</v>
      </c>
      <c r="AO333">
        <f t="shared" si="212"/>
        <v>2</v>
      </c>
      <c r="AP333">
        <f t="shared" si="213"/>
        <v>6</v>
      </c>
      <c r="AQ333">
        <v>601</v>
      </c>
      <c r="AR333">
        <v>5</v>
      </c>
      <c r="BO333" t="s">
        <v>173</v>
      </c>
      <c r="BP333" t="str">
        <f t="shared" si="225"/>
        <v>0</v>
      </c>
    </row>
    <row r="334" spans="1:68" x14ac:dyDescent="0.15">
      <c r="A334">
        <f t="shared" si="205"/>
        <v>5200113</v>
      </c>
      <c r="B334" t="s">
        <v>160</v>
      </c>
      <c r="C334">
        <v>11</v>
      </c>
      <c r="D334">
        <v>2</v>
      </c>
      <c r="E334">
        <v>3</v>
      </c>
      <c r="F334" t="s">
        <v>226</v>
      </c>
      <c r="G334" t="s">
        <v>226</v>
      </c>
      <c r="H334">
        <v>0</v>
      </c>
      <c r="I334" s="2" t="s">
        <v>78</v>
      </c>
      <c r="J334" s="2">
        <f t="shared" si="202"/>
        <v>3</v>
      </c>
      <c r="K334" s="2">
        <f t="shared" si="215"/>
        <v>1.5</v>
      </c>
      <c r="L334" s="2">
        <f t="shared" si="216"/>
        <v>1.2</v>
      </c>
      <c r="M334" s="2">
        <v>10</v>
      </c>
      <c r="N334" s="2">
        <f t="shared" si="217"/>
        <v>224</v>
      </c>
      <c r="O334" s="2">
        <f t="shared" si="218"/>
        <v>22.4</v>
      </c>
      <c r="P334" s="2">
        <f t="shared" si="219"/>
        <v>2688</v>
      </c>
      <c r="Q334" s="2">
        <f t="shared" si="220"/>
        <v>268.8</v>
      </c>
      <c r="R334" s="2">
        <f t="shared" si="221"/>
        <v>56</v>
      </c>
      <c r="S334" s="2">
        <f t="shared" si="222"/>
        <v>5.6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11">
        <v>532003</v>
      </c>
      <c r="Z334" s="12" t="s">
        <v>650</v>
      </c>
      <c r="AA334" s="4">
        <v>1</v>
      </c>
      <c r="AB334" s="4">
        <v>0</v>
      </c>
      <c r="AC334" s="4"/>
      <c r="AD334" s="4">
        <f t="shared" si="203"/>
        <v>15299.665919999999</v>
      </c>
      <c r="AF334" s="1" t="str">
        <f t="shared" si="204"/>
        <v>0</v>
      </c>
      <c r="AG334">
        <v>11</v>
      </c>
      <c r="AH334">
        <f t="shared" si="206"/>
        <v>224</v>
      </c>
      <c r="AI334">
        <f t="shared" si="207"/>
        <v>22.400000000000002</v>
      </c>
      <c r="AJ334">
        <f t="shared" si="208"/>
        <v>2688</v>
      </c>
      <c r="AK334">
        <f t="shared" si="209"/>
        <v>268.8</v>
      </c>
      <c r="AL334">
        <f t="shared" si="210"/>
        <v>56</v>
      </c>
      <c r="AM334">
        <f t="shared" si="223"/>
        <v>5.6000000000000005</v>
      </c>
      <c r="AN334">
        <f t="shared" si="211"/>
        <v>1.5</v>
      </c>
      <c r="AO334">
        <f t="shared" si="212"/>
        <v>1.2</v>
      </c>
      <c r="AP334">
        <f t="shared" si="213"/>
        <v>3</v>
      </c>
      <c r="AQ334">
        <v>200</v>
      </c>
      <c r="AR334">
        <v>5</v>
      </c>
      <c r="BO334" t="s">
        <v>136</v>
      </c>
      <c r="BP334" t="str">
        <f t="shared" si="225"/>
        <v>1</v>
      </c>
    </row>
    <row r="335" spans="1:68" x14ac:dyDescent="0.15">
      <c r="A335">
        <f t="shared" si="205"/>
        <v>5201113</v>
      </c>
      <c r="B335" t="s">
        <v>407</v>
      </c>
      <c r="C335">
        <v>11</v>
      </c>
      <c r="D335">
        <v>2</v>
      </c>
      <c r="E335">
        <v>3</v>
      </c>
      <c r="F335" t="s">
        <v>227</v>
      </c>
      <c r="G335" t="s">
        <v>227</v>
      </c>
      <c r="H335" s="2">
        <v>0</v>
      </c>
      <c r="I335" s="28" t="s">
        <v>746</v>
      </c>
      <c r="J335" s="2">
        <f t="shared" si="202"/>
        <v>3</v>
      </c>
      <c r="K335" s="2">
        <f t="shared" si="215"/>
        <v>1.8</v>
      </c>
      <c r="L335" s="2">
        <f t="shared" si="216"/>
        <v>1.8</v>
      </c>
      <c r="M335" s="2">
        <v>10</v>
      </c>
      <c r="N335" s="2">
        <f t="shared" si="217"/>
        <v>215.04</v>
      </c>
      <c r="O335" s="2">
        <f t="shared" si="218"/>
        <v>21.5</v>
      </c>
      <c r="P335" s="2">
        <f t="shared" si="219"/>
        <v>3360</v>
      </c>
      <c r="Q335" s="2">
        <f t="shared" si="220"/>
        <v>336</v>
      </c>
      <c r="R335" s="2">
        <f t="shared" si="221"/>
        <v>71.680000000000007</v>
      </c>
      <c r="S335" s="2">
        <f t="shared" si="222"/>
        <v>7.17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11">
        <v>532013</v>
      </c>
      <c r="Z335" s="12" t="s">
        <v>651</v>
      </c>
      <c r="AA335" s="4">
        <v>1</v>
      </c>
      <c r="AB335" s="4">
        <v>0</v>
      </c>
      <c r="AC335" s="4"/>
      <c r="AD335" s="4">
        <f t="shared" si="203"/>
        <v>15297.078720000001</v>
      </c>
      <c r="AF335" s="1" t="str">
        <f t="shared" si="204"/>
        <v>1</v>
      </c>
      <c r="AG335">
        <v>11</v>
      </c>
      <c r="AH335">
        <f t="shared" si="206"/>
        <v>215.04000000000002</v>
      </c>
      <c r="AI335">
        <f t="shared" si="207"/>
        <v>21.504000000000005</v>
      </c>
      <c r="AJ335">
        <f t="shared" si="208"/>
        <v>3360</v>
      </c>
      <c r="AK335">
        <f t="shared" si="209"/>
        <v>336</v>
      </c>
      <c r="AL335">
        <f t="shared" si="210"/>
        <v>71.680000000000007</v>
      </c>
      <c r="AM335">
        <f t="shared" si="223"/>
        <v>7.168000000000001</v>
      </c>
      <c r="AN335">
        <f t="shared" si="211"/>
        <v>1.8</v>
      </c>
      <c r="AO335">
        <f t="shared" si="212"/>
        <v>1.8</v>
      </c>
      <c r="AP335">
        <f t="shared" si="213"/>
        <v>3</v>
      </c>
      <c r="AQ335">
        <v>201</v>
      </c>
      <c r="AR335">
        <v>5</v>
      </c>
      <c r="BO335" t="s">
        <v>141</v>
      </c>
      <c r="BP335" t="str">
        <f t="shared" si="225"/>
        <v>1</v>
      </c>
    </row>
    <row r="336" spans="1:68" x14ac:dyDescent="0.15">
      <c r="A336">
        <f t="shared" si="205"/>
        <v>5202113</v>
      </c>
      <c r="B336" t="s">
        <v>408</v>
      </c>
      <c r="C336">
        <v>11</v>
      </c>
      <c r="D336">
        <v>2</v>
      </c>
      <c r="E336">
        <v>3</v>
      </c>
      <c r="F336" t="s">
        <v>228</v>
      </c>
      <c r="G336" t="s">
        <v>228</v>
      </c>
      <c r="H336">
        <v>0</v>
      </c>
      <c r="I336" s="28" t="s">
        <v>717</v>
      </c>
      <c r="J336" s="2">
        <f t="shared" si="202"/>
        <v>3</v>
      </c>
      <c r="K336" s="2">
        <f t="shared" si="215"/>
        <v>1.8</v>
      </c>
      <c r="L336" s="2">
        <f t="shared" si="216"/>
        <v>2</v>
      </c>
      <c r="M336" s="2">
        <v>10</v>
      </c>
      <c r="N336" s="2">
        <f t="shared" si="217"/>
        <v>241.92</v>
      </c>
      <c r="O336" s="2">
        <f t="shared" si="218"/>
        <v>24.19</v>
      </c>
      <c r="P336" s="2">
        <f t="shared" si="219"/>
        <v>2986.67</v>
      </c>
      <c r="Q336" s="2">
        <f t="shared" si="220"/>
        <v>298.67</v>
      </c>
      <c r="R336" s="2">
        <f t="shared" si="221"/>
        <v>48.38</v>
      </c>
      <c r="S336" s="2">
        <f t="shared" si="222"/>
        <v>4.84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11">
        <v>532023</v>
      </c>
      <c r="Z336" s="12" t="s">
        <v>652</v>
      </c>
      <c r="AA336" s="4">
        <v>1</v>
      </c>
      <c r="AB336" s="4">
        <v>0</v>
      </c>
      <c r="AC336" s="4"/>
      <c r="AD336" s="4">
        <f t="shared" si="203"/>
        <v>15298.67282587</v>
      </c>
      <c r="AF336" s="1" t="str">
        <f t="shared" si="204"/>
        <v>2</v>
      </c>
      <c r="AG336">
        <v>11</v>
      </c>
      <c r="AH336">
        <f t="shared" si="206"/>
        <v>241.92</v>
      </c>
      <c r="AI336">
        <f t="shared" si="207"/>
        <v>24.192</v>
      </c>
      <c r="AJ336">
        <f t="shared" si="208"/>
        <v>2986.6666666666665</v>
      </c>
      <c r="AK336">
        <f t="shared" si="209"/>
        <v>298.66666666666669</v>
      </c>
      <c r="AL336">
        <f t="shared" si="210"/>
        <v>48.384</v>
      </c>
      <c r="AM336">
        <f t="shared" si="223"/>
        <v>4.8384</v>
      </c>
      <c r="AN336">
        <f t="shared" si="211"/>
        <v>1.8</v>
      </c>
      <c r="AO336">
        <f t="shared" si="212"/>
        <v>2</v>
      </c>
      <c r="AP336">
        <f t="shared" si="213"/>
        <v>3</v>
      </c>
      <c r="AQ336">
        <v>202</v>
      </c>
      <c r="AR336">
        <v>5</v>
      </c>
      <c r="BO336" t="s">
        <v>165</v>
      </c>
      <c r="BP336" t="str">
        <f t="shared" si="225"/>
        <v>2</v>
      </c>
    </row>
    <row r="337" spans="1:68" x14ac:dyDescent="0.15">
      <c r="A337">
        <f t="shared" si="205"/>
        <v>5301113</v>
      </c>
      <c r="B337" t="s">
        <v>409</v>
      </c>
      <c r="C337">
        <v>11</v>
      </c>
      <c r="D337">
        <v>3</v>
      </c>
      <c r="E337">
        <v>3</v>
      </c>
      <c r="F337" t="s">
        <v>229</v>
      </c>
      <c r="G337" t="s">
        <v>229</v>
      </c>
      <c r="H337" s="2">
        <v>0</v>
      </c>
      <c r="I337" s="28" t="s">
        <v>717</v>
      </c>
      <c r="J337" s="2">
        <f t="shared" si="202"/>
        <v>3</v>
      </c>
      <c r="K337" s="2">
        <f t="shared" si="215"/>
        <v>1.2</v>
      </c>
      <c r="L337" s="2">
        <f t="shared" si="216"/>
        <v>2</v>
      </c>
      <c r="M337" s="2">
        <v>10</v>
      </c>
      <c r="N337" s="2">
        <f t="shared" si="217"/>
        <v>161.28</v>
      </c>
      <c r="O337" s="2">
        <f t="shared" si="218"/>
        <v>16.13</v>
      </c>
      <c r="P337" s="2">
        <f t="shared" si="219"/>
        <v>2986.67</v>
      </c>
      <c r="Q337" s="2">
        <f t="shared" si="220"/>
        <v>298.67</v>
      </c>
      <c r="R337" s="2">
        <f t="shared" si="221"/>
        <v>32.26</v>
      </c>
      <c r="S337" s="2">
        <f t="shared" si="222"/>
        <v>3.23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11">
        <v>533013</v>
      </c>
      <c r="Z337" s="12" t="s">
        <v>653</v>
      </c>
      <c r="AA337" s="4">
        <v>1</v>
      </c>
      <c r="AB337" s="4">
        <v>0</v>
      </c>
      <c r="AC337" s="4"/>
      <c r="AD337" s="4">
        <f t="shared" si="203"/>
        <v>15301.547521994999</v>
      </c>
      <c r="AF337" s="1" t="str">
        <f t="shared" si="204"/>
        <v>1</v>
      </c>
      <c r="AG337">
        <v>11</v>
      </c>
      <c r="AH337">
        <f t="shared" si="206"/>
        <v>161.28</v>
      </c>
      <c r="AI337">
        <f t="shared" si="207"/>
        <v>16.128</v>
      </c>
      <c r="AJ337">
        <f t="shared" si="208"/>
        <v>2986.6666666666665</v>
      </c>
      <c r="AK337">
        <f t="shared" si="209"/>
        <v>298.66666666666669</v>
      </c>
      <c r="AL337">
        <f t="shared" si="210"/>
        <v>32.256</v>
      </c>
      <c r="AM337">
        <f t="shared" si="223"/>
        <v>3.2256</v>
      </c>
      <c r="AN337">
        <f t="shared" si="211"/>
        <v>1.2</v>
      </c>
      <c r="AO337">
        <f t="shared" si="212"/>
        <v>2</v>
      </c>
      <c r="AP337">
        <f t="shared" si="213"/>
        <v>3</v>
      </c>
      <c r="AQ337">
        <v>301</v>
      </c>
      <c r="AR337">
        <v>5</v>
      </c>
      <c r="BO337" t="s">
        <v>167</v>
      </c>
      <c r="BP337" t="str">
        <f t="shared" si="225"/>
        <v>1</v>
      </c>
    </row>
    <row r="338" spans="1:68" x14ac:dyDescent="0.15">
      <c r="A338">
        <f t="shared" si="205"/>
        <v>5401113</v>
      </c>
      <c r="B338" t="s">
        <v>410</v>
      </c>
      <c r="C338">
        <v>11</v>
      </c>
      <c r="D338">
        <v>4</v>
      </c>
      <c r="E338">
        <v>3</v>
      </c>
      <c r="F338" t="s">
        <v>230</v>
      </c>
      <c r="G338" t="s">
        <v>230</v>
      </c>
      <c r="H338">
        <v>0</v>
      </c>
      <c r="I338" s="2" t="s">
        <v>103</v>
      </c>
      <c r="J338" s="2">
        <f t="shared" si="202"/>
        <v>6</v>
      </c>
      <c r="K338" s="2">
        <f t="shared" si="215"/>
        <v>1.6</v>
      </c>
      <c r="L338" s="2">
        <f t="shared" si="216"/>
        <v>2</v>
      </c>
      <c r="M338" s="2">
        <v>10</v>
      </c>
      <c r="N338" s="2">
        <f t="shared" si="217"/>
        <v>286.72000000000003</v>
      </c>
      <c r="O338" s="2">
        <f t="shared" si="218"/>
        <v>28.67</v>
      </c>
      <c r="P338" s="2">
        <f t="shared" si="219"/>
        <v>2240</v>
      </c>
      <c r="Q338" s="2">
        <f t="shared" si="220"/>
        <v>224</v>
      </c>
      <c r="R338" s="2">
        <f t="shared" si="221"/>
        <v>40.96</v>
      </c>
      <c r="S338" s="2">
        <f t="shared" si="222"/>
        <v>4.0999999999999996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11">
        <v>534013</v>
      </c>
      <c r="Z338" s="12" t="s">
        <v>654</v>
      </c>
      <c r="AA338" s="4">
        <v>1</v>
      </c>
      <c r="AB338" s="4">
        <v>0</v>
      </c>
      <c r="AC338" s="4"/>
      <c r="AD338" s="4">
        <f t="shared" si="203"/>
        <v>15298.695720000002</v>
      </c>
      <c r="AF338" s="1" t="str">
        <f t="shared" si="204"/>
        <v>1</v>
      </c>
      <c r="AG338">
        <v>11</v>
      </c>
      <c r="AH338">
        <f t="shared" si="206"/>
        <v>286.71999999999997</v>
      </c>
      <c r="AI338">
        <f t="shared" si="207"/>
        <v>28.671999999999997</v>
      </c>
      <c r="AJ338">
        <f t="shared" si="208"/>
        <v>2240</v>
      </c>
      <c r="AK338">
        <f t="shared" si="209"/>
        <v>224</v>
      </c>
      <c r="AL338">
        <f t="shared" si="210"/>
        <v>40.959999999999994</v>
      </c>
      <c r="AM338">
        <f t="shared" si="223"/>
        <v>4.0959999999999992</v>
      </c>
      <c r="AN338">
        <f t="shared" si="211"/>
        <v>1.6</v>
      </c>
      <c r="AO338">
        <f t="shared" si="212"/>
        <v>2</v>
      </c>
      <c r="AP338">
        <f t="shared" si="213"/>
        <v>6</v>
      </c>
      <c r="AQ338">
        <v>401</v>
      </c>
      <c r="AR338">
        <v>5</v>
      </c>
      <c r="BO338" t="s">
        <v>176</v>
      </c>
      <c r="BP338" t="str">
        <f t="shared" si="225"/>
        <v>2</v>
      </c>
    </row>
    <row r="339" spans="1:68" x14ac:dyDescent="0.15">
      <c r="A339">
        <f t="shared" si="205"/>
        <v>5402113</v>
      </c>
      <c r="B339" t="s">
        <v>102</v>
      </c>
      <c r="C339">
        <v>11</v>
      </c>
      <c r="D339">
        <v>4</v>
      </c>
      <c r="E339">
        <v>3</v>
      </c>
      <c r="F339" t="s">
        <v>231</v>
      </c>
      <c r="G339" t="s">
        <v>231</v>
      </c>
      <c r="H339" s="2">
        <v>0</v>
      </c>
      <c r="I339" s="28" t="s">
        <v>718</v>
      </c>
      <c r="J339" s="2">
        <f t="shared" si="202"/>
        <v>6</v>
      </c>
      <c r="K339" s="2">
        <f t="shared" si="215"/>
        <v>1.5</v>
      </c>
      <c r="L339" s="2">
        <f t="shared" si="216"/>
        <v>1.5</v>
      </c>
      <c r="M339" s="2">
        <v>10</v>
      </c>
      <c r="N339" s="2">
        <f t="shared" si="217"/>
        <v>268.8</v>
      </c>
      <c r="O339" s="2">
        <f t="shared" si="218"/>
        <v>26.88</v>
      </c>
      <c r="P339" s="2">
        <f t="shared" si="219"/>
        <v>2240</v>
      </c>
      <c r="Q339" s="2">
        <f t="shared" si="220"/>
        <v>224</v>
      </c>
      <c r="R339" s="2">
        <f t="shared" si="221"/>
        <v>38.4</v>
      </c>
      <c r="S339" s="2">
        <f t="shared" si="222"/>
        <v>3.84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11">
        <v>534023</v>
      </c>
      <c r="Z339" s="12" t="s">
        <v>655</v>
      </c>
      <c r="AA339" s="4">
        <v>1</v>
      </c>
      <c r="AB339" s="4">
        <v>0</v>
      </c>
      <c r="AC339" s="4"/>
      <c r="AD339" s="4">
        <f t="shared" si="203"/>
        <v>15299.665919999999</v>
      </c>
      <c r="AF339" s="1" t="str">
        <f t="shared" si="204"/>
        <v>2</v>
      </c>
      <c r="AG339">
        <v>11</v>
      </c>
      <c r="AH339">
        <f t="shared" si="206"/>
        <v>268.79999999999995</v>
      </c>
      <c r="AI339">
        <f t="shared" si="207"/>
        <v>26.879999999999995</v>
      </c>
      <c r="AJ339">
        <f t="shared" si="208"/>
        <v>2240</v>
      </c>
      <c r="AK339">
        <f t="shared" si="209"/>
        <v>224</v>
      </c>
      <c r="AL339">
        <f t="shared" si="210"/>
        <v>38.399999999999991</v>
      </c>
      <c r="AM339">
        <f t="shared" si="223"/>
        <v>3.8399999999999994</v>
      </c>
      <c r="AN339">
        <f t="shared" si="211"/>
        <v>1.5</v>
      </c>
      <c r="AO339">
        <f t="shared" si="212"/>
        <v>1.5</v>
      </c>
      <c r="AP339">
        <f t="shared" si="213"/>
        <v>6</v>
      </c>
      <c r="AQ339">
        <v>402</v>
      </c>
      <c r="AR339">
        <v>5</v>
      </c>
      <c r="BO339" t="s">
        <v>159</v>
      </c>
      <c r="BP339" t="str">
        <f t="shared" si="225"/>
        <v>1</v>
      </c>
    </row>
    <row r="340" spans="1:68" x14ac:dyDescent="0.15">
      <c r="A340">
        <f t="shared" si="205"/>
        <v>5500113</v>
      </c>
      <c r="B340" t="s">
        <v>411</v>
      </c>
      <c r="C340">
        <v>11</v>
      </c>
      <c r="D340">
        <v>5</v>
      </c>
      <c r="E340">
        <v>3</v>
      </c>
      <c r="F340" t="s">
        <v>232</v>
      </c>
      <c r="G340" t="s">
        <v>232</v>
      </c>
      <c r="H340" s="2">
        <v>0</v>
      </c>
      <c r="I340" s="2" t="s">
        <v>109</v>
      </c>
      <c r="J340" s="2">
        <f t="shared" si="202"/>
        <v>6</v>
      </c>
      <c r="K340" s="2">
        <f t="shared" si="215"/>
        <v>1.5</v>
      </c>
      <c r="L340" s="2">
        <f t="shared" si="216"/>
        <v>1.5</v>
      </c>
      <c r="M340" s="2">
        <v>10</v>
      </c>
      <c r="N340" s="2">
        <f t="shared" si="217"/>
        <v>313.60000000000002</v>
      </c>
      <c r="O340" s="2">
        <f t="shared" si="218"/>
        <v>31.36</v>
      </c>
      <c r="P340" s="2">
        <f t="shared" si="219"/>
        <v>1920</v>
      </c>
      <c r="Q340" s="2">
        <f t="shared" si="220"/>
        <v>192</v>
      </c>
      <c r="R340" s="2">
        <f t="shared" si="221"/>
        <v>39.200000000000003</v>
      </c>
      <c r="S340" s="2">
        <f t="shared" si="222"/>
        <v>3.92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11">
        <v>535003</v>
      </c>
      <c r="Z340" s="12" t="s">
        <v>656</v>
      </c>
      <c r="AA340" s="4">
        <v>1</v>
      </c>
      <c r="AB340" s="4">
        <v>0</v>
      </c>
      <c r="AC340" s="4"/>
      <c r="AD340" s="4">
        <f t="shared" si="203"/>
        <v>15299.665919999999</v>
      </c>
      <c r="AF340" s="1" t="str">
        <f t="shared" si="204"/>
        <v>0</v>
      </c>
      <c r="AG340">
        <v>11</v>
      </c>
      <c r="AH340">
        <f t="shared" si="206"/>
        <v>313.59999999999991</v>
      </c>
      <c r="AI340">
        <f t="shared" si="207"/>
        <v>31.359999999999992</v>
      </c>
      <c r="AJ340">
        <f t="shared" si="208"/>
        <v>1920</v>
      </c>
      <c r="AK340">
        <f t="shared" si="209"/>
        <v>192</v>
      </c>
      <c r="AL340">
        <f t="shared" si="210"/>
        <v>39.199999999999989</v>
      </c>
      <c r="AM340">
        <f t="shared" si="223"/>
        <v>3.919999999999999</v>
      </c>
      <c r="AN340">
        <f t="shared" si="211"/>
        <v>1.5</v>
      </c>
      <c r="AO340">
        <f t="shared" si="212"/>
        <v>1.5</v>
      </c>
      <c r="AP340">
        <f t="shared" si="213"/>
        <v>6</v>
      </c>
      <c r="AQ340">
        <v>500</v>
      </c>
      <c r="AR340">
        <v>5</v>
      </c>
    </row>
    <row r="341" spans="1:68" x14ac:dyDescent="0.15">
      <c r="A341">
        <f t="shared" si="205"/>
        <v>5502113</v>
      </c>
      <c r="B341" t="s">
        <v>115</v>
      </c>
      <c r="C341">
        <v>11</v>
      </c>
      <c r="D341">
        <v>5</v>
      </c>
      <c r="E341">
        <v>3</v>
      </c>
      <c r="F341" t="s">
        <v>233</v>
      </c>
      <c r="G341" t="s">
        <v>233</v>
      </c>
      <c r="H341" s="2">
        <v>0</v>
      </c>
      <c r="I341" s="28" t="s">
        <v>719</v>
      </c>
      <c r="J341" s="2">
        <f t="shared" si="202"/>
        <v>6</v>
      </c>
      <c r="K341" s="2">
        <f t="shared" si="215"/>
        <v>1.4000000000000001</v>
      </c>
      <c r="L341" s="2">
        <f t="shared" si="216"/>
        <v>2</v>
      </c>
      <c r="M341" s="2">
        <v>10</v>
      </c>
      <c r="N341" s="2">
        <f t="shared" si="217"/>
        <v>292.69</v>
      </c>
      <c r="O341" s="2">
        <f t="shared" si="218"/>
        <v>29.27</v>
      </c>
      <c r="P341" s="2">
        <f t="shared" si="219"/>
        <v>1920</v>
      </c>
      <c r="Q341" s="2">
        <f t="shared" si="220"/>
        <v>192</v>
      </c>
      <c r="R341" s="2">
        <f t="shared" si="221"/>
        <v>36.590000000000003</v>
      </c>
      <c r="S341" s="2">
        <f t="shared" si="222"/>
        <v>3.66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11">
        <v>535023</v>
      </c>
      <c r="Z341" s="12" t="s">
        <v>657</v>
      </c>
      <c r="AA341" s="4">
        <v>1</v>
      </c>
      <c r="AB341" s="4">
        <v>0</v>
      </c>
      <c r="AC341" s="4"/>
      <c r="AD341" s="4">
        <f t="shared" si="203"/>
        <v>15299.966879999998</v>
      </c>
      <c r="AF341" s="1" t="str">
        <f t="shared" si="204"/>
        <v>2</v>
      </c>
      <c r="AG341">
        <v>11</v>
      </c>
      <c r="AH341">
        <f t="shared" si="206"/>
        <v>292.69333333333327</v>
      </c>
      <c r="AI341">
        <f t="shared" si="207"/>
        <v>29.269333333333329</v>
      </c>
      <c r="AJ341">
        <f t="shared" si="208"/>
        <v>1920</v>
      </c>
      <c r="AK341">
        <f t="shared" si="209"/>
        <v>192</v>
      </c>
      <c r="AL341">
        <f t="shared" si="210"/>
        <v>36.586666666666659</v>
      </c>
      <c r="AM341">
        <f t="shared" si="223"/>
        <v>3.6586666666666661</v>
      </c>
      <c r="AN341">
        <f t="shared" si="211"/>
        <v>1.4</v>
      </c>
      <c r="AO341">
        <f t="shared" si="212"/>
        <v>2</v>
      </c>
      <c r="AP341">
        <f t="shared" si="213"/>
        <v>6</v>
      </c>
      <c r="AQ341">
        <v>502</v>
      </c>
      <c r="AR341">
        <v>5</v>
      </c>
    </row>
    <row r="342" spans="1:68" x14ac:dyDescent="0.15">
      <c r="A342">
        <f t="shared" si="205"/>
        <v>5601113</v>
      </c>
      <c r="B342" t="s">
        <v>412</v>
      </c>
      <c r="C342">
        <v>11</v>
      </c>
      <c r="D342">
        <v>6</v>
      </c>
      <c r="E342">
        <v>3</v>
      </c>
      <c r="F342" t="s">
        <v>234</v>
      </c>
      <c r="G342" t="s">
        <v>234</v>
      </c>
      <c r="H342">
        <v>0</v>
      </c>
      <c r="I342" s="2" t="s">
        <v>116</v>
      </c>
      <c r="J342" s="2">
        <f t="shared" si="202"/>
        <v>6</v>
      </c>
      <c r="K342" s="2">
        <f t="shared" si="215"/>
        <v>1.5</v>
      </c>
      <c r="L342" s="2">
        <f t="shared" si="216"/>
        <v>2</v>
      </c>
      <c r="M342" s="2">
        <v>10</v>
      </c>
      <c r="N342" s="2">
        <f t="shared" si="217"/>
        <v>347.2</v>
      </c>
      <c r="O342" s="2">
        <f t="shared" si="218"/>
        <v>34.72</v>
      </c>
      <c r="P342" s="2">
        <f t="shared" si="219"/>
        <v>1734.19</v>
      </c>
      <c r="Q342" s="2">
        <f t="shared" si="220"/>
        <v>173.42</v>
      </c>
      <c r="R342" s="2">
        <f t="shared" si="221"/>
        <v>34.72</v>
      </c>
      <c r="S342" s="2">
        <f t="shared" si="222"/>
        <v>3.47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11">
        <v>536013</v>
      </c>
      <c r="Z342" s="12" t="s">
        <v>658</v>
      </c>
      <c r="AA342" s="4">
        <v>1</v>
      </c>
      <c r="AB342" s="4">
        <v>0</v>
      </c>
      <c r="AC342" s="4"/>
      <c r="AD342" s="4">
        <f t="shared" si="203"/>
        <v>15299.714818079998</v>
      </c>
      <c r="AF342" s="1" t="str">
        <f t="shared" si="204"/>
        <v>1</v>
      </c>
      <c r="AG342">
        <v>11</v>
      </c>
      <c r="AH342">
        <f t="shared" si="206"/>
        <v>347.2</v>
      </c>
      <c r="AI342">
        <f t="shared" si="207"/>
        <v>34.72</v>
      </c>
      <c r="AJ342">
        <f t="shared" si="208"/>
        <v>1734.1935483870968</v>
      </c>
      <c r="AK342">
        <f t="shared" si="209"/>
        <v>173.41935483870969</v>
      </c>
      <c r="AL342">
        <f t="shared" si="210"/>
        <v>34.72</v>
      </c>
      <c r="AM342">
        <f t="shared" si="223"/>
        <v>3.472</v>
      </c>
      <c r="AN342">
        <f t="shared" si="211"/>
        <v>1.5</v>
      </c>
      <c r="AO342">
        <f t="shared" si="212"/>
        <v>2</v>
      </c>
      <c r="AP342">
        <f t="shared" si="213"/>
        <v>6</v>
      </c>
      <c r="AQ342">
        <v>601</v>
      </c>
      <c r="AR342">
        <v>5</v>
      </c>
      <c r="BO342" t="s">
        <v>178</v>
      </c>
      <c r="BP342" t="str">
        <f t="shared" ref="BP342:BP344" si="226">RIGHT(BO342,1)</f>
        <v>2</v>
      </c>
    </row>
    <row r="343" spans="1:68" x14ac:dyDescent="0.15">
      <c r="A343">
        <f t="shared" si="205"/>
        <v>5201114</v>
      </c>
      <c r="B343" t="s">
        <v>407</v>
      </c>
      <c r="C343">
        <v>11</v>
      </c>
      <c r="D343">
        <v>2</v>
      </c>
      <c r="E343">
        <v>4</v>
      </c>
      <c r="F343" t="s">
        <v>706</v>
      </c>
      <c r="G343" t="s">
        <v>706</v>
      </c>
      <c r="H343" s="23">
        <v>0</v>
      </c>
      <c r="I343" s="2" t="s">
        <v>92</v>
      </c>
      <c r="J343" s="2">
        <f t="shared" ref="J343:J406" si="227">AP343</f>
        <v>3</v>
      </c>
      <c r="K343" s="2">
        <f t="shared" si="215"/>
        <v>1.8</v>
      </c>
      <c r="L343" s="2">
        <f t="shared" si="216"/>
        <v>1.8</v>
      </c>
      <c r="M343" s="2">
        <v>11</v>
      </c>
      <c r="N343" s="2">
        <f t="shared" si="217"/>
        <v>215.04</v>
      </c>
      <c r="O343" s="2">
        <f t="shared" si="218"/>
        <v>21.5</v>
      </c>
      <c r="P343" s="2">
        <f t="shared" si="219"/>
        <v>3360</v>
      </c>
      <c r="Q343" s="2">
        <f t="shared" si="220"/>
        <v>336</v>
      </c>
      <c r="R343" s="2">
        <f t="shared" si="221"/>
        <v>71.680000000000007</v>
      </c>
      <c r="S343" s="2">
        <f t="shared" si="222"/>
        <v>7.17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11">
        <v>542013</v>
      </c>
      <c r="Z343" s="26" t="s">
        <v>659</v>
      </c>
      <c r="AA343" s="4">
        <v>1</v>
      </c>
      <c r="AB343" s="4">
        <v>0</v>
      </c>
      <c r="AC343" s="4"/>
      <c r="AD343" s="4">
        <f t="shared" ref="AD343:AD406" si="228">(N343+O343*$AD$2)*(P343+Q343*$AD$2)/K343*0.945/3000</f>
        <v>15297.078720000001</v>
      </c>
      <c r="AF343" s="1" t="str">
        <f t="shared" si="204"/>
        <v>1</v>
      </c>
      <c r="AG343">
        <v>11</v>
      </c>
      <c r="AH343">
        <f t="shared" si="206"/>
        <v>215.04000000000002</v>
      </c>
      <c r="AI343">
        <f t="shared" si="207"/>
        <v>21.504000000000005</v>
      </c>
      <c r="AJ343">
        <f t="shared" si="208"/>
        <v>3360</v>
      </c>
      <c r="AK343">
        <f t="shared" si="209"/>
        <v>336</v>
      </c>
      <c r="AL343">
        <f t="shared" si="210"/>
        <v>71.680000000000007</v>
      </c>
      <c r="AM343">
        <f t="shared" si="223"/>
        <v>7.168000000000001</v>
      </c>
      <c r="AN343">
        <f t="shared" si="211"/>
        <v>1.8</v>
      </c>
      <c r="AO343">
        <f t="shared" si="212"/>
        <v>1.8</v>
      </c>
      <c r="AP343">
        <f t="shared" si="213"/>
        <v>3</v>
      </c>
      <c r="AQ343">
        <v>201</v>
      </c>
      <c r="AR343">
        <v>5</v>
      </c>
      <c r="BO343" t="s">
        <v>188</v>
      </c>
      <c r="BP343" t="str">
        <f t="shared" si="226"/>
        <v>0</v>
      </c>
    </row>
    <row r="344" spans="1:68" x14ac:dyDescent="0.15">
      <c r="A344">
        <f t="shared" si="205"/>
        <v>5302114</v>
      </c>
      <c r="B344" t="s">
        <v>143</v>
      </c>
      <c r="C344">
        <v>11</v>
      </c>
      <c r="D344">
        <v>3</v>
      </c>
      <c r="E344">
        <v>4</v>
      </c>
      <c r="F344" s="22" t="s">
        <v>707</v>
      </c>
      <c r="G344" s="22" t="s">
        <v>707</v>
      </c>
      <c r="H344" s="23">
        <v>0</v>
      </c>
      <c r="I344" s="2" t="s">
        <v>157</v>
      </c>
      <c r="J344" s="2">
        <f t="shared" si="227"/>
        <v>3</v>
      </c>
      <c r="K344" s="2">
        <f t="shared" si="215"/>
        <v>1.4000000000000001</v>
      </c>
      <c r="L344" s="2">
        <f t="shared" si="216"/>
        <v>1.7</v>
      </c>
      <c r="M344" s="2">
        <v>12</v>
      </c>
      <c r="N344" s="2">
        <f t="shared" si="217"/>
        <v>188.16</v>
      </c>
      <c r="O344" s="2">
        <f t="shared" si="218"/>
        <v>18.82</v>
      </c>
      <c r="P344" s="2">
        <f t="shared" si="219"/>
        <v>2986.67</v>
      </c>
      <c r="Q344" s="2">
        <f t="shared" si="220"/>
        <v>298.67</v>
      </c>
      <c r="R344" s="2">
        <f t="shared" si="221"/>
        <v>37.630000000000003</v>
      </c>
      <c r="S344" s="2">
        <f t="shared" si="222"/>
        <v>3.76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11">
        <v>543023</v>
      </c>
      <c r="Z344" s="26" t="s">
        <v>660</v>
      </c>
      <c r="AA344" s="4">
        <v>1</v>
      </c>
      <c r="AB344" s="4">
        <v>0</v>
      </c>
      <c r="AC344" s="4"/>
      <c r="AD344" s="4">
        <f t="shared" si="228"/>
        <v>15302.779534619996</v>
      </c>
      <c r="AF344" s="1" t="str">
        <f t="shared" ref="AF344:AF407" si="229">RIGHT(AQ344,1)</f>
        <v>2</v>
      </c>
      <c r="AG344">
        <v>11</v>
      </c>
      <c r="AH344">
        <f t="shared" si="206"/>
        <v>188.16</v>
      </c>
      <c r="AI344">
        <f t="shared" si="207"/>
        <v>18.815999999999999</v>
      </c>
      <c r="AJ344">
        <f t="shared" si="208"/>
        <v>2986.6666666666665</v>
      </c>
      <c r="AK344">
        <f t="shared" si="209"/>
        <v>298.66666666666669</v>
      </c>
      <c r="AL344">
        <f t="shared" si="210"/>
        <v>37.631999999999998</v>
      </c>
      <c r="AM344">
        <f t="shared" si="223"/>
        <v>3.7631999999999999</v>
      </c>
      <c r="AN344">
        <f t="shared" si="211"/>
        <v>1.4</v>
      </c>
      <c r="AO344">
        <f t="shared" si="212"/>
        <v>1.7</v>
      </c>
      <c r="AP344">
        <f t="shared" si="213"/>
        <v>3</v>
      </c>
      <c r="AQ344">
        <v>302</v>
      </c>
      <c r="AR344">
        <v>5</v>
      </c>
      <c r="BO344" t="s">
        <v>171</v>
      </c>
      <c r="BP344" t="str">
        <f t="shared" si="226"/>
        <v>1</v>
      </c>
    </row>
    <row r="345" spans="1:68" x14ac:dyDescent="0.15">
      <c r="A345">
        <f t="shared" si="205"/>
        <v>5501114</v>
      </c>
      <c r="B345" t="s">
        <v>413</v>
      </c>
      <c r="C345">
        <v>11</v>
      </c>
      <c r="D345">
        <v>5</v>
      </c>
      <c r="E345">
        <v>4</v>
      </c>
      <c r="F345" t="s">
        <v>235</v>
      </c>
      <c r="G345" t="s">
        <v>235</v>
      </c>
      <c r="H345">
        <v>0</v>
      </c>
      <c r="I345" s="2" t="s">
        <v>144</v>
      </c>
      <c r="J345" s="2">
        <f t="shared" si="227"/>
        <v>6</v>
      </c>
      <c r="K345" s="2">
        <f t="shared" si="215"/>
        <v>1.6</v>
      </c>
      <c r="L345" s="2">
        <f t="shared" si="216"/>
        <v>2</v>
      </c>
      <c r="M345" s="2">
        <v>10</v>
      </c>
      <c r="N345" s="2">
        <f t="shared" si="217"/>
        <v>334.51</v>
      </c>
      <c r="O345" s="2">
        <f t="shared" si="218"/>
        <v>33.450000000000003</v>
      </c>
      <c r="P345" s="2">
        <f t="shared" si="219"/>
        <v>1920</v>
      </c>
      <c r="Q345" s="2">
        <f t="shared" si="220"/>
        <v>192</v>
      </c>
      <c r="R345" s="2">
        <f t="shared" si="221"/>
        <v>41.81</v>
      </c>
      <c r="S345" s="2">
        <f t="shared" si="222"/>
        <v>4.18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11">
        <v>545013</v>
      </c>
      <c r="Z345" s="12" t="s">
        <v>661</v>
      </c>
      <c r="AA345" s="4">
        <v>1</v>
      </c>
      <c r="AB345" s="4">
        <v>0</v>
      </c>
      <c r="AC345" s="4"/>
      <c r="AD345" s="4">
        <f t="shared" si="228"/>
        <v>15299.402579999998</v>
      </c>
      <c r="AF345" s="1" t="str">
        <f t="shared" si="229"/>
        <v>1</v>
      </c>
      <c r="AG345">
        <v>11</v>
      </c>
      <c r="AH345">
        <f t="shared" si="206"/>
        <v>334.5066666666666</v>
      </c>
      <c r="AI345">
        <f t="shared" si="207"/>
        <v>33.450666666666663</v>
      </c>
      <c r="AJ345">
        <f t="shared" si="208"/>
        <v>1920</v>
      </c>
      <c r="AK345">
        <f t="shared" si="209"/>
        <v>192</v>
      </c>
      <c r="AL345">
        <f t="shared" si="210"/>
        <v>41.813333333333325</v>
      </c>
      <c r="AM345">
        <f t="shared" si="223"/>
        <v>4.1813333333333329</v>
      </c>
      <c r="AN345">
        <f t="shared" si="211"/>
        <v>1.6</v>
      </c>
      <c r="AO345">
        <f t="shared" si="212"/>
        <v>2</v>
      </c>
      <c r="AP345">
        <f t="shared" si="213"/>
        <v>6</v>
      </c>
      <c r="AQ345">
        <v>501</v>
      </c>
      <c r="AR345">
        <v>5</v>
      </c>
    </row>
    <row r="346" spans="1:68" x14ac:dyDescent="0.15">
      <c r="A346">
        <f t="shared" si="205"/>
        <v>5600114</v>
      </c>
      <c r="B346" t="s">
        <v>209</v>
      </c>
      <c r="C346">
        <v>11</v>
      </c>
      <c r="D346">
        <v>6</v>
      </c>
      <c r="E346">
        <v>4</v>
      </c>
      <c r="F346" t="s">
        <v>236</v>
      </c>
      <c r="G346" t="s">
        <v>236</v>
      </c>
      <c r="H346" s="2">
        <v>0</v>
      </c>
      <c r="I346" s="2" t="s">
        <v>147</v>
      </c>
      <c r="J346" s="2">
        <f t="shared" si="227"/>
        <v>3</v>
      </c>
      <c r="K346" s="2">
        <f t="shared" si="215"/>
        <v>1.4000000000000001</v>
      </c>
      <c r="L346" s="2">
        <f t="shared" si="216"/>
        <v>1.9000000000000001</v>
      </c>
      <c r="M346" s="2">
        <v>10</v>
      </c>
      <c r="N346" s="2">
        <f t="shared" si="217"/>
        <v>324.05</v>
      </c>
      <c r="O346" s="2">
        <f t="shared" si="218"/>
        <v>32.409999999999997</v>
      </c>
      <c r="P346" s="2">
        <f t="shared" si="219"/>
        <v>1734.19</v>
      </c>
      <c r="Q346" s="2">
        <f t="shared" si="220"/>
        <v>173.42</v>
      </c>
      <c r="R346" s="2">
        <f t="shared" si="221"/>
        <v>32.409999999999997</v>
      </c>
      <c r="S346" s="2">
        <f t="shared" si="222"/>
        <v>3.24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11">
        <v>546003</v>
      </c>
      <c r="Z346" s="12" t="s">
        <v>662</v>
      </c>
      <c r="AA346" s="4">
        <v>1</v>
      </c>
      <c r="AB346" s="4">
        <v>0</v>
      </c>
      <c r="AC346" s="4"/>
      <c r="AD346" s="4">
        <f t="shared" si="228"/>
        <v>15301.703510887497</v>
      </c>
      <c r="AF346" s="1" t="str">
        <f t="shared" si="229"/>
        <v>0</v>
      </c>
      <c r="AG346">
        <v>11</v>
      </c>
      <c r="AH346">
        <f t="shared" si="206"/>
        <v>324.05333333333328</v>
      </c>
      <c r="AI346">
        <f t="shared" si="207"/>
        <v>32.405333333333331</v>
      </c>
      <c r="AJ346">
        <f t="shared" si="208"/>
        <v>1734.1935483870968</v>
      </c>
      <c r="AK346">
        <f t="shared" si="209"/>
        <v>173.41935483870969</v>
      </c>
      <c r="AL346">
        <f t="shared" si="210"/>
        <v>32.405333333333331</v>
      </c>
      <c r="AM346">
        <f t="shared" si="223"/>
        <v>3.2405333333333335</v>
      </c>
      <c r="AN346">
        <f t="shared" si="211"/>
        <v>1.4</v>
      </c>
      <c r="AO346">
        <f t="shared" si="212"/>
        <v>1.9</v>
      </c>
      <c r="AP346">
        <f t="shared" si="213"/>
        <v>3</v>
      </c>
      <c r="AQ346">
        <v>600</v>
      </c>
      <c r="AR346">
        <v>5</v>
      </c>
      <c r="BO346" t="s">
        <v>136</v>
      </c>
      <c r="BP346" t="str">
        <f t="shared" ref="BP346:BP348" si="230">RIGHT(BO346,1)</f>
        <v>1</v>
      </c>
    </row>
    <row r="347" spans="1:68" x14ac:dyDescent="0.15">
      <c r="A347">
        <f t="shared" si="205"/>
        <v>5602114</v>
      </c>
      <c r="B347" t="s">
        <v>414</v>
      </c>
      <c r="C347">
        <v>11</v>
      </c>
      <c r="D347">
        <v>6</v>
      </c>
      <c r="E347">
        <v>4</v>
      </c>
      <c r="F347" t="s">
        <v>237</v>
      </c>
      <c r="G347" t="s">
        <v>237</v>
      </c>
      <c r="H347" t="s">
        <v>150</v>
      </c>
      <c r="I347" s="2" t="s">
        <v>151</v>
      </c>
      <c r="J347" s="2">
        <f t="shared" si="227"/>
        <v>6</v>
      </c>
      <c r="K347" s="2">
        <f t="shared" si="215"/>
        <v>1.8</v>
      </c>
      <c r="L347" s="2">
        <f t="shared" si="216"/>
        <v>2</v>
      </c>
      <c r="M347" s="2">
        <v>10</v>
      </c>
      <c r="N347" s="2">
        <f t="shared" si="217"/>
        <v>416.64</v>
      </c>
      <c r="O347" s="2">
        <f t="shared" si="218"/>
        <v>41.66</v>
      </c>
      <c r="P347" s="2">
        <f t="shared" si="219"/>
        <v>1734.19</v>
      </c>
      <c r="Q347" s="2">
        <f t="shared" si="220"/>
        <v>173.42</v>
      </c>
      <c r="R347" s="2">
        <f t="shared" si="221"/>
        <v>41.66</v>
      </c>
      <c r="S347" s="2">
        <f t="shared" si="222"/>
        <v>4.17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11">
        <v>546023</v>
      </c>
      <c r="Z347" s="12" t="s">
        <v>663</v>
      </c>
      <c r="AA347" s="4">
        <v>1</v>
      </c>
      <c r="AB347" s="4">
        <v>0</v>
      </c>
      <c r="AC347" s="4"/>
      <c r="AD347" s="4">
        <f t="shared" si="228"/>
        <v>15298.379484779998</v>
      </c>
      <c r="AF347" s="1" t="str">
        <f t="shared" si="229"/>
        <v>2</v>
      </c>
      <c r="AG347">
        <v>11</v>
      </c>
      <c r="AH347">
        <f t="shared" si="206"/>
        <v>416.64</v>
      </c>
      <c r="AI347">
        <f t="shared" si="207"/>
        <v>41.664000000000001</v>
      </c>
      <c r="AJ347">
        <f t="shared" si="208"/>
        <v>1734.1935483870968</v>
      </c>
      <c r="AK347">
        <f t="shared" si="209"/>
        <v>173.41935483870969</v>
      </c>
      <c r="AL347">
        <f t="shared" si="210"/>
        <v>41.664000000000001</v>
      </c>
      <c r="AM347">
        <f t="shared" si="223"/>
        <v>4.1664000000000003</v>
      </c>
      <c r="AN347">
        <f t="shared" si="211"/>
        <v>1.8</v>
      </c>
      <c r="AO347">
        <f t="shared" si="212"/>
        <v>2</v>
      </c>
      <c r="AP347">
        <f t="shared" si="213"/>
        <v>6</v>
      </c>
      <c r="AQ347">
        <v>602</v>
      </c>
      <c r="AR347">
        <v>5</v>
      </c>
      <c r="BO347" t="s">
        <v>182</v>
      </c>
      <c r="BP347" t="str">
        <f t="shared" si="230"/>
        <v>2</v>
      </c>
    </row>
    <row r="348" spans="1:68" x14ac:dyDescent="0.15">
      <c r="A348">
        <f t="shared" si="205"/>
        <v>5202115</v>
      </c>
      <c r="B348" t="s">
        <v>408</v>
      </c>
      <c r="C348">
        <v>11</v>
      </c>
      <c r="D348">
        <v>2</v>
      </c>
      <c r="E348">
        <v>5</v>
      </c>
      <c r="F348" t="s">
        <v>708</v>
      </c>
      <c r="G348" t="s">
        <v>708</v>
      </c>
      <c r="H348" s="22">
        <v>0</v>
      </c>
      <c r="I348" s="2" t="s">
        <v>96</v>
      </c>
      <c r="J348" s="2">
        <f t="shared" si="227"/>
        <v>3</v>
      </c>
      <c r="K348" s="2">
        <f t="shared" si="215"/>
        <v>1.8</v>
      </c>
      <c r="L348" s="2">
        <f t="shared" si="216"/>
        <v>2</v>
      </c>
      <c r="M348" s="2">
        <v>11</v>
      </c>
      <c r="N348" s="2">
        <f t="shared" si="217"/>
        <v>241.92</v>
      </c>
      <c r="O348" s="2">
        <f t="shared" si="218"/>
        <v>24.19</v>
      </c>
      <c r="P348" s="2">
        <f t="shared" si="219"/>
        <v>2986.67</v>
      </c>
      <c r="Q348" s="2">
        <f t="shared" si="220"/>
        <v>298.67</v>
      </c>
      <c r="R348" s="2">
        <f t="shared" si="221"/>
        <v>48.38</v>
      </c>
      <c r="S348" s="2">
        <f t="shared" si="222"/>
        <v>4.84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11">
        <v>552023</v>
      </c>
      <c r="Z348" s="26" t="s">
        <v>664</v>
      </c>
      <c r="AA348" s="4">
        <v>1</v>
      </c>
      <c r="AB348" s="4">
        <v>0</v>
      </c>
      <c r="AC348" s="4"/>
      <c r="AD348" s="4">
        <f t="shared" si="228"/>
        <v>15298.67282587</v>
      </c>
      <c r="AF348" s="1" t="str">
        <f t="shared" si="229"/>
        <v>2</v>
      </c>
      <c r="AG348">
        <v>11</v>
      </c>
      <c r="AH348">
        <f t="shared" si="206"/>
        <v>241.92</v>
      </c>
      <c r="AI348">
        <f t="shared" si="207"/>
        <v>24.192</v>
      </c>
      <c r="AJ348">
        <f t="shared" si="208"/>
        <v>2986.6666666666665</v>
      </c>
      <c r="AK348">
        <f t="shared" si="209"/>
        <v>298.66666666666669</v>
      </c>
      <c r="AL348">
        <f t="shared" si="210"/>
        <v>48.384</v>
      </c>
      <c r="AM348">
        <f t="shared" si="223"/>
        <v>4.8384</v>
      </c>
      <c r="AN348">
        <f t="shared" si="211"/>
        <v>1.8</v>
      </c>
      <c r="AO348">
        <f t="shared" si="212"/>
        <v>2</v>
      </c>
      <c r="AP348">
        <f t="shared" si="213"/>
        <v>3</v>
      </c>
      <c r="AQ348">
        <v>202</v>
      </c>
      <c r="AR348">
        <v>5</v>
      </c>
      <c r="BO348" t="s">
        <v>184</v>
      </c>
      <c r="BP348" t="str">
        <f t="shared" si="230"/>
        <v>0</v>
      </c>
    </row>
    <row r="349" spans="1:68" x14ac:dyDescent="0.15">
      <c r="A349">
        <f t="shared" ref="A349:A426" si="231">AR349*1000000+AQ349*1000+C349*10+E349</f>
        <v>5300115</v>
      </c>
      <c r="B349" t="s">
        <v>415</v>
      </c>
      <c r="C349">
        <v>11</v>
      </c>
      <c r="D349">
        <v>3</v>
      </c>
      <c r="E349">
        <v>5</v>
      </c>
      <c r="F349" t="s">
        <v>238</v>
      </c>
      <c r="G349" t="s">
        <v>238</v>
      </c>
      <c r="H349" s="2">
        <v>0</v>
      </c>
      <c r="I349" s="28" t="s">
        <v>720</v>
      </c>
      <c r="J349" s="2">
        <f t="shared" si="227"/>
        <v>3</v>
      </c>
      <c r="K349" s="2">
        <f t="shared" si="215"/>
        <v>1.3</v>
      </c>
      <c r="L349" s="2">
        <f t="shared" si="216"/>
        <v>1.9000000000000001</v>
      </c>
      <c r="M349" s="2">
        <v>12</v>
      </c>
      <c r="N349" s="2">
        <f t="shared" si="217"/>
        <v>174.72</v>
      </c>
      <c r="O349" s="2">
        <f t="shared" si="218"/>
        <v>17.47</v>
      </c>
      <c r="P349" s="2">
        <f t="shared" si="219"/>
        <v>2986.67</v>
      </c>
      <c r="Q349" s="2">
        <f t="shared" si="220"/>
        <v>298.67</v>
      </c>
      <c r="R349" s="2">
        <f t="shared" si="221"/>
        <v>34.94</v>
      </c>
      <c r="S349" s="2">
        <f t="shared" si="222"/>
        <v>3.49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11">
        <v>553003</v>
      </c>
      <c r="Z349" s="12" t="s">
        <v>665</v>
      </c>
      <c r="AA349" s="4">
        <v>1</v>
      </c>
      <c r="AB349" s="4">
        <v>0</v>
      </c>
      <c r="AC349" s="4"/>
      <c r="AD349" s="4">
        <f t="shared" si="228"/>
        <v>15298.230564927691</v>
      </c>
      <c r="AF349" s="1" t="str">
        <f t="shared" si="229"/>
        <v>0</v>
      </c>
      <c r="AG349">
        <v>11</v>
      </c>
      <c r="AH349">
        <f t="shared" ref="AH349:AH412" si="232">INDEX($AV$5:$AV$50,MATCH($AQ349,$AT$5:$AT$50))*$AN349/1.5*$AZ$4*INDEX($AV$87:$BI$87,MATCH($AG349,$AV$86:$BI$86))</f>
        <v>174.72000000000003</v>
      </c>
      <c r="AI349">
        <f t="shared" ref="AI349:AI412" si="233">(INDEX($AV$5:$AV$50,MATCH($AQ349,$AT$5:$AT$50))*$AN349/1.5*$AZ$4*INDEX($AV$87:$BI$87,MATCH($AG349,$AV$86:$BI$86)))*0.1</f>
        <v>17.472000000000005</v>
      </c>
      <c r="AJ349">
        <f t="shared" ref="AJ349:AJ412" si="234">INDEX($AW$5:$AW$50,MATCH($AQ349,$AT$5:$AT$50))*$BA$4*INDEX($AV$87:$BI$87,MATCH($AG349,$AV$86:$BI$86))</f>
        <v>2986.6666666666665</v>
      </c>
      <c r="AK349">
        <f t="shared" ref="AK349:AK412" si="235">(INDEX($AW$5:$AW$50,MATCH($AQ349,$AT$5:$AT$50))*$BA$4*INDEX($AV$87:$BI$87,MATCH($AG349,$AV$86:$BI$86)))*0.1</f>
        <v>298.66666666666669</v>
      </c>
      <c r="AL349">
        <f t="shared" ref="AL349:AL412" si="236">$AH349/INDEX($AX$5:$AX$50,MATCH($AQ349,$AT$5:$AT$50))</f>
        <v>34.944000000000003</v>
      </c>
      <c r="AM349">
        <f t="shared" si="223"/>
        <v>3.4944000000000006</v>
      </c>
      <c r="AN349">
        <f t="shared" ref="AN349:AN412" si="237">INDEX($AY$5:$AY$50,MATCH($AQ349,$AT$5:$AT$50,0))</f>
        <v>1.3</v>
      </c>
      <c r="AO349">
        <f t="shared" ref="AO349:AO412" si="238">ROUND(IF(INDEX($BG$5:$BG$50,MATCH($AQ349,$AT$5:$AT$50,0))&lt;2,INDEX($BG$5:$BG$49,MATCH($AQ349,$AT$5:$AT$49,0))+0.2,2),1)</f>
        <v>1.9</v>
      </c>
      <c r="AP349">
        <f t="shared" ref="AP349:AP412" si="239">INDEX($BC$5:$BC$50,MATCH($AQ349,$AT$5:$AT$50,0))</f>
        <v>3</v>
      </c>
      <c r="AQ349">
        <v>300</v>
      </c>
      <c r="AR349">
        <v>5</v>
      </c>
    </row>
    <row r="350" spans="1:68" x14ac:dyDescent="0.15">
      <c r="A350">
        <f t="shared" si="231"/>
        <v>5302115</v>
      </c>
      <c r="B350" t="s">
        <v>143</v>
      </c>
      <c r="C350">
        <v>11</v>
      </c>
      <c r="D350">
        <v>3</v>
      </c>
      <c r="E350">
        <v>5</v>
      </c>
      <c r="F350" t="s">
        <v>239</v>
      </c>
      <c r="G350" t="s">
        <v>239</v>
      </c>
      <c r="H350" s="2">
        <v>0</v>
      </c>
      <c r="I350" s="2" t="s">
        <v>157</v>
      </c>
      <c r="J350" s="2">
        <f t="shared" si="227"/>
        <v>3</v>
      </c>
      <c r="K350" s="2">
        <f t="shared" si="215"/>
        <v>1.4000000000000001</v>
      </c>
      <c r="L350" s="2">
        <f t="shared" si="216"/>
        <v>1.7</v>
      </c>
      <c r="M350" s="2">
        <v>13</v>
      </c>
      <c r="N350" s="2">
        <f t="shared" si="217"/>
        <v>188.16</v>
      </c>
      <c r="O350" s="2">
        <f t="shared" si="218"/>
        <v>18.82</v>
      </c>
      <c r="P350" s="2">
        <f t="shared" si="219"/>
        <v>2986.67</v>
      </c>
      <c r="Q350" s="2">
        <f t="shared" si="220"/>
        <v>298.67</v>
      </c>
      <c r="R350" s="2">
        <f t="shared" si="221"/>
        <v>37.630000000000003</v>
      </c>
      <c r="S350" s="2">
        <f t="shared" si="222"/>
        <v>3.76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11">
        <v>553023</v>
      </c>
      <c r="Z350" s="12" t="s">
        <v>666</v>
      </c>
      <c r="AA350" s="4">
        <v>1</v>
      </c>
      <c r="AB350" s="4">
        <v>0</v>
      </c>
      <c r="AC350" s="4"/>
      <c r="AD350" s="4">
        <f t="shared" si="228"/>
        <v>15302.779534619996</v>
      </c>
      <c r="AF350" s="1" t="str">
        <f t="shared" si="229"/>
        <v>2</v>
      </c>
      <c r="AG350">
        <v>11</v>
      </c>
      <c r="AH350">
        <f t="shared" si="232"/>
        <v>188.16</v>
      </c>
      <c r="AI350">
        <f t="shared" si="233"/>
        <v>18.815999999999999</v>
      </c>
      <c r="AJ350">
        <f t="shared" si="234"/>
        <v>2986.6666666666665</v>
      </c>
      <c r="AK350">
        <f t="shared" si="235"/>
        <v>298.66666666666669</v>
      </c>
      <c r="AL350">
        <f t="shared" si="236"/>
        <v>37.631999999999998</v>
      </c>
      <c r="AM350">
        <f t="shared" si="223"/>
        <v>3.7631999999999999</v>
      </c>
      <c r="AN350">
        <f t="shared" si="237"/>
        <v>1.4</v>
      </c>
      <c r="AO350">
        <f t="shared" si="238"/>
        <v>1.7</v>
      </c>
      <c r="AP350">
        <f t="shared" si="239"/>
        <v>3</v>
      </c>
      <c r="AQ350">
        <v>302</v>
      </c>
      <c r="AR350">
        <v>5</v>
      </c>
      <c r="BO350" t="s">
        <v>173</v>
      </c>
      <c r="BP350" t="str">
        <f t="shared" ref="BP350:BP376" si="240">RIGHT(BO350,1)</f>
        <v>0</v>
      </c>
    </row>
    <row r="351" spans="1:68" x14ac:dyDescent="0.15">
      <c r="A351">
        <f t="shared" si="231"/>
        <v>5400115</v>
      </c>
      <c r="B351" t="s">
        <v>149</v>
      </c>
      <c r="C351">
        <v>11</v>
      </c>
      <c r="D351">
        <v>4</v>
      </c>
      <c r="E351">
        <v>5</v>
      </c>
      <c r="F351" t="s">
        <v>240</v>
      </c>
      <c r="G351" t="s">
        <v>240</v>
      </c>
      <c r="H351">
        <v>0</v>
      </c>
      <c r="I351" s="2" t="s">
        <v>161</v>
      </c>
      <c r="J351" s="2">
        <f t="shared" si="227"/>
        <v>6</v>
      </c>
      <c r="K351" s="2">
        <f t="shared" si="215"/>
        <v>1.4000000000000001</v>
      </c>
      <c r="L351" s="2">
        <f t="shared" si="216"/>
        <v>1.4000000000000001</v>
      </c>
      <c r="M351" s="2">
        <v>14</v>
      </c>
      <c r="N351" s="2">
        <f t="shared" si="217"/>
        <v>250.88</v>
      </c>
      <c r="O351" s="2">
        <f t="shared" si="218"/>
        <v>25.09</v>
      </c>
      <c r="P351" s="2">
        <f t="shared" si="219"/>
        <v>2240</v>
      </c>
      <c r="Q351" s="2">
        <f t="shared" si="220"/>
        <v>224</v>
      </c>
      <c r="R351" s="2">
        <f t="shared" si="221"/>
        <v>35.840000000000003</v>
      </c>
      <c r="S351" s="2">
        <f t="shared" si="222"/>
        <v>3.58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11">
        <v>554003</v>
      </c>
      <c r="Z351" s="12" t="s">
        <v>667</v>
      </c>
      <c r="AA351" s="4">
        <v>1</v>
      </c>
      <c r="AB351" s="4">
        <v>0</v>
      </c>
      <c r="AC351" s="4"/>
      <c r="AD351" s="4">
        <f t="shared" si="228"/>
        <v>15300.774719999999</v>
      </c>
      <c r="AF351" s="1" t="str">
        <f t="shared" si="229"/>
        <v>0</v>
      </c>
      <c r="AG351">
        <v>11</v>
      </c>
      <c r="AH351">
        <f t="shared" si="232"/>
        <v>250.87999999999997</v>
      </c>
      <c r="AI351">
        <f t="shared" si="233"/>
        <v>25.087999999999997</v>
      </c>
      <c r="AJ351">
        <f t="shared" si="234"/>
        <v>2240</v>
      </c>
      <c r="AK351">
        <f t="shared" si="235"/>
        <v>224</v>
      </c>
      <c r="AL351">
        <f t="shared" si="236"/>
        <v>35.839999999999996</v>
      </c>
      <c r="AM351">
        <f t="shared" si="223"/>
        <v>3.5839999999999996</v>
      </c>
      <c r="AN351">
        <f t="shared" si="237"/>
        <v>1.4</v>
      </c>
      <c r="AO351">
        <f t="shared" si="238"/>
        <v>1.4</v>
      </c>
      <c r="AP351">
        <f t="shared" si="239"/>
        <v>6</v>
      </c>
      <c r="AQ351">
        <v>400</v>
      </c>
      <c r="AR351">
        <v>5</v>
      </c>
      <c r="BO351" t="s">
        <v>182</v>
      </c>
      <c r="BP351" t="str">
        <f t="shared" si="240"/>
        <v>2</v>
      </c>
    </row>
    <row r="352" spans="1:68" x14ac:dyDescent="0.15">
      <c r="A352">
        <f t="shared" si="231"/>
        <v>5501115</v>
      </c>
      <c r="B352" t="s">
        <v>413</v>
      </c>
      <c r="C352">
        <v>11</v>
      </c>
      <c r="D352">
        <v>5</v>
      </c>
      <c r="E352">
        <v>5</v>
      </c>
      <c r="F352" t="s">
        <v>709</v>
      </c>
      <c r="G352" t="s">
        <v>709</v>
      </c>
      <c r="H352" s="22">
        <v>0</v>
      </c>
      <c r="I352" s="28" t="s">
        <v>721</v>
      </c>
      <c r="J352" s="2">
        <f t="shared" si="227"/>
        <v>6</v>
      </c>
      <c r="K352" s="2">
        <f t="shared" si="215"/>
        <v>1.6</v>
      </c>
      <c r="L352" s="2">
        <f t="shared" si="216"/>
        <v>2</v>
      </c>
      <c r="M352" s="2">
        <v>15</v>
      </c>
      <c r="N352" s="2">
        <f t="shared" si="217"/>
        <v>334.51</v>
      </c>
      <c r="O352" s="2">
        <f t="shared" si="218"/>
        <v>33.450000000000003</v>
      </c>
      <c r="P352" s="2">
        <f t="shared" si="219"/>
        <v>1920</v>
      </c>
      <c r="Q352" s="2">
        <f t="shared" si="220"/>
        <v>192</v>
      </c>
      <c r="R352" s="2">
        <f t="shared" si="221"/>
        <v>41.81</v>
      </c>
      <c r="S352" s="2">
        <f t="shared" si="222"/>
        <v>4.18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11">
        <v>555013</v>
      </c>
      <c r="Z352" s="26" t="s">
        <v>668</v>
      </c>
      <c r="AA352" s="4">
        <v>1</v>
      </c>
      <c r="AB352" s="4">
        <v>0</v>
      </c>
      <c r="AC352" s="4"/>
      <c r="AD352" s="4">
        <f t="shared" si="228"/>
        <v>15299.402579999998</v>
      </c>
      <c r="AF352" s="1" t="str">
        <f t="shared" si="229"/>
        <v>1</v>
      </c>
      <c r="AG352">
        <v>11</v>
      </c>
      <c r="AH352">
        <f t="shared" si="232"/>
        <v>334.5066666666666</v>
      </c>
      <c r="AI352">
        <f t="shared" si="233"/>
        <v>33.450666666666663</v>
      </c>
      <c r="AJ352">
        <f t="shared" si="234"/>
        <v>1920</v>
      </c>
      <c r="AK352">
        <f t="shared" si="235"/>
        <v>192</v>
      </c>
      <c r="AL352">
        <f t="shared" si="236"/>
        <v>41.813333333333325</v>
      </c>
      <c r="AM352">
        <f t="shared" si="223"/>
        <v>4.1813333333333329</v>
      </c>
      <c r="AN352">
        <f t="shared" si="237"/>
        <v>1.6</v>
      </c>
      <c r="AO352">
        <f t="shared" si="238"/>
        <v>2</v>
      </c>
      <c r="AP352">
        <f t="shared" si="239"/>
        <v>6</v>
      </c>
      <c r="AQ352">
        <v>501</v>
      </c>
      <c r="AR352">
        <v>5</v>
      </c>
      <c r="BO352" t="s">
        <v>184</v>
      </c>
      <c r="BP352" t="str">
        <f t="shared" si="240"/>
        <v>0</v>
      </c>
    </row>
    <row r="353" spans="1:68" x14ac:dyDescent="0.15">
      <c r="A353">
        <f t="shared" si="231"/>
        <v>5200121</v>
      </c>
      <c r="B353" t="s">
        <v>160</v>
      </c>
      <c r="C353">
        <v>12</v>
      </c>
      <c r="D353">
        <v>2</v>
      </c>
      <c r="E353">
        <v>1</v>
      </c>
      <c r="F353" t="s">
        <v>207</v>
      </c>
      <c r="G353" t="s">
        <v>207</v>
      </c>
      <c r="H353" s="2">
        <v>0</v>
      </c>
      <c r="I353" s="28" t="s">
        <v>711</v>
      </c>
      <c r="J353" s="2">
        <f t="shared" si="227"/>
        <v>3</v>
      </c>
      <c r="K353" s="2">
        <f t="shared" si="215"/>
        <v>1.5</v>
      </c>
      <c r="L353" s="2">
        <f t="shared" si="216"/>
        <v>1.2</v>
      </c>
      <c r="M353" s="2">
        <v>10</v>
      </c>
      <c r="N353" s="2">
        <f t="shared" si="217"/>
        <v>240</v>
      </c>
      <c r="O353" s="2">
        <f t="shared" si="218"/>
        <v>24</v>
      </c>
      <c r="P353" s="2">
        <f t="shared" si="219"/>
        <v>2880</v>
      </c>
      <c r="Q353" s="2">
        <f t="shared" si="220"/>
        <v>288</v>
      </c>
      <c r="R353" s="2">
        <f t="shared" si="221"/>
        <v>60</v>
      </c>
      <c r="S353" s="2">
        <f t="shared" si="222"/>
        <v>6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11">
        <v>512003</v>
      </c>
      <c r="Z353" s="12" t="s">
        <v>669</v>
      </c>
      <c r="AA353" s="4">
        <v>1</v>
      </c>
      <c r="AB353" s="4">
        <v>0</v>
      </c>
      <c r="AC353" s="4"/>
      <c r="AD353" s="4">
        <f t="shared" si="228"/>
        <v>17563.392</v>
      </c>
      <c r="AF353" s="1" t="str">
        <f t="shared" si="229"/>
        <v>0</v>
      </c>
      <c r="AG353">
        <v>12</v>
      </c>
      <c r="AH353">
        <f t="shared" si="232"/>
        <v>240</v>
      </c>
      <c r="AI353">
        <f t="shared" si="233"/>
        <v>24</v>
      </c>
      <c r="AJ353">
        <f t="shared" si="234"/>
        <v>2880</v>
      </c>
      <c r="AK353">
        <f t="shared" si="235"/>
        <v>288</v>
      </c>
      <c r="AL353">
        <f t="shared" si="236"/>
        <v>60</v>
      </c>
      <c r="AM353">
        <f t="shared" si="223"/>
        <v>6</v>
      </c>
      <c r="AN353">
        <f t="shared" si="237"/>
        <v>1.5</v>
      </c>
      <c r="AO353">
        <f t="shared" si="238"/>
        <v>1.2</v>
      </c>
      <c r="AP353">
        <f t="shared" si="239"/>
        <v>3</v>
      </c>
      <c r="AQ353">
        <v>200</v>
      </c>
      <c r="AR353">
        <v>5</v>
      </c>
      <c r="BO353" t="s">
        <v>141</v>
      </c>
      <c r="BP353" t="str">
        <f t="shared" si="240"/>
        <v>1</v>
      </c>
    </row>
    <row r="354" spans="1:68" x14ac:dyDescent="0.15">
      <c r="A354">
        <f t="shared" si="231"/>
        <v>5201121</v>
      </c>
      <c r="B354" t="s">
        <v>407</v>
      </c>
      <c r="C354">
        <v>12</v>
      </c>
      <c r="D354">
        <v>2</v>
      </c>
      <c r="E354">
        <v>1</v>
      </c>
      <c r="F354" t="s">
        <v>208</v>
      </c>
      <c r="G354" t="s">
        <v>208</v>
      </c>
      <c r="H354" s="2">
        <v>0</v>
      </c>
      <c r="I354" s="2" t="s">
        <v>92</v>
      </c>
      <c r="J354" s="2">
        <f t="shared" si="227"/>
        <v>3</v>
      </c>
      <c r="K354" s="2">
        <f t="shared" si="215"/>
        <v>1.8</v>
      </c>
      <c r="L354" s="2">
        <f t="shared" si="216"/>
        <v>1.8</v>
      </c>
      <c r="M354" s="2">
        <v>10</v>
      </c>
      <c r="N354" s="2">
        <f t="shared" si="217"/>
        <v>230.4</v>
      </c>
      <c r="O354" s="2">
        <f t="shared" si="218"/>
        <v>23.04</v>
      </c>
      <c r="P354" s="2">
        <f t="shared" si="219"/>
        <v>3600</v>
      </c>
      <c r="Q354" s="2">
        <f t="shared" si="220"/>
        <v>360</v>
      </c>
      <c r="R354" s="2">
        <f t="shared" si="221"/>
        <v>76.8</v>
      </c>
      <c r="S354" s="2">
        <f t="shared" si="222"/>
        <v>7.68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11">
        <v>512013</v>
      </c>
      <c r="Z354" s="12" t="s">
        <v>670</v>
      </c>
      <c r="AA354" s="4">
        <v>1</v>
      </c>
      <c r="AB354" s="4">
        <v>0</v>
      </c>
      <c r="AC354" s="4"/>
      <c r="AD354" s="4">
        <f t="shared" si="228"/>
        <v>17563.392</v>
      </c>
      <c r="AF354" s="1" t="str">
        <f t="shared" si="229"/>
        <v>1</v>
      </c>
      <c r="AG354">
        <v>12</v>
      </c>
      <c r="AH354">
        <f t="shared" si="232"/>
        <v>230.40000000000003</v>
      </c>
      <c r="AI354">
        <f t="shared" si="233"/>
        <v>23.040000000000006</v>
      </c>
      <c r="AJ354">
        <f t="shared" si="234"/>
        <v>3600</v>
      </c>
      <c r="AK354">
        <f t="shared" si="235"/>
        <v>360</v>
      </c>
      <c r="AL354">
        <f t="shared" si="236"/>
        <v>76.800000000000011</v>
      </c>
      <c r="AM354">
        <f t="shared" si="223"/>
        <v>7.6800000000000015</v>
      </c>
      <c r="AN354">
        <f t="shared" si="237"/>
        <v>1.8</v>
      </c>
      <c r="AO354">
        <f t="shared" si="238"/>
        <v>1.8</v>
      </c>
      <c r="AP354">
        <f t="shared" si="239"/>
        <v>3</v>
      </c>
      <c r="AQ354">
        <v>201</v>
      </c>
      <c r="AR354">
        <v>5</v>
      </c>
      <c r="BO354" t="s">
        <v>186</v>
      </c>
      <c r="BP354" t="str">
        <f t="shared" si="240"/>
        <v>0</v>
      </c>
    </row>
    <row r="355" spans="1:68" x14ac:dyDescent="0.15">
      <c r="A355">
        <f t="shared" si="231"/>
        <v>5202121</v>
      </c>
      <c r="B355" t="s">
        <v>408</v>
      </c>
      <c r="C355">
        <v>12</v>
      </c>
      <c r="D355">
        <v>2</v>
      </c>
      <c r="E355">
        <v>1</v>
      </c>
      <c r="F355" t="s">
        <v>210</v>
      </c>
      <c r="G355" t="s">
        <v>210</v>
      </c>
      <c r="H355">
        <v>0</v>
      </c>
      <c r="I355" s="28" t="s">
        <v>712</v>
      </c>
      <c r="J355" s="2">
        <f t="shared" si="227"/>
        <v>3</v>
      </c>
      <c r="K355" s="2">
        <f t="shared" si="215"/>
        <v>1.8</v>
      </c>
      <c r="L355" s="2">
        <f t="shared" si="216"/>
        <v>2</v>
      </c>
      <c r="M355" s="2">
        <v>10</v>
      </c>
      <c r="N355" s="2">
        <f t="shared" si="217"/>
        <v>259.2</v>
      </c>
      <c r="O355" s="2">
        <f t="shared" si="218"/>
        <v>25.92</v>
      </c>
      <c r="P355" s="2">
        <f t="shared" si="219"/>
        <v>3200</v>
      </c>
      <c r="Q355" s="2">
        <f t="shared" si="220"/>
        <v>320</v>
      </c>
      <c r="R355" s="2">
        <f t="shared" si="221"/>
        <v>51.84</v>
      </c>
      <c r="S355" s="2">
        <f t="shared" si="222"/>
        <v>5.18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11">
        <v>512023</v>
      </c>
      <c r="Z355" s="12" t="s">
        <v>671</v>
      </c>
      <c r="AA355" s="4">
        <v>1</v>
      </c>
      <c r="AB355" s="4">
        <v>0</v>
      </c>
      <c r="AC355" s="4"/>
      <c r="AD355" s="4">
        <f t="shared" si="228"/>
        <v>17563.392</v>
      </c>
      <c r="AF355" s="1" t="str">
        <f t="shared" si="229"/>
        <v>2</v>
      </c>
      <c r="AG355">
        <v>12</v>
      </c>
      <c r="AH355">
        <f t="shared" si="232"/>
        <v>259.20000000000005</v>
      </c>
      <c r="AI355">
        <f t="shared" si="233"/>
        <v>25.920000000000005</v>
      </c>
      <c r="AJ355">
        <f t="shared" si="234"/>
        <v>3200</v>
      </c>
      <c r="AK355">
        <f t="shared" si="235"/>
        <v>320</v>
      </c>
      <c r="AL355">
        <f t="shared" si="236"/>
        <v>51.840000000000011</v>
      </c>
      <c r="AM355">
        <f t="shared" si="223"/>
        <v>5.1840000000000011</v>
      </c>
      <c r="AN355">
        <f t="shared" si="237"/>
        <v>1.8</v>
      </c>
      <c r="AO355">
        <f t="shared" si="238"/>
        <v>2</v>
      </c>
      <c r="AP355">
        <f t="shared" si="239"/>
        <v>3</v>
      </c>
      <c r="AQ355">
        <v>202</v>
      </c>
      <c r="AR355">
        <v>5</v>
      </c>
      <c r="BO355" t="s">
        <v>176</v>
      </c>
      <c r="BP355" t="str">
        <f t="shared" si="240"/>
        <v>2</v>
      </c>
    </row>
    <row r="356" spans="1:68" x14ac:dyDescent="0.15">
      <c r="A356">
        <f t="shared" si="231"/>
        <v>5301121</v>
      </c>
      <c r="B356" t="s">
        <v>409</v>
      </c>
      <c r="C356">
        <v>12</v>
      </c>
      <c r="D356">
        <v>3</v>
      </c>
      <c r="E356">
        <v>1</v>
      </c>
      <c r="F356" t="s">
        <v>211</v>
      </c>
      <c r="G356" t="s">
        <v>211</v>
      </c>
      <c r="H356" s="2">
        <v>0</v>
      </c>
      <c r="I356" s="28" t="s">
        <v>713</v>
      </c>
      <c r="J356" s="2">
        <f t="shared" si="227"/>
        <v>3</v>
      </c>
      <c r="K356" s="2">
        <f t="shared" si="215"/>
        <v>1.2</v>
      </c>
      <c r="L356" s="2">
        <f t="shared" si="216"/>
        <v>2</v>
      </c>
      <c r="M356" s="2">
        <v>10</v>
      </c>
      <c r="N356" s="2">
        <f t="shared" si="217"/>
        <v>172.8</v>
      </c>
      <c r="O356" s="2">
        <f t="shared" si="218"/>
        <v>17.28</v>
      </c>
      <c r="P356" s="2">
        <f t="shared" si="219"/>
        <v>3200</v>
      </c>
      <c r="Q356" s="2">
        <f t="shared" si="220"/>
        <v>320</v>
      </c>
      <c r="R356" s="2">
        <f t="shared" si="221"/>
        <v>34.56</v>
      </c>
      <c r="S356" s="2">
        <f t="shared" si="222"/>
        <v>3.46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11">
        <v>513013</v>
      </c>
      <c r="Z356" s="12" t="s">
        <v>672</v>
      </c>
      <c r="AA356" s="4">
        <v>1</v>
      </c>
      <c r="AB356" s="4">
        <v>0</v>
      </c>
      <c r="AC356" s="4"/>
      <c r="AD356" s="4">
        <f t="shared" si="228"/>
        <v>17563.392</v>
      </c>
      <c r="AF356" s="1" t="str">
        <f t="shared" si="229"/>
        <v>1</v>
      </c>
      <c r="AG356">
        <v>12</v>
      </c>
      <c r="AH356">
        <f t="shared" si="232"/>
        <v>172.8</v>
      </c>
      <c r="AI356">
        <f t="shared" si="233"/>
        <v>17.28</v>
      </c>
      <c r="AJ356">
        <f t="shared" si="234"/>
        <v>3200</v>
      </c>
      <c r="AK356">
        <f t="shared" si="235"/>
        <v>320</v>
      </c>
      <c r="AL356">
        <f t="shared" si="236"/>
        <v>34.56</v>
      </c>
      <c r="AM356">
        <f t="shared" si="223"/>
        <v>3.4560000000000004</v>
      </c>
      <c r="AN356">
        <f t="shared" si="237"/>
        <v>1.2</v>
      </c>
      <c r="AO356">
        <f t="shared" si="238"/>
        <v>2</v>
      </c>
      <c r="AP356">
        <f t="shared" si="239"/>
        <v>3</v>
      </c>
      <c r="AQ356">
        <v>301</v>
      </c>
      <c r="AR356">
        <v>5</v>
      </c>
      <c r="BO356" t="s">
        <v>169</v>
      </c>
      <c r="BP356" t="str">
        <f t="shared" si="240"/>
        <v>0</v>
      </c>
    </row>
    <row r="357" spans="1:68" x14ac:dyDescent="0.15">
      <c r="A357">
        <f t="shared" si="231"/>
        <v>5401121</v>
      </c>
      <c r="B357" t="s">
        <v>410</v>
      </c>
      <c r="C357">
        <v>12</v>
      </c>
      <c r="D357">
        <v>4</v>
      </c>
      <c r="E357">
        <v>1</v>
      </c>
      <c r="F357" t="s">
        <v>212</v>
      </c>
      <c r="G357" t="s">
        <v>212</v>
      </c>
      <c r="H357" s="2">
        <v>0</v>
      </c>
      <c r="I357" s="2" t="s">
        <v>103</v>
      </c>
      <c r="J357" s="2">
        <f t="shared" si="227"/>
        <v>6</v>
      </c>
      <c r="K357" s="2">
        <f t="shared" si="215"/>
        <v>1.6</v>
      </c>
      <c r="L357" s="2">
        <f t="shared" si="216"/>
        <v>2</v>
      </c>
      <c r="M357" s="2">
        <v>10</v>
      </c>
      <c r="N357" s="2">
        <f t="shared" si="217"/>
        <v>307.2</v>
      </c>
      <c r="O357" s="2">
        <f t="shared" si="218"/>
        <v>30.72</v>
      </c>
      <c r="P357" s="2">
        <f t="shared" si="219"/>
        <v>2400</v>
      </c>
      <c r="Q357" s="2">
        <f t="shared" si="220"/>
        <v>240</v>
      </c>
      <c r="R357" s="2">
        <f t="shared" si="221"/>
        <v>43.89</v>
      </c>
      <c r="S357" s="2">
        <f t="shared" si="222"/>
        <v>4.3899999999999997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11">
        <v>514013</v>
      </c>
      <c r="Z357" s="12" t="s">
        <v>673</v>
      </c>
      <c r="AA357" s="4">
        <v>1</v>
      </c>
      <c r="AB357" s="4">
        <v>0</v>
      </c>
      <c r="AC357" s="4"/>
      <c r="AD357" s="4">
        <f t="shared" si="228"/>
        <v>17563.392</v>
      </c>
      <c r="AF357" s="1" t="str">
        <f t="shared" si="229"/>
        <v>1</v>
      </c>
      <c r="AG357">
        <v>12</v>
      </c>
      <c r="AH357">
        <f t="shared" si="232"/>
        <v>307.20000000000005</v>
      </c>
      <c r="AI357">
        <f t="shared" si="233"/>
        <v>30.720000000000006</v>
      </c>
      <c r="AJ357">
        <f t="shared" si="234"/>
        <v>2400</v>
      </c>
      <c r="AK357">
        <f t="shared" si="235"/>
        <v>240</v>
      </c>
      <c r="AL357">
        <f t="shared" si="236"/>
        <v>43.885714285714293</v>
      </c>
      <c r="AM357">
        <f t="shared" si="223"/>
        <v>4.3885714285714297</v>
      </c>
      <c r="AN357">
        <f t="shared" si="237"/>
        <v>1.6</v>
      </c>
      <c r="AO357">
        <f t="shared" si="238"/>
        <v>2</v>
      </c>
      <c r="AP357">
        <f t="shared" si="239"/>
        <v>6</v>
      </c>
      <c r="AQ357">
        <v>401</v>
      </c>
      <c r="AR357">
        <v>5</v>
      </c>
      <c r="BO357" t="s">
        <v>178</v>
      </c>
      <c r="BP357" t="str">
        <f t="shared" si="240"/>
        <v>2</v>
      </c>
    </row>
    <row r="358" spans="1:68" x14ac:dyDescent="0.15">
      <c r="A358">
        <f t="shared" si="231"/>
        <v>5402121</v>
      </c>
      <c r="B358" t="s">
        <v>102</v>
      </c>
      <c r="C358">
        <v>12</v>
      </c>
      <c r="D358">
        <v>4</v>
      </c>
      <c r="E358">
        <v>1</v>
      </c>
      <c r="F358" t="s">
        <v>213</v>
      </c>
      <c r="G358" t="s">
        <v>213</v>
      </c>
      <c r="H358">
        <v>0</v>
      </c>
      <c r="I358" s="28" t="s">
        <v>714</v>
      </c>
      <c r="J358" s="2">
        <f t="shared" si="227"/>
        <v>6</v>
      </c>
      <c r="K358" s="2">
        <f t="shared" si="215"/>
        <v>1.5</v>
      </c>
      <c r="L358" s="2">
        <f t="shared" si="216"/>
        <v>1.5</v>
      </c>
      <c r="M358" s="2">
        <v>10</v>
      </c>
      <c r="N358" s="2">
        <f t="shared" si="217"/>
        <v>288</v>
      </c>
      <c r="O358" s="2">
        <f t="shared" si="218"/>
        <v>28.8</v>
      </c>
      <c r="P358" s="2">
        <f t="shared" si="219"/>
        <v>2400</v>
      </c>
      <c r="Q358" s="2">
        <f t="shared" si="220"/>
        <v>240</v>
      </c>
      <c r="R358" s="2">
        <f t="shared" si="221"/>
        <v>41.14</v>
      </c>
      <c r="S358" s="2">
        <f t="shared" si="222"/>
        <v>4.1100000000000003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11">
        <v>514023</v>
      </c>
      <c r="Z358" s="12" t="s">
        <v>674</v>
      </c>
      <c r="AA358" s="4">
        <v>1</v>
      </c>
      <c r="AB358" s="4">
        <v>0</v>
      </c>
      <c r="AC358" s="4"/>
      <c r="AD358" s="4">
        <f t="shared" si="228"/>
        <v>17563.392</v>
      </c>
      <c r="AF358" s="1" t="str">
        <f t="shared" si="229"/>
        <v>2</v>
      </c>
      <c r="AG358">
        <v>12</v>
      </c>
      <c r="AH358">
        <f t="shared" si="232"/>
        <v>288</v>
      </c>
      <c r="AI358">
        <f t="shared" si="233"/>
        <v>28.8</v>
      </c>
      <c r="AJ358">
        <f t="shared" si="234"/>
        <v>2400</v>
      </c>
      <c r="AK358">
        <f t="shared" si="235"/>
        <v>240</v>
      </c>
      <c r="AL358">
        <f t="shared" si="236"/>
        <v>41.142857142857146</v>
      </c>
      <c r="AM358">
        <f t="shared" si="223"/>
        <v>4.1142857142857148</v>
      </c>
      <c r="AN358">
        <f t="shared" si="237"/>
        <v>1.5</v>
      </c>
      <c r="AO358">
        <f t="shared" si="238"/>
        <v>1.5</v>
      </c>
      <c r="AP358">
        <f t="shared" si="239"/>
        <v>6</v>
      </c>
      <c r="AQ358">
        <v>402</v>
      </c>
      <c r="AR358">
        <v>5</v>
      </c>
      <c r="BO358" t="s">
        <v>188</v>
      </c>
      <c r="BP358" t="str">
        <f t="shared" si="240"/>
        <v>0</v>
      </c>
    </row>
    <row r="359" spans="1:68" x14ac:dyDescent="0.15">
      <c r="A359">
        <f t="shared" si="231"/>
        <v>5500121</v>
      </c>
      <c r="B359" t="s">
        <v>411</v>
      </c>
      <c r="C359">
        <v>12</v>
      </c>
      <c r="D359">
        <v>5</v>
      </c>
      <c r="E359">
        <v>1</v>
      </c>
      <c r="F359" t="s">
        <v>214</v>
      </c>
      <c r="G359" t="s">
        <v>214</v>
      </c>
      <c r="H359">
        <v>0</v>
      </c>
      <c r="I359" s="2" t="s">
        <v>109</v>
      </c>
      <c r="J359" s="2">
        <f t="shared" si="227"/>
        <v>6</v>
      </c>
      <c r="K359" s="2">
        <f t="shared" si="215"/>
        <v>1.5</v>
      </c>
      <c r="L359" s="2">
        <f t="shared" si="216"/>
        <v>1.5</v>
      </c>
      <c r="M359" s="2">
        <v>10</v>
      </c>
      <c r="N359" s="2">
        <f t="shared" si="217"/>
        <v>336</v>
      </c>
      <c r="O359" s="2">
        <f t="shared" si="218"/>
        <v>33.6</v>
      </c>
      <c r="P359" s="2">
        <f t="shared" si="219"/>
        <v>2057.14</v>
      </c>
      <c r="Q359" s="2">
        <f t="shared" si="220"/>
        <v>205.71</v>
      </c>
      <c r="R359" s="2">
        <f t="shared" si="221"/>
        <v>42</v>
      </c>
      <c r="S359" s="2">
        <f t="shared" si="222"/>
        <v>4.2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11">
        <v>515003</v>
      </c>
      <c r="Z359" s="12" t="s">
        <v>675</v>
      </c>
      <c r="AA359" s="4">
        <v>1</v>
      </c>
      <c r="AB359" s="4">
        <v>0</v>
      </c>
      <c r="AC359" s="4"/>
      <c r="AD359" s="4">
        <f t="shared" si="228"/>
        <v>17563.057142399997</v>
      </c>
      <c r="AF359" s="1" t="str">
        <f t="shared" si="229"/>
        <v>0</v>
      </c>
      <c r="AG359">
        <v>12</v>
      </c>
      <c r="AH359">
        <f t="shared" si="232"/>
        <v>335.99999999999989</v>
      </c>
      <c r="AI359">
        <f t="shared" si="233"/>
        <v>33.599999999999987</v>
      </c>
      <c r="AJ359">
        <f t="shared" si="234"/>
        <v>2057.1428571428573</v>
      </c>
      <c r="AK359">
        <f t="shared" si="235"/>
        <v>205.71428571428575</v>
      </c>
      <c r="AL359">
        <f t="shared" si="236"/>
        <v>41.999999999999986</v>
      </c>
      <c r="AM359">
        <f t="shared" si="223"/>
        <v>4.1999999999999984</v>
      </c>
      <c r="AN359">
        <f t="shared" si="237"/>
        <v>1.5</v>
      </c>
      <c r="AO359">
        <f t="shared" si="238"/>
        <v>1.5</v>
      </c>
      <c r="AP359">
        <f t="shared" si="239"/>
        <v>6</v>
      </c>
      <c r="AQ359">
        <v>500</v>
      </c>
      <c r="AR359">
        <v>5</v>
      </c>
      <c r="BO359" t="s">
        <v>180</v>
      </c>
      <c r="BP359" t="str">
        <f t="shared" si="240"/>
        <v>2</v>
      </c>
    </row>
    <row r="360" spans="1:68" x14ac:dyDescent="0.15">
      <c r="A360">
        <f t="shared" si="231"/>
        <v>5502121</v>
      </c>
      <c r="B360" t="s">
        <v>115</v>
      </c>
      <c r="C360">
        <v>12</v>
      </c>
      <c r="D360">
        <v>5</v>
      </c>
      <c r="E360">
        <v>1</v>
      </c>
      <c r="F360" t="s">
        <v>215</v>
      </c>
      <c r="G360" t="s">
        <v>215</v>
      </c>
      <c r="H360" s="2">
        <v>0</v>
      </c>
      <c r="I360" s="2" t="s">
        <v>113</v>
      </c>
      <c r="J360" s="2">
        <f t="shared" si="227"/>
        <v>6</v>
      </c>
      <c r="K360" s="2">
        <f t="shared" si="215"/>
        <v>1.4000000000000001</v>
      </c>
      <c r="L360" s="2">
        <f t="shared" si="216"/>
        <v>2</v>
      </c>
      <c r="M360" s="2">
        <v>10</v>
      </c>
      <c r="N360" s="2">
        <f t="shared" si="217"/>
        <v>313.60000000000002</v>
      </c>
      <c r="O360" s="2">
        <f t="shared" si="218"/>
        <v>31.36</v>
      </c>
      <c r="P360" s="2">
        <f t="shared" si="219"/>
        <v>2057.14</v>
      </c>
      <c r="Q360" s="2">
        <f t="shared" si="220"/>
        <v>205.71</v>
      </c>
      <c r="R360" s="2">
        <f t="shared" si="221"/>
        <v>39.200000000000003</v>
      </c>
      <c r="S360" s="2">
        <f t="shared" si="222"/>
        <v>3.92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11">
        <v>515023</v>
      </c>
      <c r="Z360" s="12" t="s">
        <v>676</v>
      </c>
      <c r="AA360" s="4">
        <v>1</v>
      </c>
      <c r="AB360" s="4">
        <v>0</v>
      </c>
      <c r="AC360" s="4"/>
      <c r="AD360" s="4">
        <f t="shared" si="228"/>
        <v>17563.057142399997</v>
      </c>
      <c r="AF360" s="1" t="str">
        <f t="shared" si="229"/>
        <v>2</v>
      </c>
      <c r="AG360">
        <v>12</v>
      </c>
      <c r="AH360">
        <f t="shared" si="232"/>
        <v>313.59999999999997</v>
      </c>
      <c r="AI360">
        <f t="shared" si="233"/>
        <v>31.36</v>
      </c>
      <c r="AJ360">
        <f t="shared" si="234"/>
        <v>2057.1428571428573</v>
      </c>
      <c r="AK360">
        <f t="shared" si="235"/>
        <v>205.71428571428575</v>
      </c>
      <c r="AL360">
        <f t="shared" si="236"/>
        <v>39.199999999999996</v>
      </c>
      <c r="AM360">
        <f t="shared" si="223"/>
        <v>3.92</v>
      </c>
      <c r="AN360">
        <f t="shared" si="237"/>
        <v>1.4</v>
      </c>
      <c r="AO360">
        <f t="shared" si="238"/>
        <v>2</v>
      </c>
      <c r="AP360">
        <f t="shared" si="239"/>
        <v>6</v>
      </c>
      <c r="AQ360">
        <v>502</v>
      </c>
      <c r="AR360">
        <v>5</v>
      </c>
      <c r="BO360" t="s">
        <v>173</v>
      </c>
      <c r="BP360" t="str">
        <f t="shared" si="240"/>
        <v>0</v>
      </c>
    </row>
    <row r="361" spans="1:68" x14ac:dyDescent="0.15">
      <c r="A361">
        <f t="shared" si="231"/>
        <v>5601121</v>
      </c>
      <c r="B361" t="s">
        <v>412</v>
      </c>
      <c r="C361">
        <v>12</v>
      </c>
      <c r="D361">
        <v>6</v>
      </c>
      <c r="E361">
        <v>1</v>
      </c>
      <c r="F361" t="s">
        <v>216</v>
      </c>
      <c r="G361" t="s">
        <v>216</v>
      </c>
      <c r="H361">
        <v>0</v>
      </c>
      <c r="I361" s="2" t="s">
        <v>116</v>
      </c>
      <c r="J361" s="2">
        <f t="shared" si="227"/>
        <v>6</v>
      </c>
      <c r="K361" s="2">
        <f t="shared" si="215"/>
        <v>1.5</v>
      </c>
      <c r="L361" s="2">
        <f t="shared" si="216"/>
        <v>2</v>
      </c>
      <c r="M361" s="2">
        <v>10</v>
      </c>
      <c r="N361" s="2">
        <f t="shared" si="217"/>
        <v>372</v>
      </c>
      <c r="O361" s="2">
        <f t="shared" si="218"/>
        <v>37.200000000000003</v>
      </c>
      <c r="P361" s="2">
        <f t="shared" si="219"/>
        <v>1858.06</v>
      </c>
      <c r="Q361" s="2">
        <f t="shared" si="220"/>
        <v>185.81</v>
      </c>
      <c r="R361" s="2">
        <f t="shared" si="221"/>
        <v>37.200000000000003</v>
      </c>
      <c r="S361" s="2">
        <f t="shared" si="222"/>
        <v>3.72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11">
        <v>516013</v>
      </c>
      <c r="Z361" s="12" t="s">
        <v>677</v>
      </c>
      <c r="AA361" s="4">
        <v>1</v>
      </c>
      <c r="AB361" s="4">
        <v>0</v>
      </c>
      <c r="AC361" s="4"/>
      <c r="AD361" s="4">
        <f t="shared" si="228"/>
        <v>17563.693039199999</v>
      </c>
      <c r="AF361" s="1" t="str">
        <f t="shared" si="229"/>
        <v>1</v>
      </c>
      <c r="AG361">
        <v>12</v>
      </c>
      <c r="AH361">
        <f t="shared" si="232"/>
        <v>372</v>
      </c>
      <c r="AI361">
        <f t="shared" si="233"/>
        <v>37.200000000000003</v>
      </c>
      <c r="AJ361">
        <f t="shared" si="234"/>
        <v>1858.0645161290322</v>
      </c>
      <c r="AK361">
        <f t="shared" si="235"/>
        <v>185.80645161290323</v>
      </c>
      <c r="AL361">
        <f t="shared" si="236"/>
        <v>37.200000000000003</v>
      </c>
      <c r="AM361">
        <f t="shared" si="223"/>
        <v>3.7200000000000006</v>
      </c>
      <c r="AN361">
        <f t="shared" si="237"/>
        <v>1.5</v>
      </c>
      <c r="AO361">
        <f t="shared" si="238"/>
        <v>2</v>
      </c>
      <c r="AP361">
        <f t="shared" si="239"/>
        <v>6</v>
      </c>
      <c r="AQ361">
        <v>601</v>
      </c>
      <c r="AR361">
        <v>5</v>
      </c>
      <c r="BO361" t="s">
        <v>182</v>
      </c>
      <c r="BP361" t="str">
        <f t="shared" si="240"/>
        <v>2</v>
      </c>
    </row>
    <row r="362" spans="1:68" x14ac:dyDescent="0.15">
      <c r="A362">
        <f t="shared" si="231"/>
        <v>5200122</v>
      </c>
      <c r="B362" t="s">
        <v>160</v>
      </c>
      <c r="C362">
        <v>12</v>
      </c>
      <c r="D362">
        <v>2</v>
      </c>
      <c r="E362">
        <v>2</v>
      </c>
      <c r="F362" t="s">
        <v>217</v>
      </c>
      <c r="G362" t="s">
        <v>217</v>
      </c>
      <c r="H362">
        <v>0</v>
      </c>
      <c r="I362" s="28" t="s">
        <v>715</v>
      </c>
      <c r="J362" s="2">
        <f t="shared" si="227"/>
        <v>3</v>
      </c>
      <c r="K362" s="2">
        <f t="shared" si="215"/>
        <v>1.5</v>
      </c>
      <c r="L362" s="2">
        <f t="shared" si="216"/>
        <v>1.2</v>
      </c>
      <c r="M362" s="2">
        <v>10</v>
      </c>
      <c r="N362" s="2">
        <f t="shared" si="217"/>
        <v>240</v>
      </c>
      <c r="O362" s="2">
        <f t="shared" si="218"/>
        <v>24</v>
      </c>
      <c r="P362" s="2">
        <f t="shared" si="219"/>
        <v>2880</v>
      </c>
      <c r="Q362" s="2">
        <f t="shared" si="220"/>
        <v>288</v>
      </c>
      <c r="R362" s="2">
        <f t="shared" si="221"/>
        <v>60</v>
      </c>
      <c r="S362" s="2">
        <f t="shared" si="222"/>
        <v>6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11">
        <v>522003</v>
      </c>
      <c r="Z362" s="12" t="s">
        <v>678</v>
      </c>
      <c r="AA362" s="4">
        <v>1</v>
      </c>
      <c r="AB362" s="4">
        <v>0</v>
      </c>
      <c r="AC362" s="4"/>
      <c r="AD362" s="4">
        <f t="shared" si="228"/>
        <v>17563.392</v>
      </c>
      <c r="AF362" s="1" t="str">
        <f t="shared" si="229"/>
        <v>0</v>
      </c>
      <c r="AG362">
        <v>12</v>
      </c>
      <c r="AH362">
        <f t="shared" si="232"/>
        <v>240</v>
      </c>
      <c r="AI362">
        <f t="shared" si="233"/>
        <v>24</v>
      </c>
      <c r="AJ362">
        <f t="shared" si="234"/>
        <v>2880</v>
      </c>
      <c r="AK362">
        <f t="shared" si="235"/>
        <v>288</v>
      </c>
      <c r="AL362">
        <f t="shared" si="236"/>
        <v>60</v>
      </c>
      <c r="AM362">
        <f t="shared" si="223"/>
        <v>6</v>
      </c>
      <c r="AN362">
        <f t="shared" si="237"/>
        <v>1.5</v>
      </c>
      <c r="AO362">
        <f t="shared" si="238"/>
        <v>1.2</v>
      </c>
      <c r="AP362">
        <f t="shared" si="239"/>
        <v>3</v>
      </c>
      <c r="AQ362">
        <v>200</v>
      </c>
      <c r="AR362">
        <v>5</v>
      </c>
      <c r="BO362" t="s">
        <v>184</v>
      </c>
      <c r="BP362" t="str">
        <f t="shared" si="240"/>
        <v>0</v>
      </c>
    </row>
    <row r="363" spans="1:68" x14ac:dyDescent="0.15">
      <c r="A363">
        <f t="shared" si="231"/>
        <v>5201122</v>
      </c>
      <c r="B363" t="s">
        <v>407</v>
      </c>
      <c r="C363">
        <v>12</v>
      </c>
      <c r="D363">
        <v>2</v>
      </c>
      <c r="E363">
        <v>2</v>
      </c>
      <c r="F363" t="s">
        <v>218</v>
      </c>
      <c r="G363" t="s">
        <v>218</v>
      </c>
      <c r="H363">
        <v>0</v>
      </c>
      <c r="I363" s="28" t="s">
        <v>722</v>
      </c>
      <c r="J363" s="2">
        <f t="shared" si="227"/>
        <v>3</v>
      </c>
      <c r="K363" s="2">
        <f t="shared" si="215"/>
        <v>1.8</v>
      </c>
      <c r="L363" s="2">
        <f t="shared" si="216"/>
        <v>1.8</v>
      </c>
      <c r="M363" s="2">
        <v>10</v>
      </c>
      <c r="N363" s="2">
        <f t="shared" si="217"/>
        <v>230.4</v>
      </c>
      <c r="O363" s="2">
        <f t="shared" si="218"/>
        <v>23.04</v>
      </c>
      <c r="P363" s="2">
        <f t="shared" si="219"/>
        <v>3600</v>
      </c>
      <c r="Q363" s="2">
        <f t="shared" si="220"/>
        <v>360</v>
      </c>
      <c r="R363" s="2">
        <f t="shared" si="221"/>
        <v>76.8</v>
      </c>
      <c r="S363" s="2">
        <f t="shared" si="222"/>
        <v>7.68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11">
        <v>522013</v>
      </c>
      <c r="Z363" s="12" t="s">
        <v>679</v>
      </c>
      <c r="AA363" s="4">
        <v>1</v>
      </c>
      <c r="AB363" s="4">
        <v>0</v>
      </c>
      <c r="AC363" s="4"/>
      <c r="AD363" s="4">
        <f t="shared" si="228"/>
        <v>17563.392</v>
      </c>
      <c r="AF363" s="1" t="str">
        <f t="shared" si="229"/>
        <v>1</v>
      </c>
      <c r="AG363">
        <v>12</v>
      </c>
      <c r="AH363">
        <f t="shared" si="232"/>
        <v>230.40000000000003</v>
      </c>
      <c r="AI363">
        <f t="shared" si="233"/>
        <v>23.040000000000006</v>
      </c>
      <c r="AJ363">
        <f t="shared" si="234"/>
        <v>3600</v>
      </c>
      <c r="AK363">
        <f t="shared" si="235"/>
        <v>360</v>
      </c>
      <c r="AL363">
        <f t="shared" si="236"/>
        <v>76.800000000000011</v>
      </c>
      <c r="AM363">
        <f t="shared" si="223"/>
        <v>7.6800000000000015</v>
      </c>
      <c r="AN363">
        <f t="shared" si="237"/>
        <v>1.8</v>
      </c>
      <c r="AO363">
        <f t="shared" si="238"/>
        <v>1.8</v>
      </c>
      <c r="AP363">
        <f t="shared" si="239"/>
        <v>3</v>
      </c>
      <c r="AQ363">
        <v>201</v>
      </c>
      <c r="AR363">
        <v>5</v>
      </c>
      <c r="BO363" t="s">
        <v>165</v>
      </c>
      <c r="BP363" t="str">
        <f t="shared" si="240"/>
        <v>2</v>
      </c>
    </row>
    <row r="364" spans="1:68" x14ac:dyDescent="0.15">
      <c r="A364">
        <f t="shared" si="231"/>
        <v>5202122</v>
      </c>
      <c r="B364" t="s">
        <v>408</v>
      </c>
      <c r="C364">
        <v>12</v>
      </c>
      <c r="D364">
        <v>2</v>
      </c>
      <c r="E364">
        <v>2</v>
      </c>
      <c r="F364" t="s">
        <v>219</v>
      </c>
      <c r="G364" t="s">
        <v>219</v>
      </c>
      <c r="H364" s="2">
        <v>0</v>
      </c>
      <c r="I364" s="2" t="s">
        <v>96</v>
      </c>
      <c r="J364" s="2">
        <f t="shared" si="227"/>
        <v>3</v>
      </c>
      <c r="K364" s="2">
        <f t="shared" si="215"/>
        <v>1.8</v>
      </c>
      <c r="L364" s="2">
        <f t="shared" si="216"/>
        <v>2</v>
      </c>
      <c r="M364" s="2">
        <v>10</v>
      </c>
      <c r="N364" s="2">
        <f t="shared" si="217"/>
        <v>259.2</v>
      </c>
      <c r="O364" s="2">
        <f t="shared" si="218"/>
        <v>25.92</v>
      </c>
      <c r="P364" s="2">
        <f t="shared" si="219"/>
        <v>3200</v>
      </c>
      <c r="Q364" s="2">
        <f t="shared" si="220"/>
        <v>320</v>
      </c>
      <c r="R364" s="2">
        <f t="shared" si="221"/>
        <v>51.84</v>
      </c>
      <c r="S364" s="2">
        <f t="shared" si="222"/>
        <v>5.18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11">
        <v>522023</v>
      </c>
      <c r="Z364" s="12" t="s">
        <v>680</v>
      </c>
      <c r="AA364" s="4">
        <v>1</v>
      </c>
      <c r="AB364" s="4">
        <v>0</v>
      </c>
      <c r="AC364" s="4"/>
      <c r="AD364" s="4">
        <f t="shared" si="228"/>
        <v>17563.392</v>
      </c>
      <c r="AF364" s="1" t="str">
        <f t="shared" si="229"/>
        <v>2</v>
      </c>
      <c r="AG364">
        <v>12</v>
      </c>
      <c r="AH364">
        <f t="shared" si="232"/>
        <v>259.20000000000005</v>
      </c>
      <c r="AI364">
        <f t="shared" si="233"/>
        <v>25.920000000000005</v>
      </c>
      <c r="AJ364">
        <f t="shared" si="234"/>
        <v>3200</v>
      </c>
      <c r="AK364">
        <f t="shared" si="235"/>
        <v>320</v>
      </c>
      <c r="AL364">
        <f t="shared" si="236"/>
        <v>51.840000000000011</v>
      </c>
      <c r="AM364">
        <f t="shared" si="223"/>
        <v>5.1840000000000011</v>
      </c>
      <c r="AN364">
        <f t="shared" si="237"/>
        <v>1.8</v>
      </c>
      <c r="AO364">
        <f t="shared" si="238"/>
        <v>2</v>
      </c>
      <c r="AP364">
        <f t="shared" si="239"/>
        <v>3</v>
      </c>
      <c r="AQ364">
        <v>202</v>
      </c>
      <c r="AR364">
        <v>5</v>
      </c>
      <c r="BO364" t="s">
        <v>186</v>
      </c>
      <c r="BP364" t="str">
        <f t="shared" si="240"/>
        <v>0</v>
      </c>
    </row>
    <row r="365" spans="1:68" ht="14.25" customHeight="1" x14ac:dyDescent="0.15">
      <c r="A365">
        <f t="shared" si="231"/>
        <v>5301122</v>
      </c>
      <c r="B365" t="s">
        <v>409</v>
      </c>
      <c r="C365">
        <v>12</v>
      </c>
      <c r="D365">
        <v>3</v>
      </c>
      <c r="E365">
        <v>2</v>
      </c>
      <c r="F365" t="s">
        <v>220</v>
      </c>
      <c r="G365" t="s">
        <v>220</v>
      </c>
      <c r="H365">
        <v>0</v>
      </c>
      <c r="I365" s="2" t="s">
        <v>100</v>
      </c>
      <c r="J365" s="2">
        <f t="shared" si="227"/>
        <v>3</v>
      </c>
      <c r="K365" s="2">
        <f t="shared" si="215"/>
        <v>1.2</v>
      </c>
      <c r="L365" s="2">
        <f t="shared" si="216"/>
        <v>2</v>
      </c>
      <c r="M365" s="2">
        <v>10</v>
      </c>
      <c r="N365" s="2">
        <f t="shared" si="217"/>
        <v>172.8</v>
      </c>
      <c r="O365" s="2">
        <f t="shared" si="218"/>
        <v>17.28</v>
      </c>
      <c r="P365" s="2">
        <f t="shared" si="219"/>
        <v>3200</v>
      </c>
      <c r="Q365" s="2">
        <f t="shared" si="220"/>
        <v>320</v>
      </c>
      <c r="R365" s="2">
        <f t="shared" si="221"/>
        <v>34.56</v>
      </c>
      <c r="S365" s="2">
        <f t="shared" si="222"/>
        <v>3.46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 s="11">
        <v>523013</v>
      </c>
      <c r="Z365" s="12" t="s">
        <v>681</v>
      </c>
      <c r="AA365" s="4">
        <v>1</v>
      </c>
      <c r="AB365" s="4">
        <v>0</v>
      </c>
      <c r="AC365" s="4"/>
      <c r="AD365" s="4">
        <f t="shared" si="228"/>
        <v>17563.392</v>
      </c>
      <c r="AF365" s="1" t="str">
        <f t="shared" si="229"/>
        <v>1</v>
      </c>
      <c r="AG365">
        <v>12</v>
      </c>
      <c r="AH365">
        <f t="shared" si="232"/>
        <v>172.8</v>
      </c>
      <c r="AI365">
        <f t="shared" si="233"/>
        <v>17.28</v>
      </c>
      <c r="AJ365">
        <f t="shared" si="234"/>
        <v>3200</v>
      </c>
      <c r="AK365">
        <f t="shared" si="235"/>
        <v>320</v>
      </c>
      <c r="AL365">
        <f t="shared" si="236"/>
        <v>34.56</v>
      </c>
      <c r="AM365">
        <f t="shared" si="223"/>
        <v>3.4560000000000004</v>
      </c>
      <c r="AN365">
        <f t="shared" si="237"/>
        <v>1.2</v>
      </c>
      <c r="AO365">
        <f t="shared" si="238"/>
        <v>2</v>
      </c>
      <c r="AP365">
        <f t="shared" si="239"/>
        <v>3</v>
      </c>
      <c r="AQ365">
        <v>301</v>
      </c>
      <c r="AR365">
        <v>5</v>
      </c>
      <c r="BO365" t="s">
        <v>167</v>
      </c>
      <c r="BP365" t="str">
        <f t="shared" si="240"/>
        <v>1</v>
      </c>
    </row>
    <row r="366" spans="1:68" x14ac:dyDescent="0.15">
      <c r="A366">
        <f t="shared" si="231"/>
        <v>5401122</v>
      </c>
      <c r="B366" t="s">
        <v>410</v>
      </c>
      <c r="C366">
        <v>12</v>
      </c>
      <c r="D366">
        <v>4</v>
      </c>
      <c r="E366">
        <v>2</v>
      </c>
      <c r="F366" t="s">
        <v>221</v>
      </c>
      <c r="G366" t="s">
        <v>221</v>
      </c>
      <c r="H366" s="2">
        <v>0</v>
      </c>
      <c r="I366" s="28" t="s">
        <v>716</v>
      </c>
      <c r="J366" s="2">
        <f t="shared" si="227"/>
        <v>6</v>
      </c>
      <c r="K366" s="2">
        <f t="shared" si="215"/>
        <v>1.6</v>
      </c>
      <c r="L366" s="2">
        <f t="shared" si="216"/>
        <v>2</v>
      </c>
      <c r="M366" s="2">
        <v>10</v>
      </c>
      <c r="N366" s="2">
        <f t="shared" si="217"/>
        <v>307.2</v>
      </c>
      <c r="O366" s="2">
        <f t="shared" si="218"/>
        <v>30.72</v>
      </c>
      <c r="P366" s="2">
        <f t="shared" si="219"/>
        <v>2400</v>
      </c>
      <c r="Q366" s="2">
        <f t="shared" si="220"/>
        <v>240</v>
      </c>
      <c r="R366" s="2">
        <f t="shared" si="221"/>
        <v>43.89</v>
      </c>
      <c r="S366" s="2">
        <f t="shared" si="222"/>
        <v>4.3899999999999997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11">
        <v>524013</v>
      </c>
      <c r="Z366" s="12" t="s">
        <v>682</v>
      </c>
      <c r="AA366" s="4">
        <v>1</v>
      </c>
      <c r="AB366" s="4">
        <v>0</v>
      </c>
      <c r="AC366" s="4"/>
      <c r="AD366" s="4">
        <f t="shared" si="228"/>
        <v>17563.392</v>
      </c>
      <c r="AF366" s="1" t="str">
        <f t="shared" si="229"/>
        <v>1</v>
      </c>
      <c r="AG366">
        <v>12</v>
      </c>
      <c r="AH366">
        <f t="shared" si="232"/>
        <v>307.20000000000005</v>
      </c>
      <c r="AI366">
        <f t="shared" si="233"/>
        <v>30.720000000000006</v>
      </c>
      <c r="AJ366">
        <f t="shared" si="234"/>
        <v>2400</v>
      </c>
      <c r="AK366">
        <f t="shared" si="235"/>
        <v>240</v>
      </c>
      <c r="AL366">
        <f t="shared" si="236"/>
        <v>43.885714285714293</v>
      </c>
      <c r="AM366">
        <f t="shared" si="223"/>
        <v>4.3885714285714297</v>
      </c>
      <c r="AN366">
        <f t="shared" si="237"/>
        <v>1.6</v>
      </c>
      <c r="AO366">
        <f t="shared" si="238"/>
        <v>2</v>
      </c>
      <c r="AP366">
        <f t="shared" si="239"/>
        <v>6</v>
      </c>
      <c r="AQ366">
        <v>401</v>
      </c>
      <c r="AR366">
        <v>5</v>
      </c>
      <c r="BO366" t="s">
        <v>159</v>
      </c>
      <c r="BP366" t="str">
        <f t="shared" si="240"/>
        <v>1</v>
      </c>
    </row>
    <row r="367" spans="1:68" x14ac:dyDescent="0.15">
      <c r="A367">
        <f t="shared" si="231"/>
        <v>5402122</v>
      </c>
      <c r="B367" t="s">
        <v>102</v>
      </c>
      <c r="C367">
        <v>12</v>
      </c>
      <c r="D367">
        <v>4</v>
      </c>
      <c r="E367">
        <v>2</v>
      </c>
      <c r="F367" t="s">
        <v>222</v>
      </c>
      <c r="G367" t="s">
        <v>222</v>
      </c>
      <c r="H367">
        <v>0</v>
      </c>
      <c r="I367" s="2" t="s">
        <v>106</v>
      </c>
      <c r="J367" s="2">
        <f t="shared" si="227"/>
        <v>6</v>
      </c>
      <c r="K367" s="2">
        <f t="shared" si="215"/>
        <v>1.5</v>
      </c>
      <c r="L367" s="2">
        <f t="shared" si="216"/>
        <v>1.5</v>
      </c>
      <c r="M367" s="2">
        <v>10</v>
      </c>
      <c r="N367" s="2">
        <f t="shared" si="217"/>
        <v>288</v>
      </c>
      <c r="O367" s="2">
        <f t="shared" si="218"/>
        <v>28.8</v>
      </c>
      <c r="P367" s="2">
        <f t="shared" si="219"/>
        <v>2400</v>
      </c>
      <c r="Q367" s="2">
        <f t="shared" si="220"/>
        <v>240</v>
      </c>
      <c r="R367" s="2">
        <f t="shared" si="221"/>
        <v>41.14</v>
      </c>
      <c r="S367" s="2">
        <f t="shared" si="222"/>
        <v>4.1100000000000003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11">
        <v>524023</v>
      </c>
      <c r="Z367" s="12" t="s">
        <v>683</v>
      </c>
      <c r="AA367" s="4">
        <v>1</v>
      </c>
      <c r="AB367" s="4">
        <v>0</v>
      </c>
      <c r="AC367" s="4"/>
      <c r="AD367" s="4">
        <f t="shared" si="228"/>
        <v>17563.392</v>
      </c>
      <c r="AF367" s="1" t="str">
        <f t="shared" si="229"/>
        <v>2</v>
      </c>
      <c r="AG367">
        <v>12</v>
      </c>
      <c r="AH367">
        <f t="shared" si="232"/>
        <v>288</v>
      </c>
      <c r="AI367">
        <f t="shared" si="233"/>
        <v>28.8</v>
      </c>
      <c r="AJ367">
        <f t="shared" si="234"/>
        <v>2400</v>
      </c>
      <c r="AK367">
        <f t="shared" si="235"/>
        <v>240</v>
      </c>
      <c r="AL367">
        <f t="shared" si="236"/>
        <v>41.142857142857146</v>
      </c>
      <c r="AM367">
        <f t="shared" si="223"/>
        <v>4.1142857142857148</v>
      </c>
      <c r="AN367">
        <f t="shared" si="237"/>
        <v>1.5</v>
      </c>
      <c r="AO367">
        <f t="shared" si="238"/>
        <v>1.5</v>
      </c>
      <c r="AP367">
        <f t="shared" si="239"/>
        <v>6</v>
      </c>
      <c r="AQ367">
        <v>402</v>
      </c>
      <c r="AR367">
        <v>5</v>
      </c>
      <c r="BO367" t="s">
        <v>178</v>
      </c>
      <c r="BP367" t="str">
        <f t="shared" si="240"/>
        <v>2</v>
      </c>
    </row>
    <row r="368" spans="1:68" x14ac:dyDescent="0.15">
      <c r="A368">
        <f t="shared" si="231"/>
        <v>5500122</v>
      </c>
      <c r="B368" t="s">
        <v>411</v>
      </c>
      <c r="C368">
        <v>12</v>
      </c>
      <c r="D368">
        <v>5</v>
      </c>
      <c r="E368">
        <v>2</v>
      </c>
      <c r="F368" t="s">
        <v>223</v>
      </c>
      <c r="G368" t="s">
        <v>223</v>
      </c>
      <c r="H368" s="2">
        <v>0</v>
      </c>
      <c r="I368" s="2" t="s">
        <v>109</v>
      </c>
      <c r="J368" s="2">
        <f t="shared" si="227"/>
        <v>6</v>
      </c>
      <c r="K368" s="2">
        <f t="shared" si="215"/>
        <v>1.5</v>
      </c>
      <c r="L368" s="2">
        <f t="shared" si="216"/>
        <v>1.5</v>
      </c>
      <c r="M368" s="2">
        <v>10</v>
      </c>
      <c r="N368" s="2">
        <f t="shared" si="217"/>
        <v>336</v>
      </c>
      <c r="O368" s="2">
        <f t="shared" si="218"/>
        <v>33.6</v>
      </c>
      <c r="P368" s="2">
        <f t="shared" si="219"/>
        <v>2057.14</v>
      </c>
      <c r="Q368" s="2">
        <f t="shared" si="220"/>
        <v>205.71</v>
      </c>
      <c r="R368" s="2">
        <f t="shared" si="221"/>
        <v>42</v>
      </c>
      <c r="S368" s="2">
        <f t="shared" si="222"/>
        <v>4.2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11">
        <v>525003</v>
      </c>
      <c r="Z368" s="12" t="s">
        <v>684</v>
      </c>
      <c r="AA368" s="4">
        <v>1</v>
      </c>
      <c r="AB368" s="4">
        <v>0</v>
      </c>
      <c r="AC368" s="4"/>
      <c r="AD368" s="4">
        <f t="shared" si="228"/>
        <v>17563.057142399997</v>
      </c>
      <c r="AF368" s="1" t="str">
        <f t="shared" si="229"/>
        <v>0</v>
      </c>
      <c r="AG368">
        <v>12</v>
      </c>
      <c r="AH368">
        <f t="shared" si="232"/>
        <v>335.99999999999989</v>
      </c>
      <c r="AI368">
        <f t="shared" si="233"/>
        <v>33.599999999999987</v>
      </c>
      <c r="AJ368">
        <f t="shared" si="234"/>
        <v>2057.1428571428573</v>
      </c>
      <c r="AK368">
        <f t="shared" si="235"/>
        <v>205.71428571428575</v>
      </c>
      <c r="AL368">
        <f t="shared" si="236"/>
        <v>41.999999999999986</v>
      </c>
      <c r="AM368">
        <f t="shared" si="223"/>
        <v>4.1999999999999984</v>
      </c>
      <c r="AN368">
        <f t="shared" si="237"/>
        <v>1.5</v>
      </c>
      <c r="AO368">
        <f t="shared" si="238"/>
        <v>1.5</v>
      </c>
      <c r="AP368">
        <f t="shared" si="239"/>
        <v>6</v>
      </c>
      <c r="AQ368">
        <v>500</v>
      </c>
      <c r="AR368">
        <v>5</v>
      </c>
      <c r="BO368" t="s">
        <v>188</v>
      </c>
      <c r="BP368" t="str">
        <f t="shared" si="240"/>
        <v>0</v>
      </c>
    </row>
    <row r="369" spans="1:68" x14ac:dyDescent="0.15">
      <c r="A369">
        <f t="shared" si="231"/>
        <v>5502122</v>
      </c>
      <c r="B369" t="s">
        <v>115</v>
      </c>
      <c r="C369">
        <v>12</v>
      </c>
      <c r="D369">
        <v>5</v>
      </c>
      <c r="E369">
        <v>2</v>
      </c>
      <c r="F369" t="s">
        <v>224</v>
      </c>
      <c r="G369" t="s">
        <v>224</v>
      </c>
      <c r="H369" s="2">
        <v>0</v>
      </c>
      <c r="I369" s="2" t="s">
        <v>113</v>
      </c>
      <c r="J369" s="2">
        <f t="shared" si="227"/>
        <v>6</v>
      </c>
      <c r="K369" s="2">
        <f t="shared" si="215"/>
        <v>1.4000000000000001</v>
      </c>
      <c r="L369" s="2">
        <f t="shared" si="216"/>
        <v>2</v>
      </c>
      <c r="M369" s="2">
        <v>10</v>
      </c>
      <c r="N369" s="2">
        <f t="shared" si="217"/>
        <v>313.60000000000002</v>
      </c>
      <c r="O369" s="2">
        <f t="shared" si="218"/>
        <v>31.36</v>
      </c>
      <c r="P369" s="2">
        <f t="shared" si="219"/>
        <v>2057.14</v>
      </c>
      <c r="Q369" s="2">
        <f t="shared" si="220"/>
        <v>205.71</v>
      </c>
      <c r="R369" s="2">
        <f t="shared" si="221"/>
        <v>39.200000000000003</v>
      </c>
      <c r="S369" s="2">
        <f t="shared" si="222"/>
        <v>3.92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11">
        <v>525023</v>
      </c>
      <c r="Z369" s="12" t="s">
        <v>685</v>
      </c>
      <c r="AA369" s="4">
        <v>1</v>
      </c>
      <c r="AB369" s="4">
        <v>0</v>
      </c>
      <c r="AC369" s="4"/>
      <c r="AD369" s="4">
        <f t="shared" si="228"/>
        <v>17563.057142399997</v>
      </c>
      <c r="AF369" s="1" t="str">
        <f t="shared" si="229"/>
        <v>2</v>
      </c>
      <c r="AG369">
        <v>12</v>
      </c>
      <c r="AH369">
        <f t="shared" si="232"/>
        <v>313.59999999999997</v>
      </c>
      <c r="AI369">
        <f t="shared" si="233"/>
        <v>31.36</v>
      </c>
      <c r="AJ369">
        <f t="shared" si="234"/>
        <v>2057.1428571428573</v>
      </c>
      <c r="AK369">
        <f t="shared" si="235"/>
        <v>205.71428571428575</v>
      </c>
      <c r="AL369">
        <f t="shared" si="236"/>
        <v>39.199999999999996</v>
      </c>
      <c r="AM369">
        <f t="shared" si="223"/>
        <v>3.92</v>
      </c>
      <c r="AN369">
        <f t="shared" si="237"/>
        <v>1.4</v>
      </c>
      <c r="AO369">
        <f t="shared" si="238"/>
        <v>2</v>
      </c>
      <c r="AP369">
        <f t="shared" si="239"/>
        <v>6</v>
      </c>
      <c r="AQ369">
        <v>502</v>
      </c>
      <c r="AR369">
        <v>5</v>
      </c>
      <c r="BO369" t="s">
        <v>171</v>
      </c>
      <c r="BP369" t="str">
        <f t="shared" si="240"/>
        <v>1</v>
      </c>
    </row>
    <row r="370" spans="1:68" x14ac:dyDescent="0.15">
      <c r="A370">
        <f t="shared" si="231"/>
        <v>5601122</v>
      </c>
      <c r="B370" t="s">
        <v>412</v>
      </c>
      <c r="C370">
        <v>12</v>
      </c>
      <c r="D370">
        <v>6</v>
      </c>
      <c r="E370">
        <v>2</v>
      </c>
      <c r="F370" t="s">
        <v>225</v>
      </c>
      <c r="G370" t="s">
        <v>225</v>
      </c>
      <c r="H370" s="2">
        <v>0</v>
      </c>
      <c r="I370" s="2" t="s">
        <v>116</v>
      </c>
      <c r="J370" s="2">
        <f t="shared" si="227"/>
        <v>6</v>
      </c>
      <c r="K370" s="2">
        <f t="shared" ref="K370:K426" si="241">FLOOR(AN370/1,0.01)</f>
        <v>1.5</v>
      </c>
      <c r="L370" s="2">
        <f t="shared" ref="L370:L426" si="242">FLOOR(AO370/1,0.01)</f>
        <v>2</v>
      </c>
      <c r="M370" s="2">
        <v>10</v>
      </c>
      <c r="N370" s="2">
        <f t="shared" ref="N370:N426" si="243">ROUND(AH370,2)</f>
        <v>372</v>
      </c>
      <c r="O370" s="2">
        <f t="shared" ref="O370:O426" si="244">ROUND(AI370,2)</f>
        <v>37.200000000000003</v>
      </c>
      <c r="P370" s="2">
        <f t="shared" ref="P370:P426" si="245">ROUND(AJ370,2)</f>
        <v>1858.06</v>
      </c>
      <c r="Q370" s="2">
        <f t="shared" ref="Q370:Q426" si="246">ROUND(AK370,2)</f>
        <v>185.81</v>
      </c>
      <c r="R370" s="2">
        <f t="shared" ref="R370:R426" si="247">ROUND(AL370,2)</f>
        <v>37.200000000000003</v>
      </c>
      <c r="S370" s="2">
        <f t="shared" ref="S370:S426" si="248">ROUND(AM370,2)</f>
        <v>3.72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11">
        <v>526013</v>
      </c>
      <c r="Z370" s="12" t="s">
        <v>686</v>
      </c>
      <c r="AA370" s="4">
        <v>1</v>
      </c>
      <c r="AB370" s="4">
        <v>0</v>
      </c>
      <c r="AC370" s="4"/>
      <c r="AD370" s="4">
        <f t="shared" si="228"/>
        <v>17563.693039199999</v>
      </c>
      <c r="AF370" s="1" t="str">
        <f t="shared" si="229"/>
        <v>1</v>
      </c>
      <c r="AG370">
        <v>12</v>
      </c>
      <c r="AH370">
        <f t="shared" si="232"/>
        <v>372</v>
      </c>
      <c r="AI370">
        <f t="shared" si="233"/>
        <v>37.200000000000003</v>
      </c>
      <c r="AJ370">
        <f t="shared" si="234"/>
        <v>1858.0645161290322</v>
      </c>
      <c r="AK370">
        <f t="shared" si="235"/>
        <v>185.80645161290323</v>
      </c>
      <c r="AL370">
        <f t="shared" si="236"/>
        <v>37.200000000000003</v>
      </c>
      <c r="AM370">
        <f t="shared" ref="AM370:AM426" si="249">AL370*0.1</f>
        <v>3.7200000000000006</v>
      </c>
      <c r="AN370">
        <f t="shared" si="237"/>
        <v>1.5</v>
      </c>
      <c r="AO370">
        <f t="shared" si="238"/>
        <v>2</v>
      </c>
      <c r="AP370">
        <f t="shared" si="239"/>
        <v>6</v>
      </c>
      <c r="AQ370">
        <v>601</v>
      </c>
      <c r="AR370">
        <v>5</v>
      </c>
      <c r="BO370" t="s">
        <v>173</v>
      </c>
      <c r="BP370" t="str">
        <f t="shared" si="240"/>
        <v>0</v>
      </c>
    </row>
    <row r="371" spans="1:68" x14ac:dyDescent="0.15">
      <c r="A371">
        <f t="shared" si="231"/>
        <v>5200123</v>
      </c>
      <c r="B371" t="s">
        <v>160</v>
      </c>
      <c r="C371">
        <v>12</v>
      </c>
      <c r="D371">
        <v>2</v>
      </c>
      <c r="E371">
        <v>3</v>
      </c>
      <c r="F371" t="s">
        <v>226</v>
      </c>
      <c r="G371" t="s">
        <v>226</v>
      </c>
      <c r="H371">
        <v>0</v>
      </c>
      <c r="I371" s="2" t="s">
        <v>78</v>
      </c>
      <c r="J371" s="2">
        <f t="shared" si="227"/>
        <v>3</v>
      </c>
      <c r="K371" s="2">
        <f t="shared" si="241"/>
        <v>1.5</v>
      </c>
      <c r="L371" s="2">
        <f t="shared" si="242"/>
        <v>1.2</v>
      </c>
      <c r="M371" s="2">
        <v>10</v>
      </c>
      <c r="N371" s="2">
        <f t="shared" si="243"/>
        <v>240</v>
      </c>
      <c r="O371" s="2">
        <f t="shared" si="244"/>
        <v>24</v>
      </c>
      <c r="P371" s="2">
        <f t="shared" si="245"/>
        <v>2880</v>
      </c>
      <c r="Q371" s="2">
        <f t="shared" si="246"/>
        <v>288</v>
      </c>
      <c r="R371" s="2">
        <f t="shared" si="247"/>
        <v>60</v>
      </c>
      <c r="S371" s="2">
        <f t="shared" si="248"/>
        <v>6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11">
        <v>532003</v>
      </c>
      <c r="Z371" s="12" t="s">
        <v>687</v>
      </c>
      <c r="AA371" s="4">
        <v>1</v>
      </c>
      <c r="AB371" s="4">
        <v>0</v>
      </c>
      <c r="AC371" s="4"/>
      <c r="AD371" s="4">
        <f t="shared" si="228"/>
        <v>17563.392</v>
      </c>
      <c r="AF371" s="1" t="str">
        <f t="shared" si="229"/>
        <v>0</v>
      </c>
      <c r="AG371">
        <v>12</v>
      </c>
      <c r="AH371">
        <f t="shared" si="232"/>
        <v>240</v>
      </c>
      <c r="AI371">
        <f t="shared" si="233"/>
        <v>24</v>
      </c>
      <c r="AJ371">
        <f t="shared" si="234"/>
        <v>2880</v>
      </c>
      <c r="AK371">
        <f t="shared" si="235"/>
        <v>288</v>
      </c>
      <c r="AL371">
        <f t="shared" si="236"/>
        <v>60</v>
      </c>
      <c r="AM371">
        <f t="shared" si="249"/>
        <v>6</v>
      </c>
      <c r="AN371">
        <f t="shared" si="237"/>
        <v>1.5</v>
      </c>
      <c r="AO371">
        <f t="shared" si="238"/>
        <v>1.2</v>
      </c>
      <c r="AP371">
        <f t="shared" si="239"/>
        <v>3</v>
      </c>
      <c r="AQ371">
        <v>200</v>
      </c>
      <c r="AR371">
        <v>5</v>
      </c>
      <c r="BO371" t="s">
        <v>136</v>
      </c>
      <c r="BP371" t="str">
        <f t="shared" si="240"/>
        <v>1</v>
      </c>
    </row>
    <row r="372" spans="1:68" x14ac:dyDescent="0.15">
      <c r="A372">
        <f t="shared" si="231"/>
        <v>5201123</v>
      </c>
      <c r="B372" t="s">
        <v>407</v>
      </c>
      <c r="C372">
        <v>12</v>
      </c>
      <c r="D372">
        <v>2</v>
      </c>
      <c r="E372">
        <v>3</v>
      </c>
      <c r="F372" t="s">
        <v>227</v>
      </c>
      <c r="G372" t="s">
        <v>227</v>
      </c>
      <c r="H372" s="2">
        <v>0</v>
      </c>
      <c r="I372" s="28" t="s">
        <v>746</v>
      </c>
      <c r="J372" s="2">
        <f t="shared" si="227"/>
        <v>3</v>
      </c>
      <c r="K372" s="2">
        <f t="shared" si="241"/>
        <v>1.8</v>
      </c>
      <c r="L372" s="2">
        <f t="shared" si="242"/>
        <v>1.8</v>
      </c>
      <c r="M372" s="2">
        <v>10</v>
      </c>
      <c r="N372" s="2">
        <f t="shared" si="243"/>
        <v>230.4</v>
      </c>
      <c r="O372" s="2">
        <f t="shared" si="244"/>
        <v>23.04</v>
      </c>
      <c r="P372" s="2">
        <f t="shared" si="245"/>
        <v>3600</v>
      </c>
      <c r="Q372" s="2">
        <f t="shared" si="246"/>
        <v>360</v>
      </c>
      <c r="R372" s="2">
        <f t="shared" si="247"/>
        <v>76.8</v>
      </c>
      <c r="S372" s="2">
        <f t="shared" si="248"/>
        <v>7.68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11">
        <v>532013</v>
      </c>
      <c r="Z372" s="12" t="s">
        <v>688</v>
      </c>
      <c r="AA372" s="4">
        <v>1</v>
      </c>
      <c r="AB372" s="4">
        <v>0</v>
      </c>
      <c r="AC372" s="4"/>
      <c r="AD372" s="4">
        <f t="shared" si="228"/>
        <v>17563.392</v>
      </c>
      <c r="AF372" s="1" t="str">
        <f t="shared" si="229"/>
        <v>1</v>
      </c>
      <c r="AG372">
        <v>12</v>
      </c>
      <c r="AH372">
        <f t="shared" si="232"/>
        <v>230.40000000000003</v>
      </c>
      <c r="AI372">
        <f t="shared" si="233"/>
        <v>23.040000000000006</v>
      </c>
      <c r="AJ372">
        <f t="shared" si="234"/>
        <v>3600</v>
      </c>
      <c r="AK372">
        <f t="shared" si="235"/>
        <v>360</v>
      </c>
      <c r="AL372">
        <f t="shared" si="236"/>
        <v>76.800000000000011</v>
      </c>
      <c r="AM372">
        <f t="shared" si="249"/>
        <v>7.6800000000000015</v>
      </c>
      <c r="AN372">
        <f t="shared" si="237"/>
        <v>1.8</v>
      </c>
      <c r="AO372">
        <f t="shared" si="238"/>
        <v>1.8</v>
      </c>
      <c r="AP372">
        <f t="shared" si="239"/>
        <v>3</v>
      </c>
      <c r="AQ372">
        <v>201</v>
      </c>
      <c r="AR372">
        <v>5</v>
      </c>
      <c r="BO372" t="s">
        <v>141</v>
      </c>
      <c r="BP372" t="str">
        <f t="shared" si="240"/>
        <v>1</v>
      </c>
    </row>
    <row r="373" spans="1:68" x14ac:dyDescent="0.15">
      <c r="A373">
        <f t="shared" si="231"/>
        <v>5202123</v>
      </c>
      <c r="B373" t="s">
        <v>408</v>
      </c>
      <c r="C373">
        <v>12</v>
      </c>
      <c r="D373">
        <v>2</v>
      </c>
      <c r="E373">
        <v>3</v>
      </c>
      <c r="F373" t="s">
        <v>228</v>
      </c>
      <c r="G373" t="s">
        <v>228</v>
      </c>
      <c r="H373">
        <v>0</v>
      </c>
      <c r="I373" s="28" t="s">
        <v>717</v>
      </c>
      <c r="J373" s="2">
        <f t="shared" si="227"/>
        <v>3</v>
      </c>
      <c r="K373" s="2">
        <f t="shared" si="241"/>
        <v>1.8</v>
      </c>
      <c r="L373" s="2">
        <f t="shared" si="242"/>
        <v>2</v>
      </c>
      <c r="M373" s="2">
        <v>10</v>
      </c>
      <c r="N373" s="2">
        <f t="shared" si="243"/>
        <v>259.2</v>
      </c>
      <c r="O373" s="2">
        <f t="shared" si="244"/>
        <v>25.92</v>
      </c>
      <c r="P373" s="2">
        <f t="shared" si="245"/>
        <v>3200</v>
      </c>
      <c r="Q373" s="2">
        <f t="shared" si="246"/>
        <v>320</v>
      </c>
      <c r="R373" s="2">
        <f t="shared" si="247"/>
        <v>51.84</v>
      </c>
      <c r="S373" s="2">
        <f t="shared" si="248"/>
        <v>5.18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11">
        <v>532023</v>
      </c>
      <c r="Z373" s="12" t="s">
        <v>689</v>
      </c>
      <c r="AA373" s="4">
        <v>1</v>
      </c>
      <c r="AB373" s="4">
        <v>0</v>
      </c>
      <c r="AC373" s="4"/>
      <c r="AD373" s="4">
        <f t="shared" si="228"/>
        <v>17563.392</v>
      </c>
      <c r="AF373" s="1" t="str">
        <f t="shared" si="229"/>
        <v>2</v>
      </c>
      <c r="AG373">
        <v>12</v>
      </c>
      <c r="AH373">
        <f t="shared" si="232"/>
        <v>259.20000000000005</v>
      </c>
      <c r="AI373">
        <f t="shared" si="233"/>
        <v>25.920000000000005</v>
      </c>
      <c r="AJ373">
        <f t="shared" si="234"/>
        <v>3200</v>
      </c>
      <c r="AK373">
        <f t="shared" si="235"/>
        <v>320</v>
      </c>
      <c r="AL373">
        <f t="shared" si="236"/>
        <v>51.840000000000011</v>
      </c>
      <c r="AM373">
        <f t="shared" si="249"/>
        <v>5.1840000000000011</v>
      </c>
      <c r="AN373">
        <f t="shared" si="237"/>
        <v>1.8</v>
      </c>
      <c r="AO373">
        <f t="shared" si="238"/>
        <v>2</v>
      </c>
      <c r="AP373">
        <f t="shared" si="239"/>
        <v>3</v>
      </c>
      <c r="AQ373">
        <v>202</v>
      </c>
      <c r="AR373">
        <v>5</v>
      </c>
      <c r="BO373" t="s">
        <v>165</v>
      </c>
      <c r="BP373" t="str">
        <f t="shared" si="240"/>
        <v>2</v>
      </c>
    </row>
    <row r="374" spans="1:68" x14ac:dyDescent="0.15">
      <c r="A374">
        <f t="shared" si="231"/>
        <v>5301123</v>
      </c>
      <c r="B374" t="s">
        <v>409</v>
      </c>
      <c r="C374">
        <v>12</v>
      </c>
      <c r="D374">
        <v>3</v>
      </c>
      <c r="E374">
        <v>3</v>
      </c>
      <c r="F374" t="s">
        <v>229</v>
      </c>
      <c r="G374" t="s">
        <v>229</v>
      </c>
      <c r="H374" s="2">
        <v>0</v>
      </c>
      <c r="I374" s="28" t="s">
        <v>717</v>
      </c>
      <c r="J374" s="2">
        <f t="shared" si="227"/>
        <v>3</v>
      </c>
      <c r="K374" s="2">
        <f t="shared" si="241"/>
        <v>1.2</v>
      </c>
      <c r="L374" s="2">
        <f t="shared" si="242"/>
        <v>2</v>
      </c>
      <c r="M374" s="2">
        <v>10</v>
      </c>
      <c r="N374" s="2">
        <f t="shared" si="243"/>
        <v>172.8</v>
      </c>
      <c r="O374" s="2">
        <f t="shared" si="244"/>
        <v>17.28</v>
      </c>
      <c r="P374" s="2">
        <f t="shared" si="245"/>
        <v>3200</v>
      </c>
      <c r="Q374" s="2">
        <f t="shared" si="246"/>
        <v>320</v>
      </c>
      <c r="R374" s="2">
        <f t="shared" si="247"/>
        <v>34.56</v>
      </c>
      <c r="S374" s="2">
        <f t="shared" si="248"/>
        <v>3.46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11">
        <v>533013</v>
      </c>
      <c r="Z374" s="12" t="s">
        <v>690</v>
      </c>
      <c r="AA374" s="4">
        <v>1</v>
      </c>
      <c r="AB374" s="4">
        <v>0</v>
      </c>
      <c r="AC374" s="4"/>
      <c r="AD374" s="4">
        <f t="shared" si="228"/>
        <v>17563.392</v>
      </c>
      <c r="AF374" s="1" t="str">
        <f t="shared" si="229"/>
        <v>1</v>
      </c>
      <c r="AG374">
        <v>12</v>
      </c>
      <c r="AH374">
        <f t="shared" si="232"/>
        <v>172.8</v>
      </c>
      <c r="AI374">
        <f t="shared" si="233"/>
        <v>17.28</v>
      </c>
      <c r="AJ374">
        <f t="shared" si="234"/>
        <v>3200</v>
      </c>
      <c r="AK374">
        <f t="shared" si="235"/>
        <v>320</v>
      </c>
      <c r="AL374">
        <f t="shared" si="236"/>
        <v>34.56</v>
      </c>
      <c r="AM374">
        <f t="shared" si="249"/>
        <v>3.4560000000000004</v>
      </c>
      <c r="AN374">
        <f t="shared" si="237"/>
        <v>1.2</v>
      </c>
      <c r="AO374">
        <f t="shared" si="238"/>
        <v>2</v>
      </c>
      <c r="AP374">
        <f t="shared" si="239"/>
        <v>3</v>
      </c>
      <c r="AQ374">
        <v>301</v>
      </c>
      <c r="AR374">
        <v>5</v>
      </c>
      <c r="BO374" t="s">
        <v>167</v>
      </c>
      <c r="BP374" t="str">
        <f t="shared" si="240"/>
        <v>1</v>
      </c>
    </row>
    <row r="375" spans="1:68" x14ac:dyDescent="0.15">
      <c r="A375">
        <f t="shared" si="231"/>
        <v>5401123</v>
      </c>
      <c r="B375" t="s">
        <v>410</v>
      </c>
      <c r="C375">
        <v>12</v>
      </c>
      <c r="D375">
        <v>4</v>
      </c>
      <c r="E375">
        <v>3</v>
      </c>
      <c r="F375" t="s">
        <v>230</v>
      </c>
      <c r="G375" t="s">
        <v>230</v>
      </c>
      <c r="H375">
        <v>0</v>
      </c>
      <c r="I375" s="2" t="s">
        <v>103</v>
      </c>
      <c r="J375" s="2">
        <f t="shared" si="227"/>
        <v>6</v>
      </c>
      <c r="K375" s="2">
        <f t="shared" si="241"/>
        <v>1.6</v>
      </c>
      <c r="L375" s="2">
        <f t="shared" si="242"/>
        <v>2</v>
      </c>
      <c r="M375" s="2">
        <v>10</v>
      </c>
      <c r="N375" s="2">
        <f t="shared" si="243"/>
        <v>307.2</v>
      </c>
      <c r="O375" s="2">
        <f t="shared" si="244"/>
        <v>30.72</v>
      </c>
      <c r="P375" s="2">
        <f t="shared" si="245"/>
        <v>2400</v>
      </c>
      <c r="Q375" s="2">
        <f t="shared" si="246"/>
        <v>240</v>
      </c>
      <c r="R375" s="2">
        <f t="shared" si="247"/>
        <v>43.89</v>
      </c>
      <c r="S375" s="2">
        <f t="shared" si="248"/>
        <v>4.3899999999999997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11">
        <v>534013</v>
      </c>
      <c r="Z375" s="12" t="s">
        <v>691</v>
      </c>
      <c r="AA375" s="4">
        <v>1</v>
      </c>
      <c r="AB375" s="4">
        <v>0</v>
      </c>
      <c r="AC375" s="4"/>
      <c r="AD375" s="4">
        <f t="shared" si="228"/>
        <v>17563.392</v>
      </c>
      <c r="AF375" s="1" t="str">
        <f t="shared" si="229"/>
        <v>1</v>
      </c>
      <c r="AG375">
        <v>12</v>
      </c>
      <c r="AH375">
        <f t="shared" si="232"/>
        <v>307.20000000000005</v>
      </c>
      <c r="AI375">
        <f t="shared" si="233"/>
        <v>30.720000000000006</v>
      </c>
      <c r="AJ375">
        <f t="shared" si="234"/>
        <v>2400</v>
      </c>
      <c r="AK375">
        <f t="shared" si="235"/>
        <v>240</v>
      </c>
      <c r="AL375">
        <f t="shared" si="236"/>
        <v>43.885714285714293</v>
      </c>
      <c r="AM375">
        <f t="shared" si="249"/>
        <v>4.3885714285714297</v>
      </c>
      <c r="AN375">
        <f t="shared" si="237"/>
        <v>1.6</v>
      </c>
      <c r="AO375">
        <f t="shared" si="238"/>
        <v>2</v>
      </c>
      <c r="AP375">
        <f t="shared" si="239"/>
        <v>6</v>
      </c>
      <c r="AQ375">
        <v>401</v>
      </c>
      <c r="AR375">
        <v>5</v>
      </c>
      <c r="BO375" t="s">
        <v>176</v>
      </c>
      <c r="BP375" t="str">
        <f t="shared" si="240"/>
        <v>2</v>
      </c>
    </row>
    <row r="376" spans="1:68" x14ac:dyDescent="0.15">
      <c r="A376">
        <f t="shared" si="231"/>
        <v>5402123</v>
      </c>
      <c r="B376" t="s">
        <v>102</v>
      </c>
      <c r="C376">
        <v>12</v>
      </c>
      <c r="D376">
        <v>4</v>
      </c>
      <c r="E376">
        <v>3</v>
      </c>
      <c r="F376" t="s">
        <v>231</v>
      </c>
      <c r="G376" t="s">
        <v>231</v>
      </c>
      <c r="H376" s="2">
        <v>0</v>
      </c>
      <c r="I376" s="28" t="s">
        <v>718</v>
      </c>
      <c r="J376" s="2">
        <f t="shared" si="227"/>
        <v>6</v>
      </c>
      <c r="K376" s="2">
        <f t="shared" si="241"/>
        <v>1.5</v>
      </c>
      <c r="L376" s="2">
        <f t="shared" si="242"/>
        <v>1.5</v>
      </c>
      <c r="M376" s="2">
        <v>10</v>
      </c>
      <c r="N376" s="2">
        <f t="shared" si="243"/>
        <v>288</v>
      </c>
      <c r="O376" s="2">
        <f t="shared" si="244"/>
        <v>28.8</v>
      </c>
      <c r="P376" s="2">
        <f t="shared" si="245"/>
        <v>2400</v>
      </c>
      <c r="Q376" s="2">
        <f t="shared" si="246"/>
        <v>240</v>
      </c>
      <c r="R376" s="2">
        <f t="shared" si="247"/>
        <v>41.14</v>
      </c>
      <c r="S376" s="2">
        <f t="shared" si="248"/>
        <v>4.1100000000000003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11">
        <v>534023</v>
      </c>
      <c r="Z376" s="12" t="s">
        <v>692</v>
      </c>
      <c r="AA376" s="4">
        <v>1</v>
      </c>
      <c r="AB376" s="4">
        <v>0</v>
      </c>
      <c r="AC376" s="4"/>
      <c r="AD376" s="4">
        <f t="shared" si="228"/>
        <v>17563.392</v>
      </c>
      <c r="AF376" s="1" t="str">
        <f t="shared" si="229"/>
        <v>2</v>
      </c>
      <c r="AG376">
        <v>12</v>
      </c>
      <c r="AH376">
        <f t="shared" si="232"/>
        <v>288</v>
      </c>
      <c r="AI376">
        <f t="shared" si="233"/>
        <v>28.8</v>
      </c>
      <c r="AJ376">
        <f t="shared" si="234"/>
        <v>2400</v>
      </c>
      <c r="AK376">
        <f t="shared" si="235"/>
        <v>240</v>
      </c>
      <c r="AL376">
        <f t="shared" si="236"/>
        <v>41.142857142857146</v>
      </c>
      <c r="AM376">
        <f t="shared" si="249"/>
        <v>4.1142857142857148</v>
      </c>
      <c r="AN376">
        <f t="shared" si="237"/>
        <v>1.5</v>
      </c>
      <c r="AO376">
        <f t="shared" si="238"/>
        <v>1.5</v>
      </c>
      <c r="AP376">
        <f t="shared" si="239"/>
        <v>6</v>
      </c>
      <c r="AQ376">
        <v>402</v>
      </c>
      <c r="AR376">
        <v>5</v>
      </c>
      <c r="BO376" t="s">
        <v>159</v>
      </c>
      <c r="BP376" t="str">
        <f t="shared" si="240"/>
        <v>1</v>
      </c>
    </row>
    <row r="377" spans="1:68" x14ac:dyDescent="0.15">
      <c r="A377">
        <f t="shared" si="231"/>
        <v>5500123</v>
      </c>
      <c r="B377" t="s">
        <v>411</v>
      </c>
      <c r="C377">
        <v>12</v>
      </c>
      <c r="D377">
        <v>5</v>
      </c>
      <c r="E377">
        <v>3</v>
      </c>
      <c r="F377" t="s">
        <v>232</v>
      </c>
      <c r="G377" t="s">
        <v>232</v>
      </c>
      <c r="H377" s="2">
        <v>0</v>
      </c>
      <c r="I377" s="2" t="s">
        <v>109</v>
      </c>
      <c r="J377" s="2">
        <f t="shared" si="227"/>
        <v>6</v>
      </c>
      <c r="K377" s="2">
        <f t="shared" si="241"/>
        <v>1.5</v>
      </c>
      <c r="L377" s="2">
        <f t="shared" si="242"/>
        <v>1.5</v>
      </c>
      <c r="M377" s="2">
        <v>10</v>
      </c>
      <c r="N377" s="2">
        <f t="shared" si="243"/>
        <v>336</v>
      </c>
      <c r="O377" s="2">
        <f t="shared" si="244"/>
        <v>33.6</v>
      </c>
      <c r="P377" s="2">
        <f t="shared" si="245"/>
        <v>2057.14</v>
      </c>
      <c r="Q377" s="2">
        <f t="shared" si="246"/>
        <v>205.71</v>
      </c>
      <c r="R377" s="2">
        <f t="shared" si="247"/>
        <v>42</v>
      </c>
      <c r="S377" s="2">
        <f t="shared" si="248"/>
        <v>4.2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11">
        <v>535003</v>
      </c>
      <c r="Z377" s="12" t="s">
        <v>693</v>
      </c>
      <c r="AA377" s="4">
        <v>1</v>
      </c>
      <c r="AB377" s="4">
        <v>0</v>
      </c>
      <c r="AC377" s="4"/>
      <c r="AD377" s="4">
        <f t="shared" si="228"/>
        <v>17563.057142399997</v>
      </c>
      <c r="AF377" s="1" t="str">
        <f t="shared" si="229"/>
        <v>0</v>
      </c>
      <c r="AG377">
        <v>12</v>
      </c>
      <c r="AH377">
        <f t="shared" si="232"/>
        <v>335.99999999999989</v>
      </c>
      <c r="AI377">
        <f t="shared" si="233"/>
        <v>33.599999999999987</v>
      </c>
      <c r="AJ377">
        <f t="shared" si="234"/>
        <v>2057.1428571428573</v>
      </c>
      <c r="AK377">
        <f t="shared" si="235"/>
        <v>205.71428571428575</v>
      </c>
      <c r="AL377">
        <f t="shared" si="236"/>
        <v>41.999999999999986</v>
      </c>
      <c r="AM377">
        <f t="shared" si="249"/>
        <v>4.1999999999999984</v>
      </c>
      <c r="AN377">
        <f t="shared" si="237"/>
        <v>1.5</v>
      </c>
      <c r="AO377">
        <f t="shared" si="238"/>
        <v>1.5</v>
      </c>
      <c r="AP377">
        <f t="shared" si="239"/>
        <v>6</v>
      </c>
      <c r="AQ377">
        <v>500</v>
      </c>
      <c r="AR377">
        <v>5</v>
      </c>
    </row>
    <row r="378" spans="1:68" x14ac:dyDescent="0.15">
      <c r="A378">
        <f t="shared" si="231"/>
        <v>5502123</v>
      </c>
      <c r="B378" t="s">
        <v>115</v>
      </c>
      <c r="C378">
        <v>12</v>
      </c>
      <c r="D378">
        <v>5</v>
      </c>
      <c r="E378">
        <v>3</v>
      </c>
      <c r="F378" t="s">
        <v>233</v>
      </c>
      <c r="G378" t="s">
        <v>233</v>
      </c>
      <c r="H378" s="2">
        <v>0</v>
      </c>
      <c r="I378" s="28" t="s">
        <v>719</v>
      </c>
      <c r="J378" s="2">
        <f t="shared" si="227"/>
        <v>6</v>
      </c>
      <c r="K378" s="2">
        <f t="shared" si="241"/>
        <v>1.4000000000000001</v>
      </c>
      <c r="L378" s="2">
        <f t="shared" si="242"/>
        <v>2</v>
      </c>
      <c r="M378" s="2">
        <v>10</v>
      </c>
      <c r="N378" s="2">
        <f t="shared" si="243"/>
        <v>313.60000000000002</v>
      </c>
      <c r="O378" s="2">
        <f t="shared" si="244"/>
        <v>31.36</v>
      </c>
      <c r="P378" s="2">
        <f t="shared" si="245"/>
        <v>2057.14</v>
      </c>
      <c r="Q378" s="2">
        <f t="shared" si="246"/>
        <v>205.71</v>
      </c>
      <c r="R378" s="2">
        <f t="shared" si="247"/>
        <v>39.200000000000003</v>
      </c>
      <c r="S378" s="2">
        <f t="shared" si="248"/>
        <v>3.92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11">
        <v>535023</v>
      </c>
      <c r="Z378" s="12" t="s">
        <v>694</v>
      </c>
      <c r="AA378" s="4">
        <v>1</v>
      </c>
      <c r="AB378" s="4">
        <v>0</v>
      </c>
      <c r="AC378" s="4"/>
      <c r="AD378" s="4">
        <f t="shared" si="228"/>
        <v>17563.057142399997</v>
      </c>
      <c r="AF378" s="1" t="str">
        <f t="shared" si="229"/>
        <v>2</v>
      </c>
      <c r="AG378">
        <v>12</v>
      </c>
      <c r="AH378">
        <f t="shared" si="232"/>
        <v>313.59999999999997</v>
      </c>
      <c r="AI378">
        <f t="shared" si="233"/>
        <v>31.36</v>
      </c>
      <c r="AJ378">
        <f t="shared" si="234"/>
        <v>2057.1428571428573</v>
      </c>
      <c r="AK378">
        <f t="shared" si="235"/>
        <v>205.71428571428575</v>
      </c>
      <c r="AL378">
        <f t="shared" si="236"/>
        <v>39.199999999999996</v>
      </c>
      <c r="AM378">
        <f t="shared" si="249"/>
        <v>3.92</v>
      </c>
      <c r="AN378">
        <f t="shared" si="237"/>
        <v>1.4</v>
      </c>
      <c r="AO378">
        <f t="shared" si="238"/>
        <v>2</v>
      </c>
      <c r="AP378">
        <f t="shared" si="239"/>
        <v>6</v>
      </c>
      <c r="AQ378">
        <v>502</v>
      </c>
      <c r="AR378">
        <v>5</v>
      </c>
    </row>
    <row r="379" spans="1:68" x14ac:dyDescent="0.15">
      <c r="A379">
        <f t="shared" si="231"/>
        <v>5601123</v>
      </c>
      <c r="B379" t="s">
        <v>412</v>
      </c>
      <c r="C379">
        <v>12</v>
      </c>
      <c r="D379">
        <v>6</v>
      </c>
      <c r="E379">
        <v>3</v>
      </c>
      <c r="F379" t="s">
        <v>234</v>
      </c>
      <c r="G379" t="s">
        <v>234</v>
      </c>
      <c r="H379">
        <v>0</v>
      </c>
      <c r="I379" s="2" t="s">
        <v>116</v>
      </c>
      <c r="J379" s="2">
        <f t="shared" si="227"/>
        <v>6</v>
      </c>
      <c r="K379" s="2">
        <f t="shared" si="241"/>
        <v>1.5</v>
      </c>
      <c r="L379" s="2">
        <f t="shared" si="242"/>
        <v>2</v>
      </c>
      <c r="M379" s="2">
        <v>10</v>
      </c>
      <c r="N379" s="2">
        <f t="shared" si="243"/>
        <v>372</v>
      </c>
      <c r="O379" s="2">
        <f t="shared" si="244"/>
        <v>37.200000000000003</v>
      </c>
      <c r="P379" s="2">
        <f t="shared" si="245"/>
        <v>1858.06</v>
      </c>
      <c r="Q379" s="2">
        <f t="shared" si="246"/>
        <v>185.81</v>
      </c>
      <c r="R379" s="2">
        <f t="shared" si="247"/>
        <v>37.200000000000003</v>
      </c>
      <c r="S379" s="2">
        <f t="shared" si="248"/>
        <v>3.72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11">
        <v>536013</v>
      </c>
      <c r="Z379" s="12" t="s">
        <v>695</v>
      </c>
      <c r="AA379" s="4">
        <v>1</v>
      </c>
      <c r="AB379" s="4">
        <v>0</v>
      </c>
      <c r="AC379" s="4"/>
      <c r="AD379" s="4">
        <f t="shared" si="228"/>
        <v>17563.693039199999</v>
      </c>
      <c r="AF379" s="1" t="str">
        <f t="shared" si="229"/>
        <v>1</v>
      </c>
      <c r="AG379">
        <v>12</v>
      </c>
      <c r="AH379">
        <f t="shared" si="232"/>
        <v>372</v>
      </c>
      <c r="AI379">
        <f t="shared" si="233"/>
        <v>37.200000000000003</v>
      </c>
      <c r="AJ379">
        <f t="shared" si="234"/>
        <v>1858.0645161290322</v>
      </c>
      <c r="AK379">
        <f t="shared" si="235"/>
        <v>185.80645161290323</v>
      </c>
      <c r="AL379">
        <f t="shared" si="236"/>
        <v>37.200000000000003</v>
      </c>
      <c r="AM379">
        <f t="shared" si="249"/>
        <v>3.7200000000000006</v>
      </c>
      <c r="AN379">
        <f t="shared" si="237"/>
        <v>1.5</v>
      </c>
      <c r="AO379">
        <f t="shared" si="238"/>
        <v>2</v>
      </c>
      <c r="AP379">
        <f t="shared" si="239"/>
        <v>6</v>
      </c>
      <c r="AQ379">
        <v>601</v>
      </c>
      <c r="AR379">
        <v>5</v>
      </c>
      <c r="BO379" t="s">
        <v>178</v>
      </c>
      <c r="BP379" t="str">
        <f t="shared" ref="BP379:BP381" si="250">RIGHT(BO379,1)</f>
        <v>2</v>
      </c>
    </row>
    <row r="380" spans="1:68" x14ac:dyDescent="0.15">
      <c r="A380">
        <f t="shared" si="231"/>
        <v>5201124</v>
      </c>
      <c r="B380" t="s">
        <v>407</v>
      </c>
      <c r="C380">
        <v>12</v>
      </c>
      <c r="D380">
        <v>2</v>
      </c>
      <c r="E380">
        <v>4</v>
      </c>
      <c r="F380" t="s">
        <v>706</v>
      </c>
      <c r="G380" t="s">
        <v>706</v>
      </c>
      <c r="H380" s="23">
        <v>0</v>
      </c>
      <c r="I380" s="2" t="s">
        <v>92</v>
      </c>
      <c r="J380" s="2">
        <f t="shared" si="227"/>
        <v>3</v>
      </c>
      <c r="K380" s="2">
        <f t="shared" si="241"/>
        <v>1.8</v>
      </c>
      <c r="L380" s="2">
        <f t="shared" si="242"/>
        <v>1.8</v>
      </c>
      <c r="M380" s="2">
        <v>11</v>
      </c>
      <c r="N380" s="2">
        <f t="shared" si="243"/>
        <v>230.4</v>
      </c>
      <c r="O380" s="2">
        <f t="shared" si="244"/>
        <v>23.04</v>
      </c>
      <c r="P380" s="2">
        <f t="shared" si="245"/>
        <v>3600</v>
      </c>
      <c r="Q380" s="2">
        <f t="shared" si="246"/>
        <v>360</v>
      </c>
      <c r="R380" s="2">
        <f t="shared" si="247"/>
        <v>76.8</v>
      </c>
      <c r="S380" s="2">
        <f t="shared" si="248"/>
        <v>7.68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11">
        <v>542013</v>
      </c>
      <c r="Z380" s="26" t="s">
        <v>696</v>
      </c>
      <c r="AA380" s="4">
        <v>1</v>
      </c>
      <c r="AB380" s="4">
        <v>0</v>
      </c>
      <c r="AC380" s="4"/>
      <c r="AD380" s="4">
        <f t="shared" si="228"/>
        <v>17563.392</v>
      </c>
      <c r="AF380" s="1" t="str">
        <f t="shared" si="229"/>
        <v>1</v>
      </c>
      <c r="AG380">
        <v>12</v>
      </c>
      <c r="AH380">
        <f t="shared" si="232"/>
        <v>230.40000000000003</v>
      </c>
      <c r="AI380">
        <f t="shared" si="233"/>
        <v>23.040000000000006</v>
      </c>
      <c r="AJ380">
        <f t="shared" si="234"/>
        <v>3600</v>
      </c>
      <c r="AK380">
        <f t="shared" si="235"/>
        <v>360</v>
      </c>
      <c r="AL380">
        <f t="shared" si="236"/>
        <v>76.800000000000011</v>
      </c>
      <c r="AM380">
        <f t="shared" si="249"/>
        <v>7.6800000000000015</v>
      </c>
      <c r="AN380">
        <f t="shared" si="237"/>
        <v>1.8</v>
      </c>
      <c r="AO380">
        <f t="shared" si="238"/>
        <v>1.8</v>
      </c>
      <c r="AP380">
        <f t="shared" si="239"/>
        <v>3</v>
      </c>
      <c r="AQ380">
        <v>201</v>
      </c>
      <c r="AR380">
        <v>5</v>
      </c>
      <c r="BO380" t="s">
        <v>188</v>
      </c>
      <c r="BP380" t="str">
        <f t="shared" si="250"/>
        <v>0</v>
      </c>
    </row>
    <row r="381" spans="1:68" x14ac:dyDescent="0.15">
      <c r="A381">
        <f t="shared" si="231"/>
        <v>5302124</v>
      </c>
      <c r="B381" t="s">
        <v>143</v>
      </c>
      <c r="C381">
        <v>12</v>
      </c>
      <c r="D381">
        <v>3</v>
      </c>
      <c r="E381">
        <v>4</v>
      </c>
      <c r="F381" s="22" t="s">
        <v>707</v>
      </c>
      <c r="G381" s="22" t="s">
        <v>707</v>
      </c>
      <c r="H381" s="23">
        <v>0</v>
      </c>
      <c r="I381" s="2" t="s">
        <v>157</v>
      </c>
      <c r="J381" s="2">
        <f t="shared" si="227"/>
        <v>3</v>
      </c>
      <c r="K381" s="2">
        <f t="shared" si="241"/>
        <v>1.4000000000000001</v>
      </c>
      <c r="L381" s="2">
        <f t="shared" si="242"/>
        <v>1.7</v>
      </c>
      <c r="M381" s="2">
        <v>12</v>
      </c>
      <c r="N381" s="2">
        <f t="shared" si="243"/>
        <v>201.6</v>
      </c>
      <c r="O381" s="2">
        <f t="shared" si="244"/>
        <v>20.16</v>
      </c>
      <c r="P381" s="2">
        <f t="shared" si="245"/>
        <v>3200</v>
      </c>
      <c r="Q381" s="2">
        <f t="shared" si="246"/>
        <v>320</v>
      </c>
      <c r="R381" s="2">
        <f t="shared" si="247"/>
        <v>40.32</v>
      </c>
      <c r="S381" s="2">
        <f t="shared" si="248"/>
        <v>4.03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11">
        <v>543023</v>
      </c>
      <c r="Z381" s="26" t="s">
        <v>697</v>
      </c>
      <c r="AA381" s="4">
        <v>1</v>
      </c>
      <c r="AB381" s="4">
        <v>0</v>
      </c>
      <c r="AC381" s="4"/>
      <c r="AD381" s="4">
        <f t="shared" si="228"/>
        <v>17563.391999999996</v>
      </c>
      <c r="AF381" s="1" t="str">
        <f t="shared" si="229"/>
        <v>2</v>
      </c>
      <c r="AG381">
        <v>12</v>
      </c>
      <c r="AH381">
        <f t="shared" si="232"/>
        <v>201.60000000000002</v>
      </c>
      <c r="AI381">
        <f t="shared" si="233"/>
        <v>20.160000000000004</v>
      </c>
      <c r="AJ381">
        <f t="shared" si="234"/>
        <v>3200</v>
      </c>
      <c r="AK381">
        <f t="shared" si="235"/>
        <v>320</v>
      </c>
      <c r="AL381">
        <f t="shared" si="236"/>
        <v>40.320000000000007</v>
      </c>
      <c r="AM381">
        <f t="shared" si="249"/>
        <v>4.0320000000000009</v>
      </c>
      <c r="AN381">
        <f t="shared" si="237"/>
        <v>1.4</v>
      </c>
      <c r="AO381">
        <f t="shared" si="238"/>
        <v>1.7</v>
      </c>
      <c r="AP381">
        <f t="shared" si="239"/>
        <v>3</v>
      </c>
      <c r="AQ381">
        <v>302</v>
      </c>
      <c r="AR381">
        <v>5</v>
      </c>
      <c r="BO381" t="s">
        <v>171</v>
      </c>
      <c r="BP381" t="str">
        <f t="shared" si="250"/>
        <v>1</v>
      </c>
    </row>
    <row r="382" spans="1:68" x14ac:dyDescent="0.15">
      <c r="A382">
        <f t="shared" si="231"/>
        <v>5501124</v>
      </c>
      <c r="B382" t="s">
        <v>413</v>
      </c>
      <c r="C382">
        <v>12</v>
      </c>
      <c r="D382">
        <v>5</v>
      </c>
      <c r="E382">
        <v>4</v>
      </c>
      <c r="F382" t="s">
        <v>235</v>
      </c>
      <c r="G382" t="s">
        <v>235</v>
      </c>
      <c r="H382">
        <v>0</v>
      </c>
      <c r="I382" s="2" t="s">
        <v>144</v>
      </c>
      <c r="J382" s="2">
        <f t="shared" si="227"/>
        <v>6</v>
      </c>
      <c r="K382" s="2">
        <f t="shared" si="241"/>
        <v>1.6</v>
      </c>
      <c r="L382" s="2">
        <f t="shared" si="242"/>
        <v>2</v>
      </c>
      <c r="M382" s="2">
        <v>10</v>
      </c>
      <c r="N382" s="2">
        <f t="shared" si="243"/>
        <v>358.4</v>
      </c>
      <c r="O382" s="2">
        <f t="shared" si="244"/>
        <v>35.840000000000003</v>
      </c>
      <c r="P382" s="2">
        <f t="shared" si="245"/>
        <v>2057.14</v>
      </c>
      <c r="Q382" s="2">
        <f t="shared" si="246"/>
        <v>205.71</v>
      </c>
      <c r="R382" s="2">
        <f t="shared" si="247"/>
        <v>44.8</v>
      </c>
      <c r="S382" s="2">
        <f t="shared" si="248"/>
        <v>4.4800000000000004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11">
        <v>545013</v>
      </c>
      <c r="Z382" s="12" t="s">
        <v>698</v>
      </c>
      <c r="AA382" s="4">
        <v>1</v>
      </c>
      <c r="AB382" s="4">
        <v>0</v>
      </c>
      <c r="AC382" s="4"/>
      <c r="AD382" s="4">
        <f t="shared" si="228"/>
        <v>17563.057142399997</v>
      </c>
      <c r="AF382" s="1" t="str">
        <f t="shared" si="229"/>
        <v>1</v>
      </c>
      <c r="AG382">
        <v>12</v>
      </c>
      <c r="AH382">
        <f t="shared" si="232"/>
        <v>358.4</v>
      </c>
      <c r="AI382">
        <f t="shared" si="233"/>
        <v>35.839999999999996</v>
      </c>
      <c r="AJ382">
        <f t="shared" si="234"/>
        <v>2057.1428571428573</v>
      </c>
      <c r="AK382">
        <f t="shared" si="235"/>
        <v>205.71428571428575</v>
      </c>
      <c r="AL382">
        <f t="shared" si="236"/>
        <v>44.8</v>
      </c>
      <c r="AM382">
        <f t="shared" si="249"/>
        <v>4.4799999999999995</v>
      </c>
      <c r="AN382">
        <f t="shared" si="237"/>
        <v>1.6</v>
      </c>
      <c r="AO382">
        <f t="shared" si="238"/>
        <v>2</v>
      </c>
      <c r="AP382">
        <f t="shared" si="239"/>
        <v>6</v>
      </c>
      <c r="AQ382">
        <v>501</v>
      </c>
      <c r="AR382">
        <v>5</v>
      </c>
    </row>
    <row r="383" spans="1:68" x14ac:dyDescent="0.15">
      <c r="A383">
        <f t="shared" si="231"/>
        <v>5600124</v>
      </c>
      <c r="B383" t="s">
        <v>209</v>
      </c>
      <c r="C383">
        <v>12</v>
      </c>
      <c r="D383">
        <v>6</v>
      </c>
      <c r="E383">
        <v>4</v>
      </c>
      <c r="F383" t="s">
        <v>236</v>
      </c>
      <c r="G383" t="s">
        <v>236</v>
      </c>
      <c r="H383" s="2">
        <v>0</v>
      </c>
      <c r="I383" s="2" t="s">
        <v>147</v>
      </c>
      <c r="J383" s="2">
        <f t="shared" si="227"/>
        <v>3</v>
      </c>
      <c r="K383" s="2">
        <f t="shared" si="241"/>
        <v>1.4000000000000001</v>
      </c>
      <c r="L383" s="2">
        <f t="shared" si="242"/>
        <v>1.9000000000000001</v>
      </c>
      <c r="M383" s="2">
        <v>10</v>
      </c>
      <c r="N383" s="2">
        <f t="shared" si="243"/>
        <v>347.2</v>
      </c>
      <c r="O383" s="2">
        <f t="shared" si="244"/>
        <v>34.72</v>
      </c>
      <c r="P383" s="2">
        <f t="shared" si="245"/>
        <v>1858.06</v>
      </c>
      <c r="Q383" s="2">
        <f t="shared" si="246"/>
        <v>185.81</v>
      </c>
      <c r="R383" s="2">
        <f t="shared" si="247"/>
        <v>34.72</v>
      </c>
      <c r="S383" s="2">
        <f t="shared" si="248"/>
        <v>3.47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11">
        <v>546003</v>
      </c>
      <c r="Z383" s="12" t="s">
        <v>699</v>
      </c>
      <c r="AA383" s="4">
        <v>1</v>
      </c>
      <c r="AB383" s="4">
        <v>0</v>
      </c>
      <c r="AC383" s="4"/>
      <c r="AD383" s="4">
        <f t="shared" si="228"/>
        <v>17563.693039199999</v>
      </c>
      <c r="AF383" s="1" t="str">
        <f t="shared" si="229"/>
        <v>0</v>
      </c>
      <c r="AG383">
        <v>12</v>
      </c>
      <c r="AH383">
        <f t="shared" si="232"/>
        <v>347.19999999999993</v>
      </c>
      <c r="AI383">
        <f t="shared" si="233"/>
        <v>34.719999999999992</v>
      </c>
      <c r="AJ383">
        <f t="shared" si="234"/>
        <v>1858.0645161290322</v>
      </c>
      <c r="AK383">
        <f t="shared" si="235"/>
        <v>185.80645161290323</v>
      </c>
      <c r="AL383">
        <f t="shared" si="236"/>
        <v>34.719999999999992</v>
      </c>
      <c r="AM383">
        <f t="shared" si="249"/>
        <v>3.4719999999999995</v>
      </c>
      <c r="AN383">
        <f t="shared" si="237"/>
        <v>1.4</v>
      </c>
      <c r="AO383">
        <f t="shared" si="238"/>
        <v>1.9</v>
      </c>
      <c r="AP383">
        <f t="shared" si="239"/>
        <v>3</v>
      </c>
      <c r="AQ383">
        <v>600</v>
      </c>
      <c r="AR383">
        <v>5</v>
      </c>
      <c r="BO383" t="s">
        <v>136</v>
      </c>
      <c r="BP383" t="str">
        <f t="shared" ref="BP383:BP385" si="251">RIGHT(BO383,1)</f>
        <v>1</v>
      </c>
    </row>
    <row r="384" spans="1:68" x14ac:dyDescent="0.15">
      <c r="A384">
        <f t="shared" si="231"/>
        <v>5602124</v>
      </c>
      <c r="B384" t="s">
        <v>414</v>
      </c>
      <c r="C384">
        <v>12</v>
      </c>
      <c r="D384">
        <v>6</v>
      </c>
      <c r="E384">
        <v>4</v>
      </c>
      <c r="F384" t="s">
        <v>237</v>
      </c>
      <c r="G384" t="s">
        <v>237</v>
      </c>
      <c r="H384" t="s">
        <v>150</v>
      </c>
      <c r="I384" s="2" t="s">
        <v>151</v>
      </c>
      <c r="J384" s="2">
        <f t="shared" si="227"/>
        <v>6</v>
      </c>
      <c r="K384" s="2">
        <f t="shared" si="241"/>
        <v>1.8</v>
      </c>
      <c r="L384" s="2">
        <f t="shared" si="242"/>
        <v>2</v>
      </c>
      <c r="M384" s="2">
        <v>10</v>
      </c>
      <c r="N384" s="2">
        <f t="shared" si="243"/>
        <v>446.4</v>
      </c>
      <c r="O384" s="2">
        <f t="shared" si="244"/>
        <v>44.64</v>
      </c>
      <c r="P384" s="2">
        <f t="shared" si="245"/>
        <v>1858.06</v>
      </c>
      <c r="Q384" s="2">
        <f t="shared" si="246"/>
        <v>185.81</v>
      </c>
      <c r="R384" s="2">
        <f t="shared" si="247"/>
        <v>44.64</v>
      </c>
      <c r="S384" s="2">
        <f t="shared" si="248"/>
        <v>4.46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11">
        <v>546023</v>
      </c>
      <c r="Z384" s="12" t="s">
        <v>700</v>
      </c>
      <c r="AA384" s="4">
        <v>1</v>
      </c>
      <c r="AB384" s="4">
        <v>0</v>
      </c>
      <c r="AC384" s="4"/>
      <c r="AD384" s="4">
        <f t="shared" si="228"/>
        <v>17563.693039199996</v>
      </c>
      <c r="AF384" s="1" t="str">
        <f t="shared" si="229"/>
        <v>2</v>
      </c>
      <c r="AG384">
        <v>12</v>
      </c>
      <c r="AH384">
        <f t="shared" si="232"/>
        <v>446.40000000000003</v>
      </c>
      <c r="AI384">
        <f t="shared" si="233"/>
        <v>44.640000000000008</v>
      </c>
      <c r="AJ384">
        <f t="shared" si="234"/>
        <v>1858.0645161290322</v>
      </c>
      <c r="AK384">
        <f t="shared" si="235"/>
        <v>185.80645161290323</v>
      </c>
      <c r="AL384">
        <f t="shared" si="236"/>
        <v>44.64</v>
      </c>
      <c r="AM384">
        <f t="shared" si="249"/>
        <v>4.4640000000000004</v>
      </c>
      <c r="AN384">
        <f t="shared" si="237"/>
        <v>1.8</v>
      </c>
      <c r="AO384">
        <f t="shared" si="238"/>
        <v>2</v>
      </c>
      <c r="AP384">
        <f t="shared" si="239"/>
        <v>6</v>
      </c>
      <c r="AQ384">
        <v>602</v>
      </c>
      <c r="AR384">
        <v>5</v>
      </c>
      <c r="BO384" t="s">
        <v>182</v>
      </c>
      <c r="BP384" t="str">
        <f t="shared" si="251"/>
        <v>2</v>
      </c>
    </row>
    <row r="385" spans="1:68" x14ac:dyDescent="0.15">
      <c r="A385">
        <f t="shared" si="231"/>
        <v>5202125</v>
      </c>
      <c r="B385" t="s">
        <v>408</v>
      </c>
      <c r="C385">
        <v>12</v>
      </c>
      <c r="D385">
        <v>2</v>
      </c>
      <c r="E385">
        <v>5</v>
      </c>
      <c r="F385" t="s">
        <v>708</v>
      </c>
      <c r="G385" t="s">
        <v>708</v>
      </c>
      <c r="H385" s="22">
        <v>0</v>
      </c>
      <c r="I385" s="2" t="s">
        <v>96</v>
      </c>
      <c r="J385" s="2">
        <f t="shared" si="227"/>
        <v>3</v>
      </c>
      <c r="K385" s="2">
        <f t="shared" si="241"/>
        <v>1.8</v>
      </c>
      <c r="L385" s="2">
        <f t="shared" si="242"/>
        <v>2</v>
      </c>
      <c r="M385" s="2">
        <v>11</v>
      </c>
      <c r="N385" s="2">
        <f t="shared" si="243"/>
        <v>259.2</v>
      </c>
      <c r="O385" s="2">
        <f t="shared" si="244"/>
        <v>25.92</v>
      </c>
      <c r="P385" s="2">
        <f t="shared" si="245"/>
        <v>3200</v>
      </c>
      <c r="Q385" s="2">
        <f t="shared" si="246"/>
        <v>320</v>
      </c>
      <c r="R385" s="2">
        <f t="shared" si="247"/>
        <v>51.84</v>
      </c>
      <c r="S385" s="2">
        <f t="shared" si="248"/>
        <v>5.18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11">
        <v>552023</v>
      </c>
      <c r="Z385" s="26" t="s">
        <v>701</v>
      </c>
      <c r="AA385" s="4">
        <v>1</v>
      </c>
      <c r="AB385" s="4">
        <v>0</v>
      </c>
      <c r="AC385" s="4"/>
      <c r="AD385" s="4">
        <f t="shared" si="228"/>
        <v>17563.392</v>
      </c>
      <c r="AF385" s="1" t="str">
        <f t="shared" si="229"/>
        <v>2</v>
      </c>
      <c r="AG385">
        <v>12</v>
      </c>
      <c r="AH385">
        <f t="shared" si="232"/>
        <v>259.20000000000005</v>
      </c>
      <c r="AI385">
        <f t="shared" si="233"/>
        <v>25.920000000000005</v>
      </c>
      <c r="AJ385">
        <f t="shared" si="234"/>
        <v>3200</v>
      </c>
      <c r="AK385">
        <f t="shared" si="235"/>
        <v>320</v>
      </c>
      <c r="AL385">
        <f t="shared" si="236"/>
        <v>51.840000000000011</v>
      </c>
      <c r="AM385">
        <f t="shared" si="249"/>
        <v>5.1840000000000011</v>
      </c>
      <c r="AN385">
        <f t="shared" si="237"/>
        <v>1.8</v>
      </c>
      <c r="AO385">
        <f t="shared" si="238"/>
        <v>2</v>
      </c>
      <c r="AP385">
        <f t="shared" si="239"/>
        <v>3</v>
      </c>
      <c r="AQ385">
        <v>202</v>
      </c>
      <c r="AR385">
        <v>5</v>
      </c>
      <c r="BO385" t="s">
        <v>184</v>
      </c>
      <c r="BP385" t="str">
        <f t="shared" si="251"/>
        <v>0</v>
      </c>
    </row>
    <row r="386" spans="1:68" x14ac:dyDescent="0.15">
      <c r="A386">
        <f t="shared" si="231"/>
        <v>5300125</v>
      </c>
      <c r="B386" t="s">
        <v>415</v>
      </c>
      <c r="C386">
        <v>12</v>
      </c>
      <c r="D386">
        <v>3</v>
      </c>
      <c r="E386">
        <v>5</v>
      </c>
      <c r="F386" t="s">
        <v>238</v>
      </c>
      <c r="G386" t="s">
        <v>238</v>
      </c>
      <c r="H386" s="2">
        <v>0</v>
      </c>
      <c r="I386" s="28" t="s">
        <v>720</v>
      </c>
      <c r="J386" s="2">
        <f t="shared" si="227"/>
        <v>3</v>
      </c>
      <c r="K386" s="2">
        <f t="shared" si="241"/>
        <v>1.3</v>
      </c>
      <c r="L386" s="2">
        <f t="shared" si="242"/>
        <v>1.9000000000000001</v>
      </c>
      <c r="M386" s="2">
        <v>12</v>
      </c>
      <c r="N386" s="2">
        <f t="shared" si="243"/>
        <v>187.2</v>
      </c>
      <c r="O386" s="2">
        <f t="shared" si="244"/>
        <v>18.72</v>
      </c>
      <c r="P386" s="2">
        <f t="shared" si="245"/>
        <v>3200</v>
      </c>
      <c r="Q386" s="2">
        <f t="shared" si="246"/>
        <v>320</v>
      </c>
      <c r="R386" s="2">
        <f t="shared" si="247"/>
        <v>37.44</v>
      </c>
      <c r="S386" s="2">
        <f t="shared" si="248"/>
        <v>3.74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11">
        <v>553003</v>
      </c>
      <c r="Z386" s="12" t="s">
        <v>702</v>
      </c>
      <c r="AA386" s="4">
        <v>1</v>
      </c>
      <c r="AB386" s="4">
        <v>0</v>
      </c>
      <c r="AC386" s="4"/>
      <c r="AD386" s="4">
        <f t="shared" si="228"/>
        <v>17563.392</v>
      </c>
      <c r="AF386" s="1" t="str">
        <f t="shared" si="229"/>
        <v>0</v>
      </c>
      <c r="AG386">
        <v>12</v>
      </c>
      <c r="AH386">
        <f t="shared" si="232"/>
        <v>187.20000000000005</v>
      </c>
      <c r="AI386">
        <f t="shared" si="233"/>
        <v>18.720000000000006</v>
      </c>
      <c r="AJ386">
        <f t="shared" si="234"/>
        <v>3200</v>
      </c>
      <c r="AK386">
        <f t="shared" si="235"/>
        <v>320</v>
      </c>
      <c r="AL386">
        <f t="shared" si="236"/>
        <v>37.440000000000012</v>
      </c>
      <c r="AM386">
        <f t="shared" si="249"/>
        <v>3.7440000000000015</v>
      </c>
      <c r="AN386">
        <f t="shared" si="237"/>
        <v>1.3</v>
      </c>
      <c r="AO386">
        <f t="shared" si="238"/>
        <v>1.9</v>
      </c>
      <c r="AP386">
        <f t="shared" si="239"/>
        <v>3</v>
      </c>
      <c r="AQ386">
        <v>300</v>
      </c>
      <c r="AR386">
        <v>5</v>
      </c>
    </row>
    <row r="387" spans="1:68" x14ac:dyDescent="0.15">
      <c r="A387">
        <f t="shared" si="231"/>
        <v>5302125</v>
      </c>
      <c r="B387" t="s">
        <v>143</v>
      </c>
      <c r="C387">
        <v>12</v>
      </c>
      <c r="D387">
        <v>3</v>
      </c>
      <c r="E387">
        <v>5</v>
      </c>
      <c r="F387" t="s">
        <v>239</v>
      </c>
      <c r="G387" t="s">
        <v>239</v>
      </c>
      <c r="H387" s="2">
        <v>0</v>
      </c>
      <c r="I387" s="2" t="s">
        <v>157</v>
      </c>
      <c r="J387" s="2">
        <f t="shared" si="227"/>
        <v>3</v>
      </c>
      <c r="K387" s="2">
        <f t="shared" si="241"/>
        <v>1.4000000000000001</v>
      </c>
      <c r="L387" s="2">
        <f t="shared" si="242"/>
        <v>1.7</v>
      </c>
      <c r="M387" s="2">
        <v>13</v>
      </c>
      <c r="N387" s="2">
        <f t="shared" si="243"/>
        <v>201.6</v>
      </c>
      <c r="O387" s="2">
        <f t="shared" si="244"/>
        <v>20.16</v>
      </c>
      <c r="P387" s="2">
        <f t="shared" si="245"/>
        <v>3200</v>
      </c>
      <c r="Q387" s="2">
        <f t="shared" si="246"/>
        <v>320</v>
      </c>
      <c r="R387" s="2">
        <f t="shared" si="247"/>
        <v>40.32</v>
      </c>
      <c r="S387" s="2">
        <f t="shared" si="248"/>
        <v>4.03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11">
        <v>553023</v>
      </c>
      <c r="Z387" s="12" t="s">
        <v>703</v>
      </c>
      <c r="AA387" s="4">
        <v>1</v>
      </c>
      <c r="AB387" s="4">
        <v>0</v>
      </c>
      <c r="AC387" s="4"/>
      <c r="AD387" s="4">
        <f t="shared" si="228"/>
        <v>17563.391999999996</v>
      </c>
      <c r="AF387" s="1" t="str">
        <f t="shared" si="229"/>
        <v>2</v>
      </c>
      <c r="AG387">
        <v>12</v>
      </c>
      <c r="AH387">
        <f t="shared" si="232"/>
        <v>201.60000000000002</v>
      </c>
      <c r="AI387">
        <f t="shared" si="233"/>
        <v>20.160000000000004</v>
      </c>
      <c r="AJ387">
        <f t="shared" si="234"/>
        <v>3200</v>
      </c>
      <c r="AK387">
        <f t="shared" si="235"/>
        <v>320</v>
      </c>
      <c r="AL387">
        <f t="shared" si="236"/>
        <v>40.320000000000007</v>
      </c>
      <c r="AM387">
        <f t="shared" si="249"/>
        <v>4.0320000000000009</v>
      </c>
      <c r="AN387">
        <f t="shared" si="237"/>
        <v>1.4</v>
      </c>
      <c r="AO387">
        <f t="shared" si="238"/>
        <v>1.7</v>
      </c>
      <c r="AP387">
        <f t="shared" si="239"/>
        <v>3</v>
      </c>
      <c r="AQ387">
        <v>302</v>
      </c>
      <c r="AR387">
        <v>5</v>
      </c>
    </row>
    <row r="388" spans="1:68" x14ac:dyDescent="0.15">
      <c r="A388">
        <f t="shared" si="231"/>
        <v>5400125</v>
      </c>
      <c r="B388" t="s">
        <v>149</v>
      </c>
      <c r="C388">
        <v>12</v>
      </c>
      <c r="D388">
        <v>4</v>
      </c>
      <c r="E388">
        <v>5</v>
      </c>
      <c r="F388" t="s">
        <v>240</v>
      </c>
      <c r="G388" t="s">
        <v>240</v>
      </c>
      <c r="H388">
        <v>0</v>
      </c>
      <c r="I388" s="2" t="s">
        <v>161</v>
      </c>
      <c r="J388" s="2">
        <f t="shared" si="227"/>
        <v>6</v>
      </c>
      <c r="K388" s="2">
        <f t="shared" si="241"/>
        <v>1.4000000000000001</v>
      </c>
      <c r="L388" s="2">
        <f t="shared" si="242"/>
        <v>1.4000000000000001</v>
      </c>
      <c r="M388" s="2">
        <v>14</v>
      </c>
      <c r="N388" s="2">
        <f t="shared" si="243"/>
        <v>268.8</v>
      </c>
      <c r="O388" s="2">
        <f t="shared" si="244"/>
        <v>26.88</v>
      </c>
      <c r="P388" s="2">
        <f t="shared" si="245"/>
        <v>2400</v>
      </c>
      <c r="Q388" s="2">
        <f t="shared" si="246"/>
        <v>240</v>
      </c>
      <c r="R388" s="2">
        <f t="shared" si="247"/>
        <v>38.4</v>
      </c>
      <c r="S388" s="2">
        <f t="shared" si="248"/>
        <v>3.84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11">
        <v>554003</v>
      </c>
      <c r="Z388" s="12" t="s">
        <v>704</v>
      </c>
      <c r="AA388" s="4">
        <v>1</v>
      </c>
      <c r="AB388" s="4">
        <v>0</v>
      </c>
      <c r="AC388" s="4"/>
      <c r="AD388" s="4">
        <f t="shared" si="228"/>
        <v>17563.391999999996</v>
      </c>
      <c r="AF388" s="1" t="str">
        <f t="shared" si="229"/>
        <v>0</v>
      </c>
      <c r="AG388">
        <v>12</v>
      </c>
      <c r="AH388">
        <f t="shared" si="232"/>
        <v>268.79999999999995</v>
      </c>
      <c r="AI388">
        <f t="shared" si="233"/>
        <v>26.879999999999995</v>
      </c>
      <c r="AJ388">
        <f t="shared" si="234"/>
        <v>2400</v>
      </c>
      <c r="AK388">
        <f t="shared" si="235"/>
        <v>240</v>
      </c>
      <c r="AL388">
        <f t="shared" si="236"/>
        <v>38.399999999999991</v>
      </c>
      <c r="AM388">
        <f t="shared" si="249"/>
        <v>3.8399999999999994</v>
      </c>
      <c r="AN388">
        <f t="shared" si="237"/>
        <v>1.4</v>
      </c>
      <c r="AO388">
        <f t="shared" si="238"/>
        <v>1.4</v>
      </c>
      <c r="AP388">
        <f t="shared" si="239"/>
        <v>6</v>
      </c>
      <c r="AQ388">
        <v>400</v>
      </c>
      <c r="AR388">
        <v>5</v>
      </c>
      <c r="BO388" t="s">
        <v>186</v>
      </c>
      <c r="BP388" t="str">
        <f>RIGHT(BO388,1)</f>
        <v>0</v>
      </c>
    </row>
    <row r="389" spans="1:68" x14ac:dyDescent="0.15">
      <c r="A389">
        <f t="shared" si="231"/>
        <v>5501125</v>
      </c>
      <c r="B389" t="s">
        <v>413</v>
      </c>
      <c r="C389">
        <v>12</v>
      </c>
      <c r="D389">
        <v>5</v>
      </c>
      <c r="E389">
        <v>5</v>
      </c>
      <c r="F389" t="s">
        <v>709</v>
      </c>
      <c r="G389" t="s">
        <v>709</v>
      </c>
      <c r="H389" s="22">
        <v>0</v>
      </c>
      <c r="I389" s="28" t="s">
        <v>721</v>
      </c>
      <c r="J389" s="2">
        <f t="shared" si="227"/>
        <v>6</v>
      </c>
      <c r="K389" s="2">
        <f t="shared" si="241"/>
        <v>1.6</v>
      </c>
      <c r="L389" s="2">
        <f t="shared" si="242"/>
        <v>2</v>
      </c>
      <c r="M389" s="2">
        <v>15</v>
      </c>
      <c r="N389" s="2">
        <f t="shared" si="243"/>
        <v>358.4</v>
      </c>
      <c r="O389" s="2">
        <f t="shared" si="244"/>
        <v>35.840000000000003</v>
      </c>
      <c r="P389" s="2">
        <f t="shared" si="245"/>
        <v>2057.14</v>
      </c>
      <c r="Q389" s="2">
        <f t="shared" si="246"/>
        <v>205.71</v>
      </c>
      <c r="R389" s="2">
        <f t="shared" si="247"/>
        <v>44.8</v>
      </c>
      <c r="S389" s="2">
        <f t="shared" si="248"/>
        <v>4.4800000000000004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11">
        <v>555013</v>
      </c>
      <c r="Z389" s="26" t="s">
        <v>705</v>
      </c>
      <c r="AA389" s="4">
        <v>1</v>
      </c>
      <c r="AB389" s="4">
        <v>0</v>
      </c>
      <c r="AC389" s="4"/>
      <c r="AD389" s="4">
        <f t="shared" si="228"/>
        <v>17563.057142399997</v>
      </c>
      <c r="AF389" s="1" t="str">
        <f t="shared" si="229"/>
        <v>1</v>
      </c>
      <c r="AG389">
        <v>12</v>
      </c>
      <c r="AH389">
        <f t="shared" si="232"/>
        <v>358.4</v>
      </c>
      <c r="AI389">
        <f t="shared" si="233"/>
        <v>35.839999999999996</v>
      </c>
      <c r="AJ389">
        <f t="shared" si="234"/>
        <v>2057.1428571428573</v>
      </c>
      <c r="AK389">
        <f t="shared" si="235"/>
        <v>205.71428571428575</v>
      </c>
      <c r="AL389">
        <f t="shared" si="236"/>
        <v>44.8</v>
      </c>
      <c r="AM389">
        <f t="shared" si="249"/>
        <v>4.4799999999999995</v>
      </c>
      <c r="AN389">
        <f t="shared" si="237"/>
        <v>1.6</v>
      </c>
      <c r="AO389">
        <f t="shared" si="238"/>
        <v>2</v>
      </c>
      <c r="AP389">
        <f t="shared" si="239"/>
        <v>6</v>
      </c>
      <c r="AQ389">
        <v>501</v>
      </c>
      <c r="AR389">
        <v>5</v>
      </c>
      <c r="BO389" t="s">
        <v>176</v>
      </c>
      <c r="BP389" t="str">
        <f>RIGHT(BO389,1)</f>
        <v>2</v>
      </c>
    </row>
    <row r="390" spans="1:68" x14ac:dyDescent="0.15">
      <c r="A390">
        <f t="shared" si="231"/>
        <v>5200131</v>
      </c>
      <c r="B390" t="s">
        <v>160</v>
      </c>
      <c r="C390">
        <v>13</v>
      </c>
      <c r="D390">
        <v>2</v>
      </c>
      <c r="E390">
        <v>1</v>
      </c>
      <c r="F390" t="s">
        <v>207</v>
      </c>
      <c r="G390" t="s">
        <v>207</v>
      </c>
      <c r="H390" s="2">
        <v>0</v>
      </c>
      <c r="I390" s="28" t="s">
        <v>711</v>
      </c>
      <c r="J390" s="2">
        <f t="shared" si="227"/>
        <v>3</v>
      </c>
      <c r="K390" s="2">
        <f t="shared" si="241"/>
        <v>1.5</v>
      </c>
      <c r="L390" s="2">
        <f t="shared" si="242"/>
        <v>1.2</v>
      </c>
      <c r="M390" s="2">
        <v>10</v>
      </c>
      <c r="N390" s="2">
        <f t="shared" si="243"/>
        <v>256</v>
      </c>
      <c r="O390" s="2">
        <f t="shared" si="244"/>
        <v>25.6</v>
      </c>
      <c r="P390" s="2">
        <f t="shared" si="245"/>
        <v>3072</v>
      </c>
      <c r="Q390" s="2">
        <f t="shared" si="246"/>
        <v>307.2</v>
      </c>
      <c r="R390" s="2">
        <f t="shared" si="247"/>
        <v>64</v>
      </c>
      <c r="S390" s="2">
        <f t="shared" si="248"/>
        <v>6.4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11">
        <v>512003</v>
      </c>
      <c r="Z390" s="12" t="s">
        <v>669</v>
      </c>
      <c r="AA390" s="4">
        <v>1</v>
      </c>
      <c r="AB390" s="4">
        <v>0</v>
      </c>
      <c r="AC390" s="4"/>
      <c r="AD390" s="4">
        <f t="shared" si="228"/>
        <v>19983.237120000002</v>
      </c>
      <c r="AF390" s="1" t="str">
        <f t="shared" si="229"/>
        <v>0</v>
      </c>
      <c r="AG390">
        <v>13</v>
      </c>
      <c r="AH390">
        <f t="shared" si="232"/>
        <v>256</v>
      </c>
      <c r="AI390">
        <f t="shared" si="233"/>
        <v>25.6</v>
      </c>
      <c r="AJ390">
        <f t="shared" si="234"/>
        <v>3072</v>
      </c>
      <c r="AK390">
        <f t="shared" si="235"/>
        <v>307.20000000000005</v>
      </c>
      <c r="AL390">
        <f t="shared" si="236"/>
        <v>64</v>
      </c>
      <c r="AM390">
        <f t="shared" si="249"/>
        <v>6.4</v>
      </c>
      <c r="AN390">
        <f t="shared" si="237"/>
        <v>1.5</v>
      </c>
      <c r="AO390">
        <f t="shared" si="238"/>
        <v>1.2</v>
      </c>
      <c r="AP390">
        <f t="shared" si="239"/>
        <v>3</v>
      </c>
      <c r="AQ390">
        <v>200</v>
      </c>
      <c r="AR390">
        <v>5</v>
      </c>
      <c r="BO390" t="s">
        <v>165</v>
      </c>
      <c r="BP390" t="str">
        <f>RIGHT(BO390,1)</f>
        <v>2</v>
      </c>
    </row>
    <row r="391" spans="1:68" x14ac:dyDescent="0.15">
      <c r="A391">
        <f t="shared" si="231"/>
        <v>5201131</v>
      </c>
      <c r="B391" t="s">
        <v>407</v>
      </c>
      <c r="C391">
        <v>13</v>
      </c>
      <c r="D391">
        <v>2</v>
      </c>
      <c r="E391">
        <v>1</v>
      </c>
      <c r="F391" t="s">
        <v>208</v>
      </c>
      <c r="G391" t="s">
        <v>208</v>
      </c>
      <c r="H391" s="2">
        <v>0</v>
      </c>
      <c r="I391" s="2" t="s">
        <v>92</v>
      </c>
      <c r="J391" s="2">
        <f t="shared" si="227"/>
        <v>3</v>
      </c>
      <c r="K391" s="2">
        <f t="shared" si="241"/>
        <v>1.8</v>
      </c>
      <c r="L391" s="2">
        <f t="shared" si="242"/>
        <v>1.8</v>
      </c>
      <c r="M391" s="2">
        <v>10</v>
      </c>
      <c r="N391" s="2">
        <f t="shared" si="243"/>
        <v>245.76</v>
      </c>
      <c r="O391" s="2">
        <f t="shared" si="244"/>
        <v>24.58</v>
      </c>
      <c r="P391" s="2">
        <f t="shared" si="245"/>
        <v>3840</v>
      </c>
      <c r="Q391" s="2">
        <f t="shared" si="246"/>
        <v>384</v>
      </c>
      <c r="R391" s="2">
        <f t="shared" si="247"/>
        <v>81.92</v>
      </c>
      <c r="S391" s="2">
        <f t="shared" si="248"/>
        <v>8.19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11">
        <v>512013</v>
      </c>
      <c r="Z391" s="12" t="s">
        <v>670</v>
      </c>
      <c r="AA391" s="4">
        <v>1</v>
      </c>
      <c r="AB391" s="4">
        <v>0</v>
      </c>
      <c r="AC391" s="4"/>
      <c r="AD391" s="4">
        <f t="shared" si="228"/>
        <v>19986.193919999998</v>
      </c>
      <c r="AF391" s="1" t="str">
        <f t="shared" si="229"/>
        <v>1</v>
      </c>
      <c r="AG391">
        <v>13</v>
      </c>
      <c r="AH391">
        <f t="shared" si="232"/>
        <v>245.76000000000005</v>
      </c>
      <c r="AI391">
        <f t="shared" si="233"/>
        <v>24.576000000000008</v>
      </c>
      <c r="AJ391">
        <f t="shared" si="234"/>
        <v>3840</v>
      </c>
      <c r="AK391">
        <f t="shared" si="235"/>
        <v>384</v>
      </c>
      <c r="AL391">
        <f t="shared" si="236"/>
        <v>81.920000000000016</v>
      </c>
      <c r="AM391">
        <f t="shared" si="249"/>
        <v>8.1920000000000019</v>
      </c>
      <c r="AN391">
        <f t="shared" si="237"/>
        <v>1.8</v>
      </c>
      <c r="AO391">
        <f t="shared" si="238"/>
        <v>1.8</v>
      </c>
      <c r="AP391">
        <f t="shared" si="239"/>
        <v>3</v>
      </c>
      <c r="AQ391">
        <v>201</v>
      </c>
      <c r="AR391">
        <v>5</v>
      </c>
    </row>
    <row r="392" spans="1:68" x14ac:dyDescent="0.15">
      <c r="A392">
        <f t="shared" si="231"/>
        <v>5202131</v>
      </c>
      <c r="B392" t="s">
        <v>408</v>
      </c>
      <c r="C392">
        <v>13</v>
      </c>
      <c r="D392">
        <v>2</v>
      </c>
      <c r="E392">
        <v>1</v>
      </c>
      <c r="F392" t="s">
        <v>210</v>
      </c>
      <c r="G392" t="s">
        <v>210</v>
      </c>
      <c r="H392">
        <v>0</v>
      </c>
      <c r="I392" s="28" t="s">
        <v>712</v>
      </c>
      <c r="J392" s="2">
        <f t="shared" si="227"/>
        <v>3</v>
      </c>
      <c r="K392" s="2">
        <f t="shared" si="241"/>
        <v>1.8</v>
      </c>
      <c r="L392" s="2">
        <f t="shared" si="242"/>
        <v>2</v>
      </c>
      <c r="M392" s="2">
        <v>10</v>
      </c>
      <c r="N392" s="2">
        <f t="shared" si="243"/>
        <v>276.48</v>
      </c>
      <c r="O392" s="2">
        <f t="shared" si="244"/>
        <v>27.65</v>
      </c>
      <c r="P392" s="2">
        <f t="shared" si="245"/>
        <v>3413.33</v>
      </c>
      <c r="Q392" s="2">
        <f t="shared" si="246"/>
        <v>341.33</v>
      </c>
      <c r="R392" s="2">
        <f t="shared" si="247"/>
        <v>55.3</v>
      </c>
      <c r="S392" s="2">
        <f t="shared" si="248"/>
        <v>5.53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11">
        <v>512023</v>
      </c>
      <c r="Z392" s="12" t="s">
        <v>671</v>
      </c>
      <c r="AA392" s="4">
        <v>1</v>
      </c>
      <c r="AB392" s="4">
        <v>0</v>
      </c>
      <c r="AC392" s="4"/>
      <c r="AD392" s="4">
        <f t="shared" si="228"/>
        <v>19984.372059469999</v>
      </c>
      <c r="AF392" s="1" t="str">
        <f t="shared" si="229"/>
        <v>2</v>
      </c>
      <c r="AG392">
        <v>13</v>
      </c>
      <c r="AH392">
        <f t="shared" si="232"/>
        <v>276.48</v>
      </c>
      <c r="AI392">
        <f t="shared" si="233"/>
        <v>27.648000000000003</v>
      </c>
      <c r="AJ392">
        <f t="shared" si="234"/>
        <v>3413.3333333333339</v>
      </c>
      <c r="AK392">
        <f t="shared" si="235"/>
        <v>341.33333333333343</v>
      </c>
      <c r="AL392">
        <f t="shared" si="236"/>
        <v>55.296000000000006</v>
      </c>
      <c r="AM392">
        <f t="shared" si="249"/>
        <v>5.5296000000000012</v>
      </c>
      <c r="AN392">
        <f t="shared" si="237"/>
        <v>1.8</v>
      </c>
      <c r="AO392">
        <f t="shared" si="238"/>
        <v>2</v>
      </c>
      <c r="AP392">
        <f t="shared" si="239"/>
        <v>3</v>
      </c>
      <c r="AQ392">
        <v>202</v>
      </c>
      <c r="AR392">
        <v>5</v>
      </c>
      <c r="BO392" t="s">
        <v>184</v>
      </c>
      <c r="BP392" t="str">
        <f>RIGHT(BO392,1)</f>
        <v>0</v>
      </c>
    </row>
    <row r="393" spans="1:68" x14ac:dyDescent="0.15">
      <c r="A393">
        <f t="shared" si="231"/>
        <v>5301131</v>
      </c>
      <c r="B393" t="s">
        <v>409</v>
      </c>
      <c r="C393">
        <v>13</v>
      </c>
      <c r="D393">
        <v>3</v>
      </c>
      <c r="E393">
        <v>1</v>
      </c>
      <c r="F393" t="s">
        <v>211</v>
      </c>
      <c r="G393" t="s">
        <v>211</v>
      </c>
      <c r="H393" s="2">
        <v>0</v>
      </c>
      <c r="I393" s="28" t="s">
        <v>713</v>
      </c>
      <c r="J393" s="2">
        <f t="shared" si="227"/>
        <v>3</v>
      </c>
      <c r="K393" s="2">
        <f t="shared" si="241"/>
        <v>1.2</v>
      </c>
      <c r="L393" s="2">
        <f t="shared" si="242"/>
        <v>2</v>
      </c>
      <c r="M393" s="2">
        <v>10</v>
      </c>
      <c r="N393" s="2">
        <f t="shared" si="243"/>
        <v>184.32</v>
      </c>
      <c r="O393" s="2">
        <f t="shared" si="244"/>
        <v>18.43</v>
      </c>
      <c r="P393" s="2">
        <f t="shared" si="245"/>
        <v>3413.33</v>
      </c>
      <c r="Q393" s="2">
        <f t="shared" si="246"/>
        <v>341.33</v>
      </c>
      <c r="R393" s="2">
        <f t="shared" si="247"/>
        <v>36.86</v>
      </c>
      <c r="S393" s="2">
        <f t="shared" si="248"/>
        <v>3.69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11">
        <v>513013</v>
      </c>
      <c r="Z393" s="12" t="s">
        <v>672</v>
      </c>
      <c r="AA393" s="4">
        <v>1</v>
      </c>
      <c r="AB393" s="4">
        <v>0</v>
      </c>
      <c r="AC393" s="4"/>
      <c r="AD393" s="4">
        <f t="shared" si="228"/>
        <v>19981.086755594999</v>
      </c>
      <c r="AF393" s="1" t="str">
        <f t="shared" si="229"/>
        <v>1</v>
      </c>
      <c r="AG393">
        <v>13</v>
      </c>
      <c r="AH393">
        <f t="shared" si="232"/>
        <v>184.32000000000005</v>
      </c>
      <c r="AI393">
        <f t="shared" si="233"/>
        <v>18.432000000000006</v>
      </c>
      <c r="AJ393">
        <f t="shared" si="234"/>
        <v>3413.3333333333339</v>
      </c>
      <c r="AK393">
        <f t="shared" si="235"/>
        <v>341.33333333333343</v>
      </c>
      <c r="AL393">
        <f t="shared" si="236"/>
        <v>36.864000000000011</v>
      </c>
      <c r="AM393">
        <f t="shared" si="249"/>
        <v>3.6864000000000012</v>
      </c>
      <c r="AN393">
        <f t="shared" si="237"/>
        <v>1.2</v>
      </c>
      <c r="AO393">
        <f t="shared" si="238"/>
        <v>2</v>
      </c>
      <c r="AP393">
        <f t="shared" si="239"/>
        <v>3</v>
      </c>
      <c r="AQ393">
        <v>301</v>
      </c>
      <c r="AR393">
        <v>5</v>
      </c>
      <c r="BO393" t="s">
        <v>169</v>
      </c>
      <c r="BP393" t="str">
        <f>RIGHT(BO393,1)</f>
        <v>0</v>
      </c>
    </row>
    <row r="394" spans="1:68" x14ac:dyDescent="0.15">
      <c r="A394">
        <f t="shared" si="231"/>
        <v>5401131</v>
      </c>
      <c r="B394" t="s">
        <v>410</v>
      </c>
      <c r="C394">
        <v>13</v>
      </c>
      <c r="D394">
        <v>4</v>
      </c>
      <c r="E394">
        <v>1</v>
      </c>
      <c r="F394" t="s">
        <v>212</v>
      </c>
      <c r="G394" t="s">
        <v>212</v>
      </c>
      <c r="H394" s="2">
        <v>0</v>
      </c>
      <c r="I394" s="2" t="s">
        <v>103</v>
      </c>
      <c r="J394" s="2">
        <f t="shared" si="227"/>
        <v>6</v>
      </c>
      <c r="K394" s="2">
        <f t="shared" si="241"/>
        <v>1.6</v>
      </c>
      <c r="L394" s="2">
        <f t="shared" si="242"/>
        <v>2</v>
      </c>
      <c r="M394" s="2">
        <v>10</v>
      </c>
      <c r="N394" s="2">
        <f t="shared" si="243"/>
        <v>327.68</v>
      </c>
      <c r="O394" s="2">
        <f t="shared" si="244"/>
        <v>32.770000000000003</v>
      </c>
      <c r="P394" s="2">
        <f t="shared" si="245"/>
        <v>2560</v>
      </c>
      <c r="Q394" s="2">
        <f t="shared" si="246"/>
        <v>256</v>
      </c>
      <c r="R394" s="2">
        <f t="shared" si="247"/>
        <v>46.81</v>
      </c>
      <c r="S394" s="2">
        <f t="shared" si="248"/>
        <v>4.68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11">
        <v>514013</v>
      </c>
      <c r="Z394" s="12" t="s">
        <v>673</v>
      </c>
      <c r="AA394" s="4">
        <v>1</v>
      </c>
      <c r="AB394" s="4">
        <v>0</v>
      </c>
      <c r="AC394" s="4"/>
      <c r="AD394" s="4">
        <f t="shared" si="228"/>
        <v>19984.345920000003</v>
      </c>
      <c r="AF394" s="1" t="str">
        <f t="shared" si="229"/>
        <v>1</v>
      </c>
      <c r="AG394">
        <v>13</v>
      </c>
      <c r="AH394">
        <f t="shared" si="232"/>
        <v>327.68000000000006</v>
      </c>
      <c r="AI394">
        <f t="shared" si="233"/>
        <v>32.768000000000008</v>
      </c>
      <c r="AJ394">
        <f t="shared" si="234"/>
        <v>2560</v>
      </c>
      <c r="AK394">
        <f t="shared" si="235"/>
        <v>256</v>
      </c>
      <c r="AL394">
        <f t="shared" si="236"/>
        <v>46.811428571428578</v>
      </c>
      <c r="AM394">
        <f t="shared" si="249"/>
        <v>4.6811428571428584</v>
      </c>
      <c r="AN394">
        <f t="shared" si="237"/>
        <v>1.6</v>
      </c>
      <c r="AO394">
        <f t="shared" si="238"/>
        <v>2</v>
      </c>
      <c r="AP394">
        <f t="shared" si="239"/>
        <v>6</v>
      </c>
      <c r="AQ394">
        <v>401</v>
      </c>
      <c r="AR394">
        <v>5</v>
      </c>
    </row>
    <row r="395" spans="1:68" x14ac:dyDescent="0.15">
      <c r="A395">
        <f t="shared" si="231"/>
        <v>5402131</v>
      </c>
      <c r="B395" t="s">
        <v>102</v>
      </c>
      <c r="C395">
        <v>13</v>
      </c>
      <c r="D395">
        <v>4</v>
      </c>
      <c r="E395">
        <v>1</v>
      </c>
      <c r="F395" t="s">
        <v>213</v>
      </c>
      <c r="G395" t="s">
        <v>213</v>
      </c>
      <c r="H395">
        <v>0</v>
      </c>
      <c r="I395" s="28" t="s">
        <v>714</v>
      </c>
      <c r="J395" s="2">
        <f t="shared" si="227"/>
        <v>6</v>
      </c>
      <c r="K395" s="2">
        <f t="shared" si="241"/>
        <v>1.5</v>
      </c>
      <c r="L395" s="2">
        <f t="shared" si="242"/>
        <v>1.5</v>
      </c>
      <c r="M395" s="2">
        <v>10</v>
      </c>
      <c r="N395" s="2">
        <f t="shared" si="243"/>
        <v>307.2</v>
      </c>
      <c r="O395" s="2">
        <f t="shared" si="244"/>
        <v>30.72</v>
      </c>
      <c r="P395" s="2">
        <f t="shared" si="245"/>
        <v>2560</v>
      </c>
      <c r="Q395" s="2">
        <f t="shared" si="246"/>
        <v>256</v>
      </c>
      <c r="R395" s="2">
        <f t="shared" si="247"/>
        <v>43.89</v>
      </c>
      <c r="S395" s="2">
        <f t="shared" si="248"/>
        <v>4.3899999999999997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11">
        <v>514023</v>
      </c>
      <c r="Z395" s="12" t="s">
        <v>674</v>
      </c>
      <c r="AA395" s="4">
        <v>1</v>
      </c>
      <c r="AB395" s="4">
        <v>0</v>
      </c>
      <c r="AC395" s="4"/>
      <c r="AD395" s="4">
        <f t="shared" si="228"/>
        <v>19983.237120000002</v>
      </c>
      <c r="AF395" s="1" t="str">
        <f t="shared" si="229"/>
        <v>2</v>
      </c>
      <c r="AG395">
        <v>13</v>
      </c>
      <c r="AH395">
        <f t="shared" si="232"/>
        <v>307.20000000000005</v>
      </c>
      <c r="AI395">
        <f t="shared" si="233"/>
        <v>30.720000000000006</v>
      </c>
      <c r="AJ395">
        <f t="shared" si="234"/>
        <v>2560</v>
      </c>
      <c r="AK395">
        <f t="shared" si="235"/>
        <v>256</v>
      </c>
      <c r="AL395">
        <f t="shared" si="236"/>
        <v>43.885714285714293</v>
      </c>
      <c r="AM395">
        <f t="shared" si="249"/>
        <v>4.3885714285714297</v>
      </c>
      <c r="AN395">
        <f t="shared" si="237"/>
        <v>1.5</v>
      </c>
      <c r="AO395">
        <f t="shared" si="238"/>
        <v>1.5</v>
      </c>
      <c r="AP395">
        <f t="shared" si="239"/>
        <v>6</v>
      </c>
      <c r="AQ395">
        <v>402</v>
      </c>
      <c r="AR395">
        <v>5</v>
      </c>
      <c r="BO395" t="s">
        <v>182</v>
      </c>
      <c r="BP395" t="str">
        <f>RIGHT(BO395,1)</f>
        <v>2</v>
      </c>
    </row>
    <row r="396" spans="1:68" x14ac:dyDescent="0.15">
      <c r="A396">
        <f t="shared" si="231"/>
        <v>5500131</v>
      </c>
      <c r="B396" t="s">
        <v>411</v>
      </c>
      <c r="C396">
        <v>13</v>
      </c>
      <c r="D396">
        <v>5</v>
      </c>
      <c r="E396">
        <v>1</v>
      </c>
      <c r="F396" t="s">
        <v>214</v>
      </c>
      <c r="G396" t="s">
        <v>214</v>
      </c>
      <c r="H396">
        <v>0</v>
      </c>
      <c r="I396" s="2" t="s">
        <v>109</v>
      </c>
      <c r="J396" s="2">
        <f t="shared" si="227"/>
        <v>6</v>
      </c>
      <c r="K396" s="2">
        <f t="shared" si="241"/>
        <v>1.5</v>
      </c>
      <c r="L396" s="2">
        <f t="shared" si="242"/>
        <v>1.5</v>
      </c>
      <c r="M396" s="2">
        <v>10</v>
      </c>
      <c r="N396" s="2">
        <f t="shared" si="243"/>
        <v>358.4</v>
      </c>
      <c r="O396" s="2">
        <f t="shared" si="244"/>
        <v>35.840000000000003</v>
      </c>
      <c r="P396" s="2">
        <f t="shared" si="245"/>
        <v>2194.29</v>
      </c>
      <c r="Q396" s="2">
        <f t="shared" si="246"/>
        <v>219.43</v>
      </c>
      <c r="R396" s="2">
        <f t="shared" si="247"/>
        <v>44.8</v>
      </c>
      <c r="S396" s="2">
        <f t="shared" si="248"/>
        <v>4.4800000000000004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11">
        <v>515003</v>
      </c>
      <c r="Z396" s="12" t="s">
        <v>675</v>
      </c>
      <c r="AA396" s="4">
        <v>1</v>
      </c>
      <c r="AB396" s="4">
        <v>0</v>
      </c>
      <c r="AC396" s="4"/>
      <c r="AD396" s="4">
        <f t="shared" si="228"/>
        <v>19983.35894016</v>
      </c>
      <c r="AF396" s="1" t="str">
        <f t="shared" si="229"/>
        <v>0</v>
      </c>
      <c r="AG396">
        <v>13</v>
      </c>
      <c r="AH396">
        <f t="shared" si="232"/>
        <v>358.39999999999992</v>
      </c>
      <c r="AI396">
        <f t="shared" si="233"/>
        <v>35.839999999999996</v>
      </c>
      <c r="AJ396">
        <f t="shared" si="234"/>
        <v>2194.2857142857147</v>
      </c>
      <c r="AK396">
        <f t="shared" si="235"/>
        <v>219.42857142857147</v>
      </c>
      <c r="AL396">
        <f t="shared" si="236"/>
        <v>44.79999999999999</v>
      </c>
      <c r="AM396">
        <f t="shared" si="249"/>
        <v>4.4799999999999995</v>
      </c>
      <c r="AN396">
        <f t="shared" si="237"/>
        <v>1.5</v>
      </c>
      <c r="AO396">
        <f t="shared" si="238"/>
        <v>1.5</v>
      </c>
      <c r="AP396">
        <f t="shared" si="239"/>
        <v>6</v>
      </c>
      <c r="AQ396">
        <v>500</v>
      </c>
      <c r="AR396">
        <v>5</v>
      </c>
      <c r="BO396" t="s">
        <v>178</v>
      </c>
      <c r="BP396" t="str">
        <f>RIGHT(BO396,1)</f>
        <v>2</v>
      </c>
    </row>
    <row r="397" spans="1:68" x14ac:dyDescent="0.15">
      <c r="A397">
        <f t="shared" si="231"/>
        <v>5502131</v>
      </c>
      <c r="B397" t="s">
        <v>115</v>
      </c>
      <c r="C397">
        <v>13</v>
      </c>
      <c r="D397">
        <v>5</v>
      </c>
      <c r="E397">
        <v>1</v>
      </c>
      <c r="F397" t="s">
        <v>215</v>
      </c>
      <c r="G397" t="s">
        <v>215</v>
      </c>
      <c r="H397" s="2">
        <v>0</v>
      </c>
      <c r="I397" s="2" t="s">
        <v>113</v>
      </c>
      <c r="J397" s="2">
        <f t="shared" si="227"/>
        <v>6</v>
      </c>
      <c r="K397" s="2">
        <f t="shared" si="241"/>
        <v>1.4000000000000001</v>
      </c>
      <c r="L397" s="2">
        <f t="shared" si="242"/>
        <v>2</v>
      </c>
      <c r="M397" s="2">
        <v>10</v>
      </c>
      <c r="N397" s="2">
        <f t="shared" si="243"/>
        <v>334.51</v>
      </c>
      <c r="O397" s="2">
        <f t="shared" si="244"/>
        <v>33.450000000000003</v>
      </c>
      <c r="P397" s="2">
        <f t="shared" si="245"/>
        <v>2194.29</v>
      </c>
      <c r="Q397" s="2">
        <f t="shared" si="246"/>
        <v>219.43</v>
      </c>
      <c r="R397" s="2">
        <f t="shared" si="247"/>
        <v>41.81</v>
      </c>
      <c r="S397" s="2">
        <f t="shared" si="248"/>
        <v>4.18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11">
        <v>515023</v>
      </c>
      <c r="Z397" s="12" t="s">
        <v>676</v>
      </c>
      <c r="AA397" s="4">
        <v>1</v>
      </c>
      <c r="AB397" s="4">
        <v>0</v>
      </c>
      <c r="AC397" s="4"/>
      <c r="AD397" s="4">
        <f t="shared" si="228"/>
        <v>19983.014983777495</v>
      </c>
      <c r="AF397" s="1" t="str">
        <f t="shared" si="229"/>
        <v>2</v>
      </c>
      <c r="AG397">
        <v>13</v>
      </c>
      <c r="AH397">
        <f t="shared" si="232"/>
        <v>334.50666666666666</v>
      </c>
      <c r="AI397">
        <f t="shared" si="233"/>
        <v>33.45066666666667</v>
      </c>
      <c r="AJ397">
        <f t="shared" si="234"/>
        <v>2194.2857142857147</v>
      </c>
      <c r="AK397">
        <f t="shared" si="235"/>
        <v>219.42857142857147</v>
      </c>
      <c r="AL397">
        <f t="shared" si="236"/>
        <v>41.813333333333333</v>
      </c>
      <c r="AM397">
        <f t="shared" si="249"/>
        <v>4.1813333333333338</v>
      </c>
      <c r="AN397">
        <f t="shared" si="237"/>
        <v>1.4</v>
      </c>
      <c r="AO397">
        <f t="shared" si="238"/>
        <v>2</v>
      </c>
      <c r="AP397">
        <f t="shared" si="239"/>
        <v>6</v>
      </c>
      <c r="AQ397">
        <v>502</v>
      </c>
      <c r="AR397">
        <v>5</v>
      </c>
      <c r="BO397" t="s">
        <v>178</v>
      </c>
      <c r="BP397" t="str">
        <f>RIGHT(BO397,1)</f>
        <v>2</v>
      </c>
    </row>
    <row r="398" spans="1:68" x14ac:dyDescent="0.15">
      <c r="A398">
        <f t="shared" si="231"/>
        <v>5601131</v>
      </c>
      <c r="B398" t="s">
        <v>412</v>
      </c>
      <c r="C398">
        <v>13</v>
      </c>
      <c r="D398">
        <v>6</v>
      </c>
      <c r="E398">
        <v>1</v>
      </c>
      <c r="F398" t="s">
        <v>216</v>
      </c>
      <c r="G398" t="s">
        <v>216</v>
      </c>
      <c r="H398">
        <v>0</v>
      </c>
      <c r="I398" s="2" t="s">
        <v>116</v>
      </c>
      <c r="J398" s="2">
        <f t="shared" si="227"/>
        <v>6</v>
      </c>
      <c r="K398" s="2">
        <f t="shared" si="241"/>
        <v>1.5</v>
      </c>
      <c r="L398" s="2">
        <f t="shared" si="242"/>
        <v>2</v>
      </c>
      <c r="M398" s="2">
        <v>10</v>
      </c>
      <c r="N398" s="2">
        <f t="shared" si="243"/>
        <v>396.8</v>
      </c>
      <c r="O398" s="2">
        <f t="shared" si="244"/>
        <v>39.68</v>
      </c>
      <c r="P398" s="2">
        <f t="shared" si="245"/>
        <v>1981.94</v>
      </c>
      <c r="Q398" s="2">
        <f t="shared" si="246"/>
        <v>198.19</v>
      </c>
      <c r="R398" s="2">
        <f t="shared" si="247"/>
        <v>39.68</v>
      </c>
      <c r="S398" s="2">
        <f t="shared" si="248"/>
        <v>3.97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11">
        <v>516013</v>
      </c>
      <c r="Z398" s="12" t="s">
        <v>677</v>
      </c>
      <c r="AA398" s="4">
        <v>1</v>
      </c>
      <c r="AB398" s="4">
        <v>0</v>
      </c>
      <c r="AC398" s="4"/>
      <c r="AD398" s="4">
        <f t="shared" si="228"/>
        <v>19982.916011519999</v>
      </c>
      <c r="AF398" s="1" t="str">
        <f t="shared" si="229"/>
        <v>1</v>
      </c>
      <c r="AG398">
        <v>13</v>
      </c>
      <c r="AH398">
        <f t="shared" si="232"/>
        <v>396.8</v>
      </c>
      <c r="AI398">
        <f t="shared" si="233"/>
        <v>39.680000000000007</v>
      </c>
      <c r="AJ398">
        <f t="shared" si="234"/>
        <v>1981.9354838709678</v>
      </c>
      <c r="AK398">
        <f t="shared" si="235"/>
        <v>198.1935483870968</v>
      </c>
      <c r="AL398">
        <f t="shared" si="236"/>
        <v>39.68</v>
      </c>
      <c r="AM398">
        <f t="shared" si="249"/>
        <v>3.968</v>
      </c>
      <c r="AN398">
        <f t="shared" si="237"/>
        <v>1.5</v>
      </c>
      <c r="AO398">
        <f t="shared" si="238"/>
        <v>2</v>
      </c>
      <c r="AP398">
        <f t="shared" si="239"/>
        <v>6</v>
      </c>
      <c r="AQ398">
        <v>601</v>
      </c>
      <c r="AR398">
        <v>5</v>
      </c>
      <c r="BO398" t="s">
        <v>188</v>
      </c>
      <c r="BP398" t="str">
        <f t="shared" ref="BP398:BP399" si="252">RIGHT(BO398,1)</f>
        <v>0</v>
      </c>
    </row>
    <row r="399" spans="1:68" x14ac:dyDescent="0.15">
      <c r="A399">
        <f t="shared" si="231"/>
        <v>5200132</v>
      </c>
      <c r="B399" t="s">
        <v>160</v>
      </c>
      <c r="C399">
        <v>13</v>
      </c>
      <c r="D399">
        <v>2</v>
      </c>
      <c r="E399">
        <v>2</v>
      </c>
      <c r="F399" t="s">
        <v>217</v>
      </c>
      <c r="G399" t="s">
        <v>217</v>
      </c>
      <c r="H399">
        <v>0</v>
      </c>
      <c r="I399" s="28" t="s">
        <v>715</v>
      </c>
      <c r="J399" s="2">
        <f t="shared" si="227"/>
        <v>3</v>
      </c>
      <c r="K399" s="2">
        <f t="shared" si="241"/>
        <v>1.5</v>
      </c>
      <c r="L399" s="2">
        <f t="shared" si="242"/>
        <v>1.2</v>
      </c>
      <c r="M399" s="2">
        <v>10</v>
      </c>
      <c r="N399" s="2">
        <f t="shared" si="243"/>
        <v>256</v>
      </c>
      <c r="O399" s="2">
        <f t="shared" si="244"/>
        <v>25.6</v>
      </c>
      <c r="P399" s="2">
        <f t="shared" si="245"/>
        <v>3072</v>
      </c>
      <c r="Q399" s="2">
        <f t="shared" si="246"/>
        <v>307.2</v>
      </c>
      <c r="R399" s="2">
        <f t="shared" si="247"/>
        <v>64</v>
      </c>
      <c r="S399" s="2">
        <f t="shared" si="248"/>
        <v>6.4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11">
        <v>522003</v>
      </c>
      <c r="Z399" s="12" t="s">
        <v>678</v>
      </c>
      <c r="AA399" s="4">
        <v>1</v>
      </c>
      <c r="AB399" s="4">
        <v>0</v>
      </c>
      <c r="AC399" s="4"/>
      <c r="AD399" s="4">
        <f t="shared" si="228"/>
        <v>19983.237120000002</v>
      </c>
      <c r="AF399" s="1" t="str">
        <f t="shared" si="229"/>
        <v>0</v>
      </c>
      <c r="AG399">
        <v>13</v>
      </c>
      <c r="AH399">
        <f t="shared" si="232"/>
        <v>256</v>
      </c>
      <c r="AI399">
        <f t="shared" si="233"/>
        <v>25.6</v>
      </c>
      <c r="AJ399">
        <f t="shared" si="234"/>
        <v>3072</v>
      </c>
      <c r="AK399">
        <f t="shared" si="235"/>
        <v>307.20000000000005</v>
      </c>
      <c r="AL399">
        <f t="shared" si="236"/>
        <v>64</v>
      </c>
      <c r="AM399">
        <f t="shared" si="249"/>
        <v>6.4</v>
      </c>
      <c r="AN399">
        <f t="shared" si="237"/>
        <v>1.5</v>
      </c>
      <c r="AO399">
        <f t="shared" si="238"/>
        <v>1.2</v>
      </c>
      <c r="AP399">
        <f t="shared" si="239"/>
        <v>3</v>
      </c>
      <c r="AQ399">
        <v>200</v>
      </c>
      <c r="AR399">
        <v>5</v>
      </c>
      <c r="BO399" t="s">
        <v>171</v>
      </c>
      <c r="BP399" t="str">
        <f t="shared" si="252"/>
        <v>1</v>
      </c>
    </row>
    <row r="400" spans="1:68" x14ac:dyDescent="0.15">
      <c r="A400">
        <f t="shared" si="231"/>
        <v>5201132</v>
      </c>
      <c r="B400" t="s">
        <v>407</v>
      </c>
      <c r="C400">
        <v>13</v>
      </c>
      <c r="D400">
        <v>2</v>
      </c>
      <c r="E400">
        <v>2</v>
      </c>
      <c r="F400" t="s">
        <v>218</v>
      </c>
      <c r="G400" t="s">
        <v>218</v>
      </c>
      <c r="H400">
        <v>0</v>
      </c>
      <c r="I400" s="28" t="s">
        <v>722</v>
      </c>
      <c r="J400" s="2">
        <f t="shared" si="227"/>
        <v>3</v>
      </c>
      <c r="K400" s="2">
        <f t="shared" si="241"/>
        <v>1.8</v>
      </c>
      <c r="L400" s="2">
        <f t="shared" si="242"/>
        <v>1.8</v>
      </c>
      <c r="M400" s="2">
        <v>10</v>
      </c>
      <c r="N400" s="2">
        <f t="shared" si="243"/>
        <v>245.76</v>
      </c>
      <c r="O400" s="2">
        <f t="shared" si="244"/>
        <v>24.58</v>
      </c>
      <c r="P400" s="2">
        <f t="shared" si="245"/>
        <v>3840</v>
      </c>
      <c r="Q400" s="2">
        <f t="shared" si="246"/>
        <v>384</v>
      </c>
      <c r="R400" s="2">
        <f t="shared" si="247"/>
        <v>81.92</v>
      </c>
      <c r="S400" s="2">
        <f t="shared" si="248"/>
        <v>8.19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11">
        <v>522013</v>
      </c>
      <c r="Z400" s="12" t="s">
        <v>679</v>
      </c>
      <c r="AA400" s="4">
        <v>1</v>
      </c>
      <c r="AB400" s="4">
        <v>0</v>
      </c>
      <c r="AC400" s="4"/>
      <c r="AD400" s="4">
        <f t="shared" si="228"/>
        <v>19986.193919999998</v>
      </c>
      <c r="AF400" s="1" t="str">
        <f t="shared" si="229"/>
        <v>1</v>
      </c>
      <c r="AG400">
        <v>13</v>
      </c>
      <c r="AH400">
        <f t="shared" si="232"/>
        <v>245.76000000000005</v>
      </c>
      <c r="AI400">
        <f t="shared" si="233"/>
        <v>24.576000000000008</v>
      </c>
      <c r="AJ400">
        <f t="shared" si="234"/>
        <v>3840</v>
      </c>
      <c r="AK400">
        <f t="shared" si="235"/>
        <v>384</v>
      </c>
      <c r="AL400">
        <f t="shared" si="236"/>
        <v>81.920000000000016</v>
      </c>
      <c r="AM400">
        <f t="shared" si="249"/>
        <v>8.1920000000000019</v>
      </c>
      <c r="AN400">
        <f t="shared" si="237"/>
        <v>1.8</v>
      </c>
      <c r="AO400">
        <f t="shared" si="238"/>
        <v>1.8</v>
      </c>
      <c r="AP400">
        <f t="shared" si="239"/>
        <v>3</v>
      </c>
      <c r="AQ400">
        <v>201</v>
      </c>
      <c r="AR400">
        <v>5</v>
      </c>
      <c r="BO400" t="s">
        <v>136</v>
      </c>
      <c r="BP400" t="str">
        <f t="shared" ref="BP400" si="253">RIGHT(BO400,1)</f>
        <v>1</v>
      </c>
    </row>
    <row r="401" spans="1:68" x14ac:dyDescent="0.15">
      <c r="A401">
        <f t="shared" si="231"/>
        <v>5202132</v>
      </c>
      <c r="B401" t="s">
        <v>408</v>
      </c>
      <c r="C401">
        <v>13</v>
      </c>
      <c r="D401">
        <v>2</v>
      </c>
      <c r="E401">
        <v>2</v>
      </c>
      <c r="F401" t="s">
        <v>219</v>
      </c>
      <c r="G401" t="s">
        <v>219</v>
      </c>
      <c r="H401" s="2">
        <v>0</v>
      </c>
      <c r="I401" s="2" t="s">
        <v>96</v>
      </c>
      <c r="J401" s="2">
        <f t="shared" si="227"/>
        <v>3</v>
      </c>
      <c r="K401" s="2">
        <f t="shared" si="241"/>
        <v>1.8</v>
      </c>
      <c r="L401" s="2">
        <f t="shared" si="242"/>
        <v>2</v>
      </c>
      <c r="M401" s="2">
        <v>10</v>
      </c>
      <c r="N401" s="2">
        <f t="shared" si="243"/>
        <v>276.48</v>
      </c>
      <c r="O401" s="2">
        <f t="shared" si="244"/>
        <v>27.65</v>
      </c>
      <c r="P401" s="2">
        <f t="shared" si="245"/>
        <v>3413.33</v>
      </c>
      <c r="Q401" s="2">
        <f t="shared" si="246"/>
        <v>341.33</v>
      </c>
      <c r="R401" s="2">
        <f t="shared" si="247"/>
        <v>55.3</v>
      </c>
      <c r="S401" s="2">
        <f t="shared" si="248"/>
        <v>5.53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11">
        <v>522023</v>
      </c>
      <c r="Z401" s="12" t="s">
        <v>680</v>
      </c>
      <c r="AA401" s="4">
        <v>1</v>
      </c>
      <c r="AB401" s="4">
        <v>0</v>
      </c>
      <c r="AC401" s="4"/>
      <c r="AD401" s="4">
        <f t="shared" si="228"/>
        <v>19984.372059469999</v>
      </c>
      <c r="AF401" s="1" t="str">
        <f t="shared" si="229"/>
        <v>2</v>
      </c>
      <c r="AG401">
        <v>13</v>
      </c>
      <c r="AH401">
        <f t="shared" si="232"/>
        <v>276.48</v>
      </c>
      <c r="AI401">
        <f t="shared" si="233"/>
        <v>27.648000000000003</v>
      </c>
      <c r="AJ401">
        <f t="shared" si="234"/>
        <v>3413.3333333333339</v>
      </c>
      <c r="AK401">
        <f t="shared" si="235"/>
        <v>341.33333333333343</v>
      </c>
      <c r="AL401">
        <f t="shared" si="236"/>
        <v>55.296000000000006</v>
      </c>
      <c r="AM401">
        <f t="shared" si="249"/>
        <v>5.5296000000000012</v>
      </c>
      <c r="AN401">
        <f t="shared" si="237"/>
        <v>1.8</v>
      </c>
      <c r="AO401">
        <f t="shared" si="238"/>
        <v>2</v>
      </c>
      <c r="AP401">
        <f t="shared" si="239"/>
        <v>3</v>
      </c>
      <c r="AQ401">
        <v>202</v>
      </c>
      <c r="AR401">
        <v>5</v>
      </c>
    </row>
    <row r="402" spans="1:68" x14ac:dyDescent="0.15">
      <c r="A402">
        <f t="shared" si="231"/>
        <v>5301132</v>
      </c>
      <c r="B402" t="s">
        <v>409</v>
      </c>
      <c r="C402">
        <v>13</v>
      </c>
      <c r="D402">
        <v>3</v>
      </c>
      <c r="E402">
        <v>2</v>
      </c>
      <c r="F402" t="s">
        <v>220</v>
      </c>
      <c r="G402" t="s">
        <v>220</v>
      </c>
      <c r="H402">
        <v>0</v>
      </c>
      <c r="I402" s="2" t="s">
        <v>100</v>
      </c>
      <c r="J402" s="2">
        <f t="shared" si="227"/>
        <v>3</v>
      </c>
      <c r="K402" s="2">
        <f t="shared" si="241"/>
        <v>1.2</v>
      </c>
      <c r="L402" s="2">
        <f t="shared" si="242"/>
        <v>2</v>
      </c>
      <c r="M402" s="2">
        <v>10</v>
      </c>
      <c r="N402" s="2">
        <f t="shared" si="243"/>
        <v>184.32</v>
      </c>
      <c r="O402" s="2">
        <f t="shared" si="244"/>
        <v>18.43</v>
      </c>
      <c r="P402" s="2">
        <f t="shared" si="245"/>
        <v>3413.33</v>
      </c>
      <c r="Q402" s="2">
        <f t="shared" si="246"/>
        <v>341.33</v>
      </c>
      <c r="R402" s="2">
        <f t="shared" si="247"/>
        <v>36.86</v>
      </c>
      <c r="S402" s="2">
        <f t="shared" si="248"/>
        <v>3.69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11">
        <v>523013</v>
      </c>
      <c r="Z402" s="12" t="s">
        <v>681</v>
      </c>
      <c r="AA402" s="4">
        <v>1</v>
      </c>
      <c r="AB402" s="4">
        <v>0</v>
      </c>
      <c r="AC402" s="4"/>
      <c r="AD402" s="4">
        <f t="shared" si="228"/>
        <v>19981.086755594999</v>
      </c>
      <c r="AF402" s="1" t="str">
        <f t="shared" si="229"/>
        <v>1</v>
      </c>
      <c r="AG402">
        <v>13</v>
      </c>
      <c r="AH402">
        <f t="shared" si="232"/>
        <v>184.32000000000005</v>
      </c>
      <c r="AI402">
        <f t="shared" si="233"/>
        <v>18.432000000000006</v>
      </c>
      <c r="AJ402">
        <f t="shared" si="234"/>
        <v>3413.3333333333339</v>
      </c>
      <c r="AK402">
        <f t="shared" si="235"/>
        <v>341.33333333333343</v>
      </c>
      <c r="AL402">
        <f t="shared" si="236"/>
        <v>36.864000000000011</v>
      </c>
      <c r="AM402">
        <f t="shared" si="249"/>
        <v>3.6864000000000012</v>
      </c>
      <c r="AN402">
        <f t="shared" si="237"/>
        <v>1.2</v>
      </c>
      <c r="AO402">
        <f t="shared" si="238"/>
        <v>2</v>
      </c>
      <c r="AP402">
        <f t="shared" si="239"/>
        <v>3</v>
      </c>
      <c r="AQ402">
        <v>301</v>
      </c>
      <c r="AR402">
        <v>5</v>
      </c>
      <c r="BO402" t="s">
        <v>186</v>
      </c>
      <c r="BP402" t="str">
        <f>RIGHT(BO402,1)</f>
        <v>0</v>
      </c>
    </row>
    <row r="403" spans="1:68" x14ac:dyDescent="0.15">
      <c r="A403">
        <f t="shared" si="231"/>
        <v>5401132</v>
      </c>
      <c r="B403" t="s">
        <v>410</v>
      </c>
      <c r="C403">
        <v>13</v>
      </c>
      <c r="D403">
        <v>4</v>
      </c>
      <c r="E403">
        <v>2</v>
      </c>
      <c r="F403" t="s">
        <v>221</v>
      </c>
      <c r="G403" t="s">
        <v>221</v>
      </c>
      <c r="H403" s="2">
        <v>0</v>
      </c>
      <c r="I403" s="28" t="s">
        <v>716</v>
      </c>
      <c r="J403" s="2">
        <f t="shared" si="227"/>
        <v>6</v>
      </c>
      <c r="K403" s="2">
        <f t="shared" si="241"/>
        <v>1.6</v>
      </c>
      <c r="L403" s="2">
        <f t="shared" si="242"/>
        <v>2</v>
      </c>
      <c r="M403" s="2">
        <v>10</v>
      </c>
      <c r="N403" s="2">
        <f t="shared" si="243"/>
        <v>327.68</v>
      </c>
      <c r="O403" s="2">
        <f t="shared" si="244"/>
        <v>32.770000000000003</v>
      </c>
      <c r="P403" s="2">
        <f t="shared" si="245"/>
        <v>2560</v>
      </c>
      <c r="Q403" s="2">
        <f t="shared" si="246"/>
        <v>256</v>
      </c>
      <c r="R403" s="2">
        <f t="shared" si="247"/>
        <v>46.81</v>
      </c>
      <c r="S403" s="2">
        <f t="shared" si="248"/>
        <v>4.68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11">
        <v>524013</v>
      </c>
      <c r="Z403" s="12" t="s">
        <v>682</v>
      </c>
      <c r="AA403" s="4">
        <v>1</v>
      </c>
      <c r="AB403" s="4">
        <v>0</v>
      </c>
      <c r="AC403" s="4"/>
      <c r="AD403" s="4">
        <f t="shared" si="228"/>
        <v>19984.345920000003</v>
      </c>
      <c r="AF403" s="1" t="str">
        <f t="shared" si="229"/>
        <v>1</v>
      </c>
      <c r="AG403">
        <v>13</v>
      </c>
      <c r="AH403">
        <f t="shared" si="232"/>
        <v>327.68000000000006</v>
      </c>
      <c r="AI403">
        <f t="shared" si="233"/>
        <v>32.768000000000008</v>
      </c>
      <c r="AJ403">
        <f t="shared" si="234"/>
        <v>2560</v>
      </c>
      <c r="AK403">
        <f t="shared" si="235"/>
        <v>256</v>
      </c>
      <c r="AL403">
        <f t="shared" si="236"/>
        <v>46.811428571428578</v>
      </c>
      <c r="AM403">
        <f t="shared" si="249"/>
        <v>4.6811428571428584</v>
      </c>
      <c r="AN403">
        <f t="shared" si="237"/>
        <v>1.6</v>
      </c>
      <c r="AO403">
        <f t="shared" si="238"/>
        <v>2</v>
      </c>
      <c r="AP403">
        <f t="shared" si="239"/>
        <v>6</v>
      </c>
      <c r="AQ403">
        <v>401</v>
      </c>
      <c r="AR403">
        <v>5</v>
      </c>
      <c r="BO403" t="s">
        <v>176</v>
      </c>
      <c r="BP403" t="str">
        <f>RIGHT(BO403,1)</f>
        <v>2</v>
      </c>
    </row>
    <row r="404" spans="1:68" x14ac:dyDescent="0.15">
      <c r="A404">
        <f t="shared" si="231"/>
        <v>5402132</v>
      </c>
      <c r="B404" t="s">
        <v>102</v>
      </c>
      <c r="C404">
        <v>13</v>
      </c>
      <c r="D404">
        <v>4</v>
      </c>
      <c r="E404">
        <v>2</v>
      </c>
      <c r="F404" t="s">
        <v>222</v>
      </c>
      <c r="G404" t="s">
        <v>222</v>
      </c>
      <c r="H404">
        <v>0</v>
      </c>
      <c r="I404" s="2" t="s">
        <v>106</v>
      </c>
      <c r="J404" s="2">
        <f t="shared" si="227"/>
        <v>6</v>
      </c>
      <c r="K404" s="2">
        <f t="shared" si="241"/>
        <v>1.5</v>
      </c>
      <c r="L404" s="2">
        <f t="shared" si="242"/>
        <v>1.5</v>
      </c>
      <c r="M404" s="2">
        <v>10</v>
      </c>
      <c r="N404" s="2">
        <f t="shared" si="243"/>
        <v>307.2</v>
      </c>
      <c r="O404" s="2">
        <f t="shared" si="244"/>
        <v>30.72</v>
      </c>
      <c r="P404" s="2">
        <f t="shared" si="245"/>
        <v>2560</v>
      </c>
      <c r="Q404" s="2">
        <f t="shared" si="246"/>
        <v>256</v>
      </c>
      <c r="R404" s="2">
        <f t="shared" si="247"/>
        <v>43.89</v>
      </c>
      <c r="S404" s="2">
        <f t="shared" si="248"/>
        <v>4.3899999999999997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11">
        <v>524023</v>
      </c>
      <c r="Z404" s="12" t="s">
        <v>683</v>
      </c>
      <c r="AA404" s="4">
        <v>1</v>
      </c>
      <c r="AB404" s="4">
        <v>0</v>
      </c>
      <c r="AC404" s="4"/>
      <c r="AD404" s="4">
        <f t="shared" si="228"/>
        <v>19983.237120000002</v>
      </c>
      <c r="AF404" s="1" t="str">
        <f t="shared" si="229"/>
        <v>2</v>
      </c>
      <c r="AG404">
        <v>13</v>
      </c>
      <c r="AH404">
        <f t="shared" si="232"/>
        <v>307.20000000000005</v>
      </c>
      <c r="AI404">
        <f t="shared" si="233"/>
        <v>30.720000000000006</v>
      </c>
      <c r="AJ404">
        <f t="shared" si="234"/>
        <v>2560</v>
      </c>
      <c r="AK404">
        <f t="shared" si="235"/>
        <v>256</v>
      </c>
      <c r="AL404">
        <f t="shared" si="236"/>
        <v>43.885714285714293</v>
      </c>
      <c r="AM404">
        <f t="shared" si="249"/>
        <v>4.3885714285714297</v>
      </c>
      <c r="AN404">
        <f t="shared" si="237"/>
        <v>1.5</v>
      </c>
      <c r="AO404">
        <f t="shared" si="238"/>
        <v>1.5</v>
      </c>
      <c r="AP404">
        <f t="shared" si="239"/>
        <v>6</v>
      </c>
      <c r="AQ404">
        <v>402</v>
      </c>
      <c r="AR404">
        <v>5</v>
      </c>
      <c r="BO404" t="s">
        <v>165</v>
      </c>
      <c r="BP404" t="str">
        <f>RIGHT(BO404,1)</f>
        <v>2</v>
      </c>
    </row>
    <row r="405" spans="1:68" x14ac:dyDescent="0.15">
      <c r="A405">
        <f t="shared" si="231"/>
        <v>5500132</v>
      </c>
      <c r="B405" t="s">
        <v>411</v>
      </c>
      <c r="C405">
        <v>13</v>
      </c>
      <c r="D405">
        <v>5</v>
      </c>
      <c r="E405">
        <v>2</v>
      </c>
      <c r="F405" t="s">
        <v>223</v>
      </c>
      <c r="G405" t="s">
        <v>223</v>
      </c>
      <c r="H405" s="2">
        <v>0</v>
      </c>
      <c r="I405" s="2" t="s">
        <v>109</v>
      </c>
      <c r="J405" s="2">
        <f t="shared" si="227"/>
        <v>6</v>
      </c>
      <c r="K405" s="2">
        <f t="shared" si="241"/>
        <v>1.5</v>
      </c>
      <c r="L405" s="2">
        <f t="shared" si="242"/>
        <v>1.5</v>
      </c>
      <c r="M405" s="2">
        <v>10</v>
      </c>
      <c r="N405" s="2">
        <f t="shared" si="243"/>
        <v>358.4</v>
      </c>
      <c r="O405" s="2">
        <f t="shared" si="244"/>
        <v>35.840000000000003</v>
      </c>
      <c r="P405" s="2">
        <f t="shared" si="245"/>
        <v>2194.29</v>
      </c>
      <c r="Q405" s="2">
        <f t="shared" si="246"/>
        <v>219.43</v>
      </c>
      <c r="R405" s="2">
        <f t="shared" si="247"/>
        <v>44.8</v>
      </c>
      <c r="S405" s="2">
        <f t="shared" si="248"/>
        <v>4.4800000000000004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11">
        <v>525003</v>
      </c>
      <c r="Z405" s="12" t="s">
        <v>684</v>
      </c>
      <c r="AA405" s="4">
        <v>1</v>
      </c>
      <c r="AB405" s="4">
        <v>0</v>
      </c>
      <c r="AC405" s="4"/>
      <c r="AD405" s="4">
        <f t="shared" si="228"/>
        <v>19983.35894016</v>
      </c>
      <c r="AF405" s="1" t="str">
        <f t="shared" si="229"/>
        <v>0</v>
      </c>
      <c r="AG405">
        <v>13</v>
      </c>
      <c r="AH405">
        <f t="shared" si="232"/>
        <v>358.39999999999992</v>
      </c>
      <c r="AI405">
        <f t="shared" si="233"/>
        <v>35.839999999999996</v>
      </c>
      <c r="AJ405">
        <f t="shared" si="234"/>
        <v>2194.2857142857147</v>
      </c>
      <c r="AK405">
        <f t="shared" si="235"/>
        <v>219.42857142857147</v>
      </c>
      <c r="AL405">
        <f t="shared" si="236"/>
        <v>44.79999999999999</v>
      </c>
      <c r="AM405">
        <f t="shared" si="249"/>
        <v>4.4799999999999995</v>
      </c>
      <c r="AN405">
        <f t="shared" si="237"/>
        <v>1.5</v>
      </c>
      <c r="AO405">
        <f t="shared" si="238"/>
        <v>1.5</v>
      </c>
      <c r="AP405">
        <f t="shared" si="239"/>
        <v>6</v>
      </c>
      <c r="AQ405">
        <v>500</v>
      </c>
      <c r="AR405">
        <v>5</v>
      </c>
    </row>
    <row r="406" spans="1:68" x14ac:dyDescent="0.15">
      <c r="A406">
        <f t="shared" si="231"/>
        <v>5502132</v>
      </c>
      <c r="B406" t="s">
        <v>115</v>
      </c>
      <c r="C406">
        <v>13</v>
      </c>
      <c r="D406">
        <v>5</v>
      </c>
      <c r="E406">
        <v>2</v>
      </c>
      <c r="F406" t="s">
        <v>224</v>
      </c>
      <c r="G406" t="s">
        <v>224</v>
      </c>
      <c r="H406" s="2">
        <v>0</v>
      </c>
      <c r="I406" s="2" t="s">
        <v>113</v>
      </c>
      <c r="J406" s="2">
        <f t="shared" si="227"/>
        <v>6</v>
      </c>
      <c r="K406" s="2">
        <f t="shared" si="241"/>
        <v>1.4000000000000001</v>
      </c>
      <c r="L406" s="2">
        <f t="shared" si="242"/>
        <v>2</v>
      </c>
      <c r="M406" s="2">
        <v>10</v>
      </c>
      <c r="N406" s="2">
        <f t="shared" si="243"/>
        <v>334.51</v>
      </c>
      <c r="O406" s="2">
        <f t="shared" si="244"/>
        <v>33.450000000000003</v>
      </c>
      <c r="P406" s="2">
        <f t="shared" si="245"/>
        <v>2194.29</v>
      </c>
      <c r="Q406" s="2">
        <f t="shared" si="246"/>
        <v>219.43</v>
      </c>
      <c r="R406" s="2">
        <f t="shared" si="247"/>
        <v>41.81</v>
      </c>
      <c r="S406" s="2">
        <f t="shared" si="248"/>
        <v>4.18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11">
        <v>525023</v>
      </c>
      <c r="Z406" s="12" t="s">
        <v>685</v>
      </c>
      <c r="AA406" s="4">
        <v>1</v>
      </c>
      <c r="AB406" s="4">
        <v>0</v>
      </c>
      <c r="AC406" s="4"/>
      <c r="AD406" s="4">
        <f t="shared" si="228"/>
        <v>19983.014983777495</v>
      </c>
      <c r="AF406" s="1" t="str">
        <f t="shared" si="229"/>
        <v>2</v>
      </c>
      <c r="AG406">
        <v>13</v>
      </c>
      <c r="AH406">
        <f t="shared" si="232"/>
        <v>334.50666666666666</v>
      </c>
      <c r="AI406">
        <f t="shared" si="233"/>
        <v>33.45066666666667</v>
      </c>
      <c r="AJ406">
        <f t="shared" si="234"/>
        <v>2194.2857142857147</v>
      </c>
      <c r="AK406">
        <f t="shared" si="235"/>
        <v>219.42857142857147</v>
      </c>
      <c r="AL406">
        <f t="shared" si="236"/>
        <v>41.813333333333333</v>
      </c>
      <c r="AM406">
        <f t="shared" si="249"/>
        <v>4.1813333333333338</v>
      </c>
      <c r="AN406">
        <f t="shared" si="237"/>
        <v>1.4</v>
      </c>
      <c r="AO406">
        <f t="shared" si="238"/>
        <v>2</v>
      </c>
      <c r="AP406">
        <f t="shared" si="239"/>
        <v>6</v>
      </c>
      <c r="AQ406">
        <v>502</v>
      </c>
      <c r="AR406">
        <v>5</v>
      </c>
      <c r="BO406" t="s">
        <v>184</v>
      </c>
      <c r="BP406" t="str">
        <f>RIGHT(BO406,1)</f>
        <v>0</v>
      </c>
    </row>
    <row r="407" spans="1:68" x14ac:dyDescent="0.15">
      <c r="A407">
        <f t="shared" si="231"/>
        <v>5601132</v>
      </c>
      <c r="B407" t="s">
        <v>412</v>
      </c>
      <c r="C407">
        <v>13</v>
      </c>
      <c r="D407">
        <v>6</v>
      </c>
      <c r="E407">
        <v>2</v>
      </c>
      <c r="F407" t="s">
        <v>225</v>
      </c>
      <c r="G407" t="s">
        <v>225</v>
      </c>
      <c r="H407" s="2">
        <v>0</v>
      </c>
      <c r="I407" s="2" t="s">
        <v>116</v>
      </c>
      <c r="J407" s="2">
        <f t="shared" ref="J407:J426" si="254">AP407</f>
        <v>6</v>
      </c>
      <c r="K407" s="2">
        <f t="shared" si="241"/>
        <v>1.5</v>
      </c>
      <c r="L407" s="2">
        <f t="shared" si="242"/>
        <v>2</v>
      </c>
      <c r="M407" s="2">
        <v>10</v>
      </c>
      <c r="N407" s="2">
        <f t="shared" si="243"/>
        <v>396.8</v>
      </c>
      <c r="O407" s="2">
        <f t="shared" si="244"/>
        <v>39.68</v>
      </c>
      <c r="P407" s="2">
        <f t="shared" si="245"/>
        <v>1981.94</v>
      </c>
      <c r="Q407" s="2">
        <f t="shared" si="246"/>
        <v>198.19</v>
      </c>
      <c r="R407" s="2">
        <f t="shared" si="247"/>
        <v>39.68</v>
      </c>
      <c r="S407" s="2">
        <f t="shared" si="248"/>
        <v>3.97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11">
        <v>526013</v>
      </c>
      <c r="Z407" s="12" t="s">
        <v>686</v>
      </c>
      <c r="AA407" s="4">
        <v>1</v>
      </c>
      <c r="AB407" s="4">
        <v>0</v>
      </c>
      <c r="AC407" s="4"/>
      <c r="AD407" s="4">
        <f t="shared" ref="AD407:AD426" si="255">(N407+O407*$AD$2)*(P407+Q407*$AD$2)/K407*0.945/3000</f>
        <v>19982.916011519999</v>
      </c>
      <c r="AF407" s="1" t="str">
        <f t="shared" si="229"/>
        <v>1</v>
      </c>
      <c r="AG407">
        <v>13</v>
      </c>
      <c r="AH407">
        <f t="shared" si="232"/>
        <v>396.8</v>
      </c>
      <c r="AI407">
        <f t="shared" si="233"/>
        <v>39.680000000000007</v>
      </c>
      <c r="AJ407">
        <f t="shared" si="234"/>
        <v>1981.9354838709678</v>
      </c>
      <c r="AK407">
        <f t="shared" si="235"/>
        <v>198.1935483870968</v>
      </c>
      <c r="AL407">
        <f t="shared" si="236"/>
        <v>39.68</v>
      </c>
      <c r="AM407">
        <f t="shared" si="249"/>
        <v>3.968</v>
      </c>
      <c r="AN407">
        <f t="shared" si="237"/>
        <v>1.5</v>
      </c>
      <c r="AO407">
        <f t="shared" si="238"/>
        <v>2</v>
      </c>
      <c r="AP407">
        <f t="shared" si="239"/>
        <v>6</v>
      </c>
      <c r="AQ407">
        <v>601</v>
      </c>
      <c r="AR407">
        <v>5</v>
      </c>
      <c r="BO407" t="s">
        <v>169</v>
      </c>
      <c r="BP407" t="str">
        <f>RIGHT(BO407,1)</f>
        <v>0</v>
      </c>
    </row>
    <row r="408" spans="1:68" x14ac:dyDescent="0.15">
      <c r="A408">
        <f t="shared" si="231"/>
        <v>5200133</v>
      </c>
      <c r="B408" t="s">
        <v>160</v>
      </c>
      <c r="C408">
        <v>13</v>
      </c>
      <c r="D408">
        <v>2</v>
      </c>
      <c r="E408">
        <v>3</v>
      </c>
      <c r="F408" t="s">
        <v>226</v>
      </c>
      <c r="G408" t="s">
        <v>226</v>
      </c>
      <c r="H408">
        <v>0</v>
      </c>
      <c r="I408" s="2" t="s">
        <v>78</v>
      </c>
      <c r="J408" s="2">
        <f t="shared" si="254"/>
        <v>3</v>
      </c>
      <c r="K408" s="2">
        <f t="shared" si="241"/>
        <v>1.5</v>
      </c>
      <c r="L408" s="2">
        <f t="shared" si="242"/>
        <v>1.2</v>
      </c>
      <c r="M408" s="2">
        <v>10</v>
      </c>
      <c r="N408" s="2">
        <f t="shared" si="243"/>
        <v>256</v>
      </c>
      <c r="O408" s="2">
        <f t="shared" si="244"/>
        <v>25.6</v>
      </c>
      <c r="P408" s="2">
        <f t="shared" si="245"/>
        <v>3072</v>
      </c>
      <c r="Q408" s="2">
        <f t="shared" si="246"/>
        <v>307.2</v>
      </c>
      <c r="R408" s="2">
        <f t="shared" si="247"/>
        <v>64</v>
      </c>
      <c r="S408" s="2">
        <f t="shared" si="248"/>
        <v>6.4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11">
        <v>532003</v>
      </c>
      <c r="Z408" s="12" t="s">
        <v>687</v>
      </c>
      <c r="AA408" s="4">
        <v>1</v>
      </c>
      <c r="AB408" s="4">
        <v>0</v>
      </c>
      <c r="AC408" s="4"/>
      <c r="AD408" s="4">
        <f t="shared" si="255"/>
        <v>19983.237120000002</v>
      </c>
      <c r="AF408" s="1" t="str">
        <f t="shared" ref="AF408:AF426" si="256">RIGHT(AQ408,1)</f>
        <v>0</v>
      </c>
      <c r="AG408">
        <v>13</v>
      </c>
      <c r="AH408">
        <f t="shared" si="232"/>
        <v>256</v>
      </c>
      <c r="AI408">
        <f t="shared" si="233"/>
        <v>25.6</v>
      </c>
      <c r="AJ408">
        <f t="shared" si="234"/>
        <v>3072</v>
      </c>
      <c r="AK408">
        <f t="shared" si="235"/>
        <v>307.20000000000005</v>
      </c>
      <c r="AL408">
        <f t="shared" si="236"/>
        <v>64</v>
      </c>
      <c r="AM408">
        <f t="shared" si="249"/>
        <v>6.4</v>
      </c>
      <c r="AN408">
        <f t="shared" si="237"/>
        <v>1.5</v>
      </c>
      <c r="AO408">
        <f t="shared" si="238"/>
        <v>1.2</v>
      </c>
      <c r="AP408">
        <f t="shared" si="239"/>
        <v>3</v>
      </c>
      <c r="AQ408">
        <v>200</v>
      </c>
      <c r="AR408">
        <v>5</v>
      </c>
    </row>
    <row r="409" spans="1:68" x14ac:dyDescent="0.15">
      <c r="A409">
        <f t="shared" si="231"/>
        <v>5201133</v>
      </c>
      <c r="B409" t="s">
        <v>407</v>
      </c>
      <c r="C409">
        <v>13</v>
      </c>
      <c r="D409">
        <v>2</v>
      </c>
      <c r="E409">
        <v>3</v>
      </c>
      <c r="F409" t="s">
        <v>227</v>
      </c>
      <c r="G409" t="s">
        <v>227</v>
      </c>
      <c r="H409" s="2">
        <v>0</v>
      </c>
      <c r="I409" s="28" t="s">
        <v>746</v>
      </c>
      <c r="J409" s="2">
        <f t="shared" si="254"/>
        <v>3</v>
      </c>
      <c r="K409" s="2">
        <f t="shared" si="241"/>
        <v>1.8</v>
      </c>
      <c r="L409" s="2">
        <f t="shared" si="242"/>
        <v>1.8</v>
      </c>
      <c r="M409" s="2">
        <v>10</v>
      </c>
      <c r="N409" s="2">
        <f t="shared" si="243"/>
        <v>245.76</v>
      </c>
      <c r="O409" s="2">
        <f t="shared" si="244"/>
        <v>24.58</v>
      </c>
      <c r="P409" s="2">
        <f t="shared" si="245"/>
        <v>3840</v>
      </c>
      <c r="Q409" s="2">
        <f t="shared" si="246"/>
        <v>384</v>
      </c>
      <c r="R409" s="2">
        <f t="shared" si="247"/>
        <v>81.92</v>
      </c>
      <c r="S409" s="2">
        <f t="shared" si="248"/>
        <v>8.19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11">
        <v>532013</v>
      </c>
      <c r="Z409" s="12" t="s">
        <v>688</v>
      </c>
      <c r="AA409" s="4">
        <v>1</v>
      </c>
      <c r="AB409" s="4">
        <v>0</v>
      </c>
      <c r="AC409" s="4"/>
      <c r="AD409" s="4">
        <f t="shared" si="255"/>
        <v>19986.193919999998</v>
      </c>
      <c r="AF409" s="1" t="str">
        <f t="shared" si="256"/>
        <v>1</v>
      </c>
      <c r="AG409">
        <v>13</v>
      </c>
      <c r="AH409">
        <f t="shared" si="232"/>
        <v>245.76000000000005</v>
      </c>
      <c r="AI409">
        <f t="shared" si="233"/>
        <v>24.576000000000008</v>
      </c>
      <c r="AJ409">
        <f t="shared" si="234"/>
        <v>3840</v>
      </c>
      <c r="AK409">
        <f t="shared" si="235"/>
        <v>384</v>
      </c>
      <c r="AL409">
        <f t="shared" si="236"/>
        <v>81.920000000000016</v>
      </c>
      <c r="AM409">
        <f t="shared" si="249"/>
        <v>8.1920000000000019</v>
      </c>
      <c r="AN409">
        <f t="shared" si="237"/>
        <v>1.8</v>
      </c>
      <c r="AO409">
        <f t="shared" si="238"/>
        <v>1.8</v>
      </c>
      <c r="AP409">
        <f t="shared" si="239"/>
        <v>3</v>
      </c>
      <c r="AQ409">
        <v>201</v>
      </c>
      <c r="AR409">
        <v>5</v>
      </c>
      <c r="BO409" t="s">
        <v>182</v>
      </c>
      <c r="BP409" t="str">
        <f>RIGHT(BO409,1)</f>
        <v>2</v>
      </c>
    </row>
    <row r="410" spans="1:68" x14ac:dyDescent="0.15">
      <c r="A410">
        <f t="shared" si="231"/>
        <v>5202133</v>
      </c>
      <c r="B410" t="s">
        <v>408</v>
      </c>
      <c r="C410">
        <v>13</v>
      </c>
      <c r="D410">
        <v>2</v>
      </c>
      <c r="E410">
        <v>3</v>
      </c>
      <c r="F410" t="s">
        <v>228</v>
      </c>
      <c r="G410" t="s">
        <v>228</v>
      </c>
      <c r="H410">
        <v>0</v>
      </c>
      <c r="I410" s="28" t="s">
        <v>717</v>
      </c>
      <c r="J410" s="2">
        <f t="shared" si="254"/>
        <v>3</v>
      </c>
      <c r="K410" s="2">
        <f t="shared" si="241"/>
        <v>1.8</v>
      </c>
      <c r="L410" s="2">
        <f t="shared" si="242"/>
        <v>2</v>
      </c>
      <c r="M410" s="2">
        <v>10</v>
      </c>
      <c r="N410" s="2">
        <f t="shared" si="243"/>
        <v>276.48</v>
      </c>
      <c r="O410" s="2">
        <f t="shared" si="244"/>
        <v>27.65</v>
      </c>
      <c r="P410" s="2">
        <f t="shared" si="245"/>
        <v>3413.33</v>
      </c>
      <c r="Q410" s="2">
        <f t="shared" si="246"/>
        <v>341.33</v>
      </c>
      <c r="R410" s="2">
        <f t="shared" si="247"/>
        <v>55.3</v>
      </c>
      <c r="S410" s="2">
        <f t="shared" si="248"/>
        <v>5.53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11">
        <v>532023</v>
      </c>
      <c r="Z410" s="12" t="s">
        <v>689</v>
      </c>
      <c r="AA410" s="4">
        <v>1</v>
      </c>
      <c r="AB410" s="4">
        <v>0</v>
      </c>
      <c r="AC410" s="4"/>
      <c r="AD410" s="4">
        <f t="shared" si="255"/>
        <v>19984.372059469999</v>
      </c>
      <c r="AF410" s="1" t="str">
        <f t="shared" si="256"/>
        <v>2</v>
      </c>
      <c r="AG410">
        <v>13</v>
      </c>
      <c r="AH410">
        <f t="shared" si="232"/>
        <v>276.48</v>
      </c>
      <c r="AI410">
        <f t="shared" si="233"/>
        <v>27.648000000000003</v>
      </c>
      <c r="AJ410">
        <f t="shared" si="234"/>
        <v>3413.3333333333339</v>
      </c>
      <c r="AK410">
        <f t="shared" si="235"/>
        <v>341.33333333333343</v>
      </c>
      <c r="AL410">
        <f t="shared" si="236"/>
        <v>55.296000000000006</v>
      </c>
      <c r="AM410">
        <f t="shared" si="249"/>
        <v>5.5296000000000012</v>
      </c>
      <c r="AN410">
        <f t="shared" si="237"/>
        <v>1.8</v>
      </c>
      <c r="AO410">
        <f t="shared" si="238"/>
        <v>2</v>
      </c>
      <c r="AP410">
        <f t="shared" si="239"/>
        <v>3</v>
      </c>
      <c r="AQ410">
        <v>202</v>
      </c>
      <c r="AR410">
        <v>5</v>
      </c>
      <c r="BO410" t="s">
        <v>178</v>
      </c>
      <c r="BP410" t="str">
        <f>RIGHT(BO410,1)</f>
        <v>2</v>
      </c>
    </row>
    <row r="411" spans="1:68" x14ac:dyDescent="0.15">
      <c r="A411">
        <f t="shared" si="231"/>
        <v>5301133</v>
      </c>
      <c r="B411" t="s">
        <v>409</v>
      </c>
      <c r="C411">
        <v>13</v>
      </c>
      <c r="D411">
        <v>3</v>
      </c>
      <c r="E411">
        <v>3</v>
      </c>
      <c r="F411" t="s">
        <v>229</v>
      </c>
      <c r="G411" t="s">
        <v>229</v>
      </c>
      <c r="H411" s="2">
        <v>0</v>
      </c>
      <c r="I411" s="28" t="s">
        <v>717</v>
      </c>
      <c r="J411" s="2">
        <f t="shared" si="254"/>
        <v>3</v>
      </c>
      <c r="K411" s="2">
        <f t="shared" si="241"/>
        <v>1.2</v>
      </c>
      <c r="L411" s="2">
        <f t="shared" si="242"/>
        <v>2</v>
      </c>
      <c r="M411" s="2">
        <v>10</v>
      </c>
      <c r="N411" s="2">
        <f t="shared" si="243"/>
        <v>184.32</v>
      </c>
      <c r="O411" s="2">
        <f t="shared" si="244"/>
        <v>18.43</v>
      </c>
      <c r="P411" s="2">
        <f t="shared" si="245"/>
        <v>3413.33</v>
      </c>
      <c r="Q411" s="2">
        <f t="shared" si="246"/>
        <v>341.33</v>
      </c>
      <c r="R411" s="2">
        <f t="shared" si="247"/>
        <v>36.86</v>
      </c>
      <c r="S411" s="2">
        <f t="shared" si="248"/>
        <v>3.69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11">
        <v>533013</v>
      </c>
      <c r="Z411" s="12" t="s">
        <v>690</v>
      </c>
      <c r="AA411" s="4">
        <v>1</v>
      </c>
      <c r="AB411" s="4">
        <v>0</v>
      </c>
      <c r="AC411" s="4"/>
      <c r="AD411" s="4">
        <f t="shared" si="255"/>
        <v>19981.086755594999</v>
      </c>
      <c r="AF411" s="1" t="str">
        <f t="shared" si="256"/>
        <v>1</v>
      </c>
      <c r="AG411">
        <v>13</v>
      </c>
      <c r="AH411">
        <f t="shared" si="232"/>
        <v>184.32000000000005</v>
      </c>
      <c r="AI411">
        <f t="shared" si="233"/>
        <v>18.432000000000006</v>
      </c>
      <c r="AJ411">
        <f t="shared" si="234"/>
        <v>3413.3333333333339</v>
      </c>
      <c r="AK411">
        <f t="shared" si="235"/>
        <v>341.33333333333343</v>
      </c>
      <c r="AL411">
        <f t="shared" si="236"/>
        <v>36.864000000000011</v>
      </c>
      <c r="AM411">
        <f t="shared" si="249"/>
        <v>3.6864000000000012</v>
      </c>
      <c r="AN411">
        <f t="shared" si="237"/>
        <v>1.2</v>
      </c>
      <c r="AO411">
        <f t="shared" si="238"/>
        <v>2</v>
      </c>
      <c r="AP411">
        <f t="shared" si="239"/>
        <v>3</v>
      </c>
      <c r="AQ411">
        <v>301</v>
      </c>
      <c r="AR411">
        <v>5</v>
      </c>
      <c r="BO411" t="s">
        <v>178</v>
      </c>
      <c r="BP411" t="str">
        <f>RIGHT(BO411,1)</f>
        <v>2</v>
      </c>
    </row>
    <row r="412" spans="1:68" x14ac:dyDescent="0.15">
      <c r="A412">
        <f t="shared" si="231"/>
        <v>5401133</v>
      </c>
      <c r="B412" t="s">
        <v>410</v>
      </c>
      <c r="C412">
        <v>13</v>
      </c>
      <c r="D412">
        <v>4</v>
      </c>
      <c r="E412">
        <v>3</v>
      </c>
      <c r="F412" t="s">
        <v>230</v>
      </c>
      <c r="G412" t="s">
        <v>230</v>
      </c>
      <c r="H412">
        <v>0</v>
      </c>
      <c r="I412" s="2" t="s">
        <v>103</v>
      </c>
      <c r="J412" s="2">
        <f t="shared" si="254"/>
        <v>6</v>
      </c>
      <c r="K412" s="2">
        <f t="shared" si="241"/>
        <v>1.6</v>
      </c>
      <c r="L412" s="2">
        <f t="shared" si="242"/>
        <v>2</v>
      </c>
      <c r="M412" s="2">
        <v>10</v>
      </c>
      <c r="N412" s="2">
        <f t="shared" si="243"/>
        <v>327.68</v>
      </c>
      <c r="O412" s="2">
        <f t="shared" si="244"/>
        <v>32.770000000000003</v>
      </c>
      <c r="P412" s="2">
        <f t="shared" si="245"/>
        <v>2560</v>
      </c>
      <c r="Q412" s="2">
        <f t="shared" si="246"/>
        <v>256</v>
      </c>
      <c r="R412" s="2">
        <f t="shared" si="247"/>
        <v>46.81</v>
      </c>
      <c r="S412" s="2">
        <f t="shared" si="248"/>
        <v>4.68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11">
        <v>534013</v>
      </c>
      <c r="Z412" s="12" t="s">
        <v>691</v>
      </c>
      <c r="AA412" s="4">
        <v>1</v>
      </c>
      <c r="AB412" s="4">
        <v>0</v>
      </c>
      <c r="AC412" s="4"/>
      <c r="AD412" s="4">
        <f t="shared" si="255"/>
        <v>19984.345920000003</v>
      </c>
      <c r="AF412" s="1" t="str">
        <f t="shared" si="256"/>
        <v>1</v>
      </c>
      <c r="AG412">
        <v>13</v>
      </c>
      <c r="AH412">
        <f t="shared" si="232"/>
        <v>327.68000000000006</v>
      </c>
      <c r="AI412">
        <f t="shared" si="233"/>
        <v>32.768000000000008</v>
      </c>
      <c r="AJ412">
        <f t="shared" si="234"/>
        <v>2560</v>
      </c>
      <c r="AK412">
        <f t="shared" si="235"/>
        <v>256</v>
      </c>
      <c r="AL412">
        <f t="shared" si="236"/>
        <v>46.811428571428578</v>
      </c>
      <c r="AM412">
        <f t="shared" si="249"/>
        <v>4.6811428571428584</v>
      </c>
      <c r="AN412">
        <f t="shared" si="237"/>
        <v>1.6</v>
      </c>
      <c r="AO412">
        <f t="shared" si="238"/>
        <v>2</v>
      </c>
      <c r="AP412">
        <f t="shared" si="239"/>
        <v>6</v>
      </c>
      <c r="AQ412">
        <v>401</v>
      </c>
      <c r="AR412">
        <v>5</v>
      </c>
      <c r="BO412" t="s">
        <v>188</v>
      </c>
      <c r="BP412" t="str">
        <f t="shared" ref="BP412:BP413" si="257">RIGHT(BO412,1)</f>
        <v>0</v>
      </c>
    </row>
    <row r="413" spans="1:68" x14ac:dyDescent="0.15">
      <c r="A413">
        <f t="shared" si="231"/>
        <v>5402133</v>
      </c>
      <c r="B413" t="s">
        <v>102</v>
      </c>
      <c r="C413">
        <v>13</v>
      </c>
      <c r="D413">
        <v>4</v>
      </c>
      <c r="E413">
        <v>3</v>
      </c>
      <c r="F413" t="s">
        <v>231</v>
      </c>
      <c r="G413" t="s">
        <v>231</v>
      </c>
      <c r="H413" s="2">
        <v>0</v>
      </c>
      <c r="I413" s="28" t="s">
        <v>718</v>
      </c>
      <c r="J413" s="2">
        <f t="shared" si="254"/>
        <v>6</v>
      </c>
      <c r="K413" s="2">
        <f t="shared" si="241"/>
        <v>1.5</v>
      </c>
      <c r="L413" s="2">
        <f t="shared" si="242"/>
        <v>1.5</v>
      </c>
      <c r="M413" s="2">
        <v>10</v>
      </c>
      <c r="N413" s="2">
        <f t="shared" si="243"/>
        <v>307.2</v>
      </c>
      <c r="O413" s="2">
        <f t="shared" si="244"/>
        <v>30.72</v>
      </c>
      <c r="P413" s="2">
        <f t="shared" si="245"/>
        <v>2560</v>
      </c>
      <c r="Q413" s="2">
        <f t="shared" si="246"/>
        <v>256</v>
      </c>
      <c r="R413" s="2">
        <f t="shared" si="247"/>
        <v>43.89</v>
      </c>
      <c r="S413" s="2">
        <f t="shared" si="248"/>
        <v>4.3899999999999997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11">
        <v>534023</v>
      </c>
      <c r="Z413" s="12" t="s">
        <v>692</v>
      </c>
      <c r="AA413" s="4">
        <v>1</v>
      </c>
      <c r="AB413" s="4">
        <v>0</v>
      </c>
      <c r="AC413" s="4"/>
      <c r="AD413" s="4">
        <f t="shared" si="255"/>
        <v>19983.237120000002</v>
      </c>
      <c r="AF413" s="1" t="str">
        <f t="shared" si="256"/>
        <v>2</v>
      </c>
      <c r="AG413">
        <v>13</v>
      </c>
      <c r="AH413">
        <f t="shared" ref="AH413:AH426" si="258">INDEX($AV$5:$AV$50,MATCH($AQ413,$AT$5:$AT$50))*$AN413/1.5*$AZ$4*INDEX($AV$87:$BI$87,MATCH($AG413,$AV$86:$BI$86))</f>
        <v>307.20000000000005</v>
      </c>
      <c r="AI413">
        <f t="shared" ref="AI413:AI426" si="259">(INDEX($AV$5:$AV$50,MATCH($AQ413,$AT$5:$AT$50))*$AN413/1.5*$AZ$4*INDEX($AV$87:$BI$87,MATCH($AG413,$AV$86:$BI$86)))*0.1</f>
        <v>30.720000000000006</v>
      </c>
      <c r="AJ413">
        <f t="shared" ref="AJ413:AJ426" si="260">INDEX($AW$5:$AW$50,MATCH($AQ413,$AT$5:$AT$50))*$BA$4*INDEX($AV$87:$BI$87,MATCH($AG413,$AV$86:$BI$86))</f>
        <v>2560</v>
      </c>
      <c r="AK413">
        <f t="shared" ref="AK413:AK426" si="261">(INDEX($AW$5:$AW$50,MATCH($AQ413,$AT$5:$AT$50))*$BA$4*INDEX($AV$87:$BI$87,MATCH($AG413,$AV$86:$BI$86)))*0.1</f>
        <v>256</v>
      </c>
      <c r="AL413">
        <f t="shared" ref="AL413:AL426" si="262">$AH413/INDEX($AX$5:$AX$50,MATCH($AQ413,$AT$5:$AT$50))</f>
        <v>43.885714285714293</v>
      </c>
      <c r="AM413">
        <f t="shared" si="249"/>
        <v>4.3885714285714297</v>
      </c>
      <c r="AN413">
        <f t="shared" ref="AN413:AN426" si="263">INDEX($AY$5:$AY$50,MATCH($AQ413,$AT$5:$AT$50,0))</f>
        <v>1.5</v>
      </c>
      <c r="AO413">
        <f t="shared" ref="AO413:AO426" si="264">ROUND(IF(INDEX($BG$5:$BG$50,MATCH($AQ413,$AT$5:$AT$50,0))&lt;2,INDEX($BG$5:$BG$49,MATCH($AQ413,$AT$5:$AT$49,0))+0.2,2),1)</f>
        <v>1.5</v>
      </c>
      <c r="AP413">
        <f t="shared" ref="AP413:AP426" si="265">INDEX($BC$5:$BC$50,MATCH($AQ413,$AT$5:$AT$50,0))</f>
        <v>6</v>
      </c>
      <c r="AQ413">
        <v>402</v>
      </c>
      <c r="AR413">
        <v>5</v>
      </c>
      <c r="BO413" t="s">
        <v>171</v>
      </c>
      <c r="BP413" t="str">
        <f t="shared" si="257"/>
        <v>1</v>
      </c>
    </row>
    <row r="414" spans="1:68" x14ac:dyDescent="0.15">
      <c r="A414">
        <f t="shared" si="231"/>
        <v>5500133</v>
      </c>
      <c r="B414" t="s">
        <v>411</v>
      </c>
      <c r="C414">
        <v>13</v>
      </c>
      <c r="D414">
        <v>5</v>
      </c>
      <c r="E414">
        <v>3</v>
      </c>
      <c r="F414" t="s">
        <v>232</v>
      </c>
      <c r="G414" t="s">
        <v>232</v>
      </c>
      <c r="H414" s="2">
        <v>0</v>
      </c>
      <c r="I414" s="2" t="s">
        <v>109</v>
      </c>
      <c r="J414" s="2">
        <f t="shared" si="254"/>
        <v>6</v>
      </c>
      <c r="K414" s="2">
        <f t="shared" si="241"/>
        <v>1.5</v>
      </c>
      <c r="L414" s="2">
        <f t="shared" si="242"/>
        <v>1.5</v>
      </c>
      <c r="M414" s="2">
        <v>10</v>
      </c>
      <c r="N414" s="2">
        <f t="shared" si="243"/>
        <v>358.4</v>
      </c>
      <c r="O414" s="2">
        <f t="shared" si="244"/>
        <v>35.840000000000003</v>
      </c>
      <c r="P414" s="2">
        <f t="shared" si="245"/>
        <v>2194.29</v>
      </c>
      <c r="Q414" s="2">
        <f t="shared" si="246"/>
        <v>219.43</v>
      </c>
      <c r="R414" s="2">
        <f t="shared" si="247"/>
        <v>44.8</v>
      </c>
      <c r="S414" s="2">
        <f t="shared" si="248"/>
        <v>4.4800000000000004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11">
        <v>535003</v>
      </c>
      <c r="Z414" s="12" t="s">
        <v>693</v>
      </c>
      <c r="AA414" s="4">
        <v>1</v>
      </c>
      <c r="AB414" s="4">
        <v>0</v>
      </c>
      <c r="AC414" s="4"/>
      <c r="AD414" s="4">
        <f t="shared" si="255"/>
        <v>19983.35894016</v>
      </c>
      <c r="AF414" s="1" t="str">
        <f t="shared" si="256"/>
        <v>0</v>
      </c>
      <c r="AG414">
        <v>13</v>
      </c>
      <c r="AH414">
        <f t="shared" si="258"/>
        <v>358.39999999999992</v>
      </c>
      <c r="AI414">
        <f t="shared" si="259"/>
        <v>35.839999999999996</v>
      </c>
      <c r="AJ414">
        <f t="shared" si="260"/>
        <v>2194.2857142857147</v>
      </c>
      <c r="AK414">
        <f t="shared" si="261"/>
        <v>219.42857142857147</v>
      </c>
      <c r="AL414">
        <f t="shared" si="262"/>
        <v>44.79999999999999</v>
      </c>
      <c r="AM414">
        <f t="shared" si="249"/>
        <v>4.4799999999999995</v>
      </c>
      <c r="AN414">
        <f t="shared" si="263"/>
        <v>1.5</v>
      </c>
      <c r="AO414">
        <f t="shared" si="264"/>
        <v>1.5</v>
      </c>
      <c r="AP414">
        <f t="shared" si="265"/>
        <v>6</v>
      </c>
      <c r="AQ414">
        <v>500</v>
      </c>
      <c r="AR414">
        <v>5</v>
      </c>
      <c r="BO414" t="s">
        <v>136</v>
      </c>
      <c r="BP414" t="str">
        <f t="shared" ref="BP414" si="266">RIGHT(BO414,1)</f>
        <v>1</v>
      </c>
    </row>
    <row r="415" spans="1:68" x14ac:dyDescent="0.15">
      <c r="A415">
        <f t="shared" si="231"/>
        <v>5502133</v>
      </c>
      <c r="B415" t="s">
        <v>115</v>
      </c>
      <c r="C415">
        <v>13</v>
      </c>
      <c r="D415">
        <v>5</v>
      </c>
      <c r="E415">
        <v>3</v>
      </c>
      <c r="F415" t="s">
        <v>233</v>
      </c>
      <c r="G415" t="s">
        <v>233</v>
      </c>
      <c r="H415" s="2">
        <v>0</v>
      </c>
      <c r="I415" s="28" t="s">
        <v>719</v>
      </c>
      <c r="J415" s="2">
        <f t="shared" si="254"/>
        <v>6</v>
      </c>
      <c r="K415" s="2">
        <f t="shared" si="241"/>
        <v>1.4000000000000001</v>
      </c>
      <c r="L415" s="2">
        <f t="shared" si="242"/>
        <v>2</v>
      </c>
      <c r="M415" s="2">
        <v>10</v>
      </c>
      <c r="N415" s="2">
        <f t="shared" si="243"/>
        <v>334.51</v>
      </c>
      <c r="O415" s="2">
        <f t="shared" si="244"/>
        <v>33.450000000000003</v>
      </c>
      <c r="P415" s="2">
        <f t="shared" si="245"/>
        <v>2194.29</v>
      </c>
      <c r="Q415" s="2">
        <f t="shared" si="246"/>
        <v>219.43</v>
      </c>
      <c r="R415" s="2">
        <f t="shared" si="247"/>
        <v>41.81</v>
      </c>
      <c r="S415" s="2">
        <f t="shared" si="248"/>
        <v>4.18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11">
        <v>535023</v>
      </c>
      <c r="Z415" s="12" t="s">
        <v>694</v>
      </c>
      <c r="AA415" s="4">
        <v>1</v>
      </c>
      <c r="AB415" s="4">
        <v>0</v>
      </c>
      <c r="AC415" s="4"/>
      <c r="AD415" s="4">
        <f t="shared" si="255"/>
        <v>19983.014983777495</v>
      </c>
      <c r="AF415" s="1" t="str">
        <f t="shared" si="256"/>
        <v>2</v>
      </c>
      <c r="AG415">
        <v>13</v>
      </c>
      <c r="AH415">
        <f t="shared" si="258"/>
        <v>334.50666666666666</v>
      </c>
      <c r="AI415">
        <f t="shared" si="259"/>
        <v>33.45066666666667</v>
      </c>
      <c r="AJ415">
        <f t="shared" si="260"/>
        <v>2194.2857142857147</v>
      </c>
      <c r="AK415">
        <f t="shared" si="261"/>
        <v>219.42857142857147</v>
      </c>
      <c r="AL415">
        <f t="shared" si="262"/>
        <v>41.813333333333333</v>
      </c>
      <c r="AM415">
        <f t="shared" si="249"/>
        <v>4.1813333333333338</v>
      </c>
      <c r="AN415">
        <f t="shared" si="263"/>
        <v>1.4</v>
      </c>
      <c r="AO415">
        <f t="shared" si="264"/>
        <v>2</v>
      </c>
      <c r="AP415">
        <f t="shared" si="265"/>
        <v>6</v>
      </c>
      <c r="AQ415">
        <v>502</v>
      </c>
      <c r="AR415">
        <v>5</v>
      </c>
    </row>
    <row r="416" spans="1:68" x14ac:dyDescent="0.15">
      <c r="A416">
        <f t="shared" si="231"/>
        <v>5601133</v>
      </c>
      <c r="B416" t="s">
        <v>412</v>
      </c>
      <c r="C416">
        <v>13</v>
      </c>
      <c r="D416">
        <v>6</v>
      </c>
      <c r="E416">
        <v>3</v>
      </c>
      <c r="F416" t="s">
        <v>234</v>
      </c>
      <c r="G416" t="s">
        <v>234</v>
      </c>
      <c r="H416">
        <v>0</v>
      </c>
      <c r="I416" s="2" t="s">
        <v>116</v>
      </c>
      <c r="J416" s="2">
        <f t="shared" si="254"/>
        <v>6</v>
      </c>
      <c r="K416" s="2">
        <f t="shared" si="241"/>
        <v>1.5</v>
      </c>
      <c r="L416" s="2">
        <f t="shared" si="242"/>
        <v>2</v>
      </c>
      <c r="M416" s="2">
        <v>10</v>
      </c>
      <c r="N416" s="2">
        <f t="shared" si="243"/>
        <v>396.8</v>
      </c>
      <c r="O416" s="2">
        <f t="shared" si="244"/>
        <v>39.68</v>
      </c>
      <c r="P416" s="2">
        <f t="shared" si="245"/>
        <v>1981.94</v>
      </c>
      <c r="Q416" s="2">
        <f t="shared" si="246"/>
        <v>198.19</v>
      </c>
      <c r="R416" s="2">
        <f t="shared" si="247"/>
        <v>39.68</v>
      </c>
      <c r="S416" s="2">
        <f t="shared" si="248"/>
        <v>3.97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11">
        <v>536013</v>
      </c>
      <c r="Z416" s="12" t="s">
        <v>695</v>
      </c>
      <c r="AA416" s="4">
        <v>1</v>
      </c>
      <c r="AB416" s="4">
        <v>0</v>
      </c>
      <c r="AC416" s="4"/>
      <c r="AD416" s="4">
        <f t="shared" si="255"/>
        <v>19982.916011519999</v>
      </c>
      <c r="AF416" s="1" t="str">
        <f t="shared" si="256"/>
        <v>1</v>
      </c>
      <c r="AG416">
        <v>13</v>
      </c>
      <c r="AH416">
        <f t="shared" si="258"/>
        <v>396.8</v>
      </c>
      <c r="AI416">
        <f t="shared" si="259"/>
        <v>39.680000000000007</v>
      </c>
      <c r="AJ416">
        <f t="shared" si="260"/>
        <v>1981.9354838709678</v>
      </c>
      <c r="AK416">
        <f t="shared" si="261"/>
        <v>198.1935483870968</v>
      </c>
      <c r="AL416">
        <f t="shared" si="262"/>
        <v>39.68</v>
      </c>
      <c r="AM416">
        <f t="shared" si="249"/>
        <v>3.968</v>
      </c>
      <c r="AN416">
        <f t="shared" si="263"/>
        <v>1.5</v>
      </c>
      <c r="AO416">
        <f t="shared" si="264"/>
        <v>2</v>
      </c>
      <c r="AP416">
        <f t="shared" si="265"/>
        <v>6</v>
      </c>
      <c r="AQ416">
        <v>601</v>
      </c>
      <c r="AR416">
        <v>5</v>
      </c>
      <c r="BO416" t="s">
        <v>186</v>
      </c>
      <c r="BP416" t="str">
        <f>RIGHT(BO416,1)</f>
        <v>0</v>
      </c>
    </row>
    <row r="417" spans="1:68" x14ac:dyDescent="0.15">
      <c r="A417">
        <f t="shared" si="231"/>
        <v>5201134</v>
      </c>
      <c r="B417" t="s">
        <v>407</v>
      </c>
      <c r="C417">
        <v>13</v>
      </c>
      <c r="D417">
        <v>2</v>
      </c>
      <c r="E417">
        <v>4</v>
      </c>
      <c r="F417" t="s">
        <v>706</v>
      </c>
      <c r="G417" t="s">
        <v>706</v>
      </c>
      <c r="H417" s="23">
        <v>0</v>
      </c>
      <c r="I417" s="2" t="s">
        <v>92</v>
      </c>
      <c r="J417" s="2">
        <f t="shared" si="254"/>
        <v>3</v>
      </c>
      <c r="K417" s="2">
        <f t="shared" si="241"/>
        <v>1.8</v>
      </c>
      <c r="L417" s="2">
        <f t="shared" si="242"/>
        <v>1.8</v>
      </c>
      <c r="M417" s="2">
        <v>11</v>
      </c>
      <c r="N417" s="2">
        <f t="shared" si="243"/>
        <v>245.76</v>
      </c>
      <c r="O417" s="2">
        <f t="shared" si="244"/>
        <v>24.58</v>
      </c>
      <c r="P417" s="2">
        <f t="shared" si="245"/>
        <v>3840</v>
      </c>
      <c r="Q417" s="2">
        <f t="shared" si="246"/>
        <v>384</v>
      </c>
      <c r="R417" s="2">
        <f t="shared" si="247"/>
        <v>81.92</v>
      </c>
      <c r="S417" s="2">
        <f t="shared" si="248"/>
        <v>8.19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11">
        <v>542013</v>
      </c>
      <c r="Z417" s="26" t="s">
        <v>696</v>
      </c>
      <c r="AA417" s="4">
        <v>1</v>
      </c>
      <c r="AB417" s="4">
        <v>0</v>
      </c>
      <c r="AC417" s="4"/>
      <c r="AD417" s="4">
        <f t="shared" si="255"/>
        <v>19986.193919999998</v>
      </c>
      <c r="AF417" s="1" t="str">
        <f t="shared" si="256"/>
        <v>1</v>
      </c>
      <c r="AG417">
        <v>13</v>
      </c>
      <c r="AH417">
        <f t="shared" si="258"/>
        <v>245.76000000000005</v>
      </c>
      <c r="AI417">
        <f t="shared" si="259"/>
        <v>24.576000000000008</v>
      </c>
      <c r="AJ417">
        <f t="shared" si="260"/>
        <v>3840</v>
      </c>
      <c r="AK417">
        <f t="shared" si="261"/>
        <v>384</v>
      </c>
      <c r="AL417">
        <f t="shared" si="262"/>
        <v>81.920000000000016</v>
      </c>
      <c r="AM417">
        <f t="shared" si="249"/>
        <v>8.1920000000000019</v>
      </c>
      <c r="AN417">
        <f t="shared" si="263"/>
        <v>1.8</v>
      </c>
      <c r="AO417">
        <f t="shared" si="264"/>
        <v>1.8</v>
      </c>
      <c r="AP417">
        <f t="shared" si="265"/>
        <v>3</v>
      </c>
      <c r="AQ417">
        <v>201</v>
      </c>
      <c r="AR417">
        <v>5</v>
      </c>
      <c r="BO417" t="s">
        <v>176</v>
      </c>
      <c r="BP417" t="str">
        <f>RIGHT(BO417,1)</f>
        <v>2</v>
      </c>
    </row>
    <row r="418" spans="1:68" x14ac:dyDescent="0.15">
      <c r="A418">
        <f t="shared" si="231"/>
        <v>5302134</v>
      </c>
      <c r="B418" t="s">
        <v>143</v>
      </c>
      <c r="C418">
        <v>13</v>
      </c>
      <c r="D418">
        <v>3</v>
      </c>
      <c r="E418">
        <v>4</v>
      </c>
      <c r="F418" s="22" t="s">
        <v>707</v>
      </c>
      <c r="G418" s="22" t="s">
        <v>707</v>
      </c>
      <c r="H418" s="23">
        <v>0</v>
      </c>
      <c r="I418" s="2" t="s">
        <v>157</v>
      </c>
      <c r="J418" s="2">
        <f t="shared" si="254"/>
        <v>3</v>
      </c>
      <c r="K418" s="2">
        <f t="shared" si="241"/>
        <v>1.4000000000000001</v>
      </c>
      <c r="L418" s="2">
        <f t="shared" si="242"/>
        <v>1.7</v>
      </c>
      <c r="M418" s="2">
        <v>12</v>
      </c>
      <c r="N418" s="2">
        <f t="shared" si="243"/>
        <v>215.04</v>
      </c>
      <c r="O418" s="2">
        <f t="shared" si="244"/>
        <v>21.5</v>
      </c>
      <c r="P418" s="2">
        <f t="shared" si="245"/>
        <v>3413.33</v>
      </c>
      <c r="Q418" s="2">
        <f t="shared" si="246"/>
        <v>341.33</v>
      </c>
      <c r="R418" s="2">
        <f t="shared" si="247"/>
        <v>43.01</v>
      </c>
      <c r="S418" s="2">
        <f t="shared" si="248"/>
        <v>4.3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11">
        <v>543023</v>
      </c>
      <c r="Z418" s="26" t="s">
        <v>697</v>
      </c>
      <c r="AA418" s="4">
        <v>1</v>
      </c>
      <c r="AB418" s="4">
        <v>0</v>
      </c>
      <c r="AC418" s="4"/>
      <c r="AD418" s="4">
        <f t="shared" si="255"/>
        <v>19979.678768219997</v>
      </c>
      <c r="AF418" s="1" t="str">
        <f t="shared" si="256"/>
        <v>2</v>
      </c>
      <c r="AG418">
        <v>13</v>
      </c>
      <c r="AH418">
        <f t="shared" si="258"/>
        <v>215.04000000000002</v>
      </c>
      <c r="AI418">
        <f t="shared" si="259"/>
        <v>21.504000000000005</v>
      </c>
      <c r="AJ418">
        <f t="shared" si="260"/>
        <v>3413.3333333333339</v>
      </c>
      <c r="AK418">
        <f t="shared" si="261"/>
        <v>341.33333333333343</v>
      </c>
      <c r="AL418">
        <f t="shared" si="262"/>
        <v>43.008000000000003</v>
      </c>
      <c r="AM418">
        <f t="shared" si="249"/>
        <v>4.3008000000000006</v>
      </c>
      <c r="AN418">
        <f t="shared" si="263"/>
        <v>1.4</v>
      </c>
      <c r="AO418">
        <f t="shared" si="264"/>
        <v>1.7</v>
      </c>
      <c r="AP418">
        <f t="shared" si="265"/>
        <v>3</v>
      </c>
      <c r="AQ418">
        <v>302</v>
      </c>
      <c r="AR418">
        <v>5</v>
      </c>
      <c r="BO418" t="s">
        <v>165</v>
      </c>
      <c r="BP418" t="str">
        <f>RIGHT(BO418,1)</f>
        <v>2</v>
      </c>
    </row>
    <row r="419" spans="1:68" x14ac:dyDescent="0.15">
      <c r="A419">
        <f t="shared" si="231"/>
        <v>5501134</v>
      </c>
      <c r="B419" t="s">
        <v>413</v>
      </c>
      <c r="C419">
        <v>13</v>
      </c>
      <c r="D419">
        <v>5</v>
      </c>
      <c r="E419">
        <v>4</v>
      </c>
      <c r="F419" t="s">
        <v>235</v>
      </c>
      <c r="G419" t="s">
        <v>235</v>
      </c>
      <c r="H419">
        <v>0</v>
      </c>
      <c r="I419" s="2" t="s">
        <v>144</v>
      </c>
      <c r="J419" s="2">
        <f t="shared" si="254"/>
        <v>6</v>
      </c>
      <c r="K419" s="2">
        <f t="shared" si="241"/>
        <v>1.6</v>
      </c>
      <c r="L419" s="2">
        <f t="shared" si="242"/>
        <v>2</v>
      </c>
      <c r="M419" s="2">
        <v>10</v>
      </c>
      <c r="N419" s="2">
        <f t="shared" si="243"/>
        <v>382.29</v>
      </c>
      <c r="O419" s="2">
        <f t="shared" si="244"/>
        <v>38.229999999999997</v>
      </c>
      <c r="P419" s="2">
        <f t="shared" si="245"/>
        <v>2194.29</v>
      </c>
      <c r="Q419" s="2">
        <f t="shared" si="246"/>
        <v>219.43</v>
      </c>
      <c r="R419" s="2">
        <f t="shared" si="247"/>
        <v>47.79</v>
      </c>
      <c r="S419" s="2">
        <f t="shared" si="248"/>
        <v>4.78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11">
        <v>545013</v>
      </c>
      <c r="Z419" s="12" t="s">
        <v>698</v>
      </c>
      <c r="AA419" s="4">
        <v>1</v>
      </c>
      <c r="AB419" s="4">
        <v>0</v>
      </c>
      <c r="AC419" s="4"/>
      <c r="AD419" s="4">
        <f t="shared" si="255"/>
        <v>19983.659901994684</v>
      </c>
      <c r="AF419" s="1" t="str">
        <f t="shared" si="256"/>
        <v>1</v>
      </c>
      <c r="AG419">
        <v>13</v>
      </c>
      <c r="AH419">
        <f t="shared" si="258"/>
        <v>382.29333333333329</v>
      </c>
      <c r="AI419">
        <f t="shared" si="259"/>
        <v>38.229333333333329</v>
      </c>
      <c r="AJ419">
        <f t="shared" si="260"/>
        <v>2194.2857142857147</v>
      </c>
      <c r="AK419">
        <f t="shared" si="261"/>
        <v>219.42857142857147</v>
      </c>
      <c r="AL419">
        <f t="shared" si="262"/>
        <v>47.786666666666662</v>
      </c>
      <c r="AM419">
        <f t="shared" si="249"/>
        <v>4.7786666666666662</v>
      </c>
      <c r="AN419">
        <f t="shared" si="263"/>
        <v>1.6</v>
      </c>
      <c r="AO419">
        <f t="shared" si="264"/>
        <v>2</v>
      </c>
      <c r="AP419">
        <f t="shared" si="265"/>
        <v>6</v>
      </c>
      <c r="AQ419">
        <v>501</v>
      </c>
      <c r="AR419">
        <v>5</v>
      </c>
    </row>
    <row r="420" spans="1:68" x14ac:dyDescent="0.15">
      <c r="A420">
        <f t="shared" si="231"/>
        <v>5600134</v>
      </c>
      <c r="B420" t="s">
        <v>209</v>
      </c>
      <c r="C420">
        <v>13</v>
      </c>
      <c r="D420">
        <v>6</v>
      </c>
      <c r="E420">
        <v>4</v>
      </c>
      <c r="F420" t="s">
        <v>236</v>
      </c>
      <c r="G420" t="s">
        <v>236</v>
      </c>
      <c r="H420" s="2">
        <v>0</v>
      </c>
      <c r="I420" s="2" t="s">
        <v>147</v>
      </c>
      <c r="J420" s="2">
        <f t="shared" si="254"/>
        <v>3</v>
      </c>
      <c r="K420" s="2">
        <f t="shared" si="241"/>
        <v>1.4000000000000001</v>
      </c>
      <c r="L420" s="2">
        <f t="shared" si="242"/>
        <v>1.9000000000000001</v>
      </c>
      <c r="M420" s="2">
        <v>10</v>
      </c>
      <c r="N420" s="2">
        <f t="shared" si="243"/>
        <v>370.35</v>
      </c>
      <c r="O420" s="2">
        <f t="shared" si="244"/>
        <v>37.03</v>
      </c>
      <c r="P420" s="2">
        <f t="shared" si="245"/>
        <v>1981.94</v>
      </c>
      <c r="Q420" s="2">
        <f t="shared" si="246"/>
        <v>198.19</v>
      </c>
      <c r="R420" s="2">
        <f t="shared" si="247"/>
        <v>37.03</v>
      </c>
      <c r="S420" s="2">
        <f t="shared" si="248"/>
        <v>3.7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11">
        <v>546003</v>
      </c>
      <c r="Z420" s="12" t="s">
        <v>699</v>
      </c>
      <c r="AA420" s="4">
        <v>1</v>
      </c>
      <c r="AB420" s="4">
        <v>0</v>
      </c>
      <c r="AC420" s="4"/>
      <c r="AD420" s="4">
        <f t="shared" si="255"/>
        <v>19980.643263524995</v>
      </c>
      <c r="AF420" s="1" t="str">
        <f t="shared" si="256"/>
        <v>0</v>
      </c>
      <c r="AG420">
        <v>13</v>
      </c>
      <c r="AH420">
        <f t="shared" si="258"/>
        <v>370.34666666666664</v>
      </c>
      <c r="AI420">
        <f t="shared" si="259"/>
        <v>37.034666666666666</v>
      </c>
      <c r="AJ420">
        <f t="shared" si="260"/>
        <v>1981.9354838709678</v>
      </c>
      <c r="AK420">
        <f t="shared" si="261"/>
        <v>198.1935483870968</v>
      </c>
      <c r="AL420">
        <f t="shared" si="262"/>
        <v>37.034666666666666</v>
      </c>
      <c r="AM420">
        <f t="shared" si="249"/>
        <v>3.7034666666666669</v>
      </c>
      <c r="AN420">
        <f t="shared" si="263"/>
        <v>1.4</v>
      </c>
      <c r="AO420">
        <f t="shared" si="264"/>
        <v>1.9</v>
      </c>
      <c r="AP420">
        <f t="shared" si="265"/>
        <v>3</v>
      </c>
      <c r="AQ420">
        <v>600</v>
      </c>
      <c r="AR420">
        <v>5</v>
      </c>
      <c r="BO420" t="s">
        <v>184</v>
      </c>
      <c r="BP420" t="str">
        <f>RIGHT(BO420,1)</f>
        <v>0</v>
      </c>
    </row>
    <row r="421" spans="1:68" x14ac:dyDescent="0.15">
      <c r="A421">
        <f t="shared" si="231"/>
        <v>5602134</v>
      </c>
      <c r="B421" t="s">
        <v>414</v>
      </c>
      <c r="C421">
        <v>13</v>
      </c>
      <c r="D421">
        <v>6</v>
      </c>
      <c r="E421">
        <v>4</v>
      </c>
      <c r="F421" t="s">
        <v>237</v>
      </c>
      <c r="G421" t="s">
        <v>237</v>
      </c>
      <c r="H421" t="s">
        <v>150</v>
      </c>
      <c r="I421" s="2" t="s">
        <v>151</v>
      </c>
      <c r="J421" s="2">
        <f t="shared" si="254"/>
        <v>6</v>
      </c>
      <c r="K421" s="2">
        <f t="shared" si="241"/>
        <v>1.8</v>
      </c>
      <c r="L421" s="2">
        <f t="shared" si="242"/>
        <v>2</v>
      </c>
      <c r="M421" s="2">
        <v>10</v>
      </c>
      <c r="N421" s="2">
        <f t="shared" si="243"/>
        <v>476.16</v>
      </c>
      <c r="O421" s="2">
        <f t="shared" si="244"/>
        <v>47.62</v>
      </c>
      <c r="P421" s="2">
        <f t="shared" si="245"/>
        <v>1981.94</v>
      </c>
      <c r="Q421" s="2">
        <f t="shared" si="246"/>
        <v>198.19</v>
      </c>
      <c r="R421" s="2">
        <f t="shared" si="247"/>
        <v>47.62</v>
      </c>
      <c r="S421" s="2">
        <f t="shared" si="248"/>
        <v>4.76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11">
        <v>546023</v>
      </c>
      <c r="Z421" s="12" t="s">
        <v>700</v>
      </c>
      <c r="AA421" s="4">
        <v>1</v>
      </c>
      <c r="AB421" s="4">
        <v>0</v>
      </c>
      <c r="AC421" s="4"/>
      <c r="AD421" s="4">
        <f t="shared" si="255"/>
        <v>19984.44207732</v>
      </c>
      <c r="AF421" s="1" t="str">
        <f t="shared" si="256"/>
        <v>2</v>
      </c>
      <c r="AG421">
        <v>13</v>
      </c>
      <c r="AH421">
        <f t="shared" si="258"/>
        <v>476.16000000000008</v>
      </c>
      <c r="AI421">
        <f t="shared" si="259"/>
        <v>47.616000000000014</v>
      </c>
      <c r="AJ421">
        <f t="shared" si="260"/>
        <v>1981.9354838709678</v>
      </c>
      <c r="AK421">
        <f t="shared" si="261"/>
        <v>198.1935483870968</v>
      </c>
      <c r="AL421">
        <f t="shared" si="262"/>
        <v>47.616000000000007</v>
      </c>
      <c r="AM421">
        <f t="shared" si="249"/>
        <v>4.7616000000000005</v>
      </c>
      <c r="AN421">
        <f t="shared" si="263"/>
        <v>1.8</v>
      </c>
      <c r="AO421">
        <f t="shared" si="264"/>
        <v>2</v>
      </c>
      <c r="AP421">
        <f t="shared" si="265"/>
        <v>6</v>
      </c>
      <c r="AQ421">
        <v>602</v>
      </c>
      <c r="AR421">
        <v>5</v>
      </c>
      <c r="BO421" t="s">
        <v>169</v>
      </c>
      <c r="BP421" t="str">
        <f>RIGHT(BO421,1)</f>
        <v>0</v>
      </c>
    </row>
    <row r="422" spans="1:68" x14ac:dyDescent="0.15">
      <c r="A422">
        <f t="shared" si="231"/>
        <v>5202135</v>
      </c>
      <c r="B422" t="s">
        <v>408</v>
      </c>
      <c r="C422">
        <v>13</v>
      </c>
      <c r="D422">
        <v>2</v>
      </c>
      <c r="E422">
        <v>5</v>
      </c>
      <c r="F422" t="s">
        <v>708</v>
      </c>
      <c r="G422" t="s">
        <v>708</v>
      </c>
      <c r="H422" s="22">
        <v>0</v>
      </c>
      <c r="I422" s="2" t="s">
        <v>96</v>
      </c>
      <c r="J422" s="2">
        <f t="shared" si="254"/>
        <v>3</v>
      </c>
      <c r="K422" s="2">
        <f t="shared" si="241"/>
        <v>1.8</v>
      </c>
      <c r="L422" s="2">
        <f t="shared" si="242"/>
        <v>2</v>
      </c>
      <c r="M422" s="2">
        <v>11</v>
      </c>
      <c r="N422" s="2">
        <f t="shared" si="243"/>
        <v>276.48</v>
      </c>
      <c r="O422" s="2">
        <f t="shared" si="244"/>
        <v>27.65</v>
      </c>
      <c r="P422" s="2">
        <f t="shared" si="245"/>
        <v>3413.33</v>
      </c>
      <c r="Q422" s="2">
        <f t="shared" si="246"/>
        <v>341.33</v>
      </c>
      <c r="R422" s="2">
        <f t="shared" si="247"/>
        <v>55.3</v>
      </c>
      <c r="S422" s="2">
        <f t="shared" si="248"/>
        <v>5.53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11">
        <v>552023</v>
      </c>
      <c r="Z422" s="26" t="s">
        <v>701</v>
      </c>
      <c r="AA422" s="4">
        <v>1</v>
      </c>
      <c r="AB422" s="4">
        <v>0</v>
      </c>
      <c r="AC422" s="4"/>
      <c r="AD422" s="4">
        <f t="shared" si="255"/>
        <v>19984.372059469999</v>
      </c>
      <c r="AF422" s="1" t="str">
        <f t="shared" si="256"/>
        <v>2</v>
      </c>
      <c r="AG422">
        <v>13</v>
      </c>
      <c r="AH422">
        <f t="shared" si="258"/>
        <v>276.48</v>
      </c>
      <c r="AI422">
        <f t="shared" si="259"/>
        <v>27.648000000000003</v>
      </c>
      <c r="AJ422">
        <f t="shared" si="260"/>
        <v>3413.3333333333339</v>
      </c>
      <c r="AK422">
        <f t="shared" si="261"/>
        <v>341.33333333333343</v>
      </c>
      <c r="AL422">
        <f t="shared" si="262"/>
        <v>55.296000000000006</v>
      </c>
      <c r="AM422">
        <f t="shared" si="249"/>
        <v>5.5296000000000012</v>
      </c>
      <c r="AN422">
        <f t="shared" si="263"/>
        <v>1.8</v>
      </c>
      <c r="AO422">
        <f t="shared" si="264"/>
        <v>2</v>
      </c>
      <c r="AP422">
        <f t="shared" si="265"/>
        <v>3</v>
      </c>
      <c r="AQ422">
        <v>202</v>
      </c>
      <c r="AR422">
        <v>5</v>
      </c>
    </row>
    <row r="423" spans="1:68" x14ac:dyDescent="0.15">
      <c r="A423">
        <f t="shared" si="231"/>
        <v>5300135</v>
      </c>
      <c r="B423" t="s">
        <v>415</v>
      </c>
      <c r="C423">
        <v>13</v>
      </c>
      <c r="D423">
        <v>3</v>
      </c>
      <c r="E423">
        <v>5</v>
      </c>
      <c r="F423" t="s">
        <v>238</v>
      </c>
      <c r="G423" t="s">
        <v>238</v>
      </c>
      <c r="H423" s="2">
        <v>0</v>
      </c>
      <c r="I423" s="28" t="s">
        <v>720</v>
      </c>
      <c r="J423" s="2">
        <f t="shared" si="254"/>
        <v>3</v>
      </c>
      <c r="K423" s="2">
        <f t="shared" si="241"/>
        <v>1.3</v>
      </c>
      <c r="L423" s="2">
        <f t="shared" si="242"/>
        <v>1.9000000000000001</v>
      </c>
      <c r="M423" s="2">
        <v>12</v>
      </c>
      <c r="N423" s="2">
        <f t="shared" si="243"/>
        <v>199.68</v>
      </c>
      <c r="O423" s="2">
        <f t="shared" si="244"/>
        <v>19.97</v>
      </c>
      <c r="P423" s="2">
        <f t="shared" si="245"/>
        <v>3413.33</v>
      </c>
      <c r="Q423" s="2">
        <f t="shared" si="246"/>
        <v>341.33</v>
      </c>
      <c r="R423" s="2">
        <f t="shared" si="247"/>
        <v>39.94</v>
      </c>
      <c r="S423" s="2">
        <f t="shared" si="248"/>
        <v>3.99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11">
        <v>553003</v>
      </c>
      <c r="Z423" s="12" t="s">
        <v>702</v>
      </c>
      <c r="AA423" s="4">
        <v>1</v>
      </c>
      <c r="AB423" s="4">
        <v>0</v>
      </c>
      <c r="AC423" s="4"/>
      <c r="AD423" s="4">
        <f t="shared" si="255"/>
        <v>19984.877490835381</v>
      </c>
      <c r="AF423" s="1" t="str">
        <f t="shared" si="256"/>
        <v>0</v>
      </c>
      <c r="AG423">
        <v>13</v>
      </c>
      <c r="AH423">
        <f t="shared" si="258"/>
        <v>199.68000000000006</v>
      </c>
      <c r="AI423">
        <f t="shared" si="259"/>
        <v>19.968000000000007</v>
      </c>
      <c r="AJ423">
        <f t="shared" si="260"/>
        <v>3413.3333333333339</v>
      </c>
      <c r="AK423">
        <f t="shared" si="261"/>
        <v>341.33333333333343</v>
      </c>
      <c r="AL423">
        <f t="shared" si="262"/>
        <v>39.936000000000014</v>
      </c>
      <c r="AM423">
        <f t="shared" si="249"/>
        <v>3.9936000000000016</v>
      </c>
      <c r="AN423">
        <f t="shared" si="263"/>
        <v>1.3</v>
      </c>
      <c r="AO423">
        <f t="shared" si="264"/>
        <v>1.9</v>
      </c>
      <c r="AP423">
        <f t="shared" si="265"/>
        <v>3</v>
      </c>
      <c r="AQ423">
        <v>300</v>
      </c>
      <c r="AR423">
        <v>5</v>
      </c>
      <c r="BO423" t="s">
        <v>182</v>
      </c>
      <c r="BP423" t="str">
        <f>RIGHT(BO423,1)</f>
        <v>2</v>
      </c>
    </row>
    <row r="424" spans="1:68" x14ac:dyDescent="0.15">
      <c r="A424">
        <f t="shared" si="231"/>
        <v>5302135</v>
      </c>
      <c r="B424" t="s">
        <v>143</v>
      </c>
      <c r="C424">
        <v>13</v>
      </c>
      <c r="D424">
        <v>3</v>
      </c>
      <c r="E424">
        <v>5</v>
      </c>
      <c r="F424" t="s">
        <v>239</v>
      </c>
      <c r="G424" t="s">
        <v>239</v>
      </c>
      <c r="H424" s="2">
        <v>0</v>
      </c>
      <c r="I424" s="2" t="s">
        <v>157</v>
      </c>
      <c r="J424" s="2">
        <f t="shared" si="254"/>
        <v>3</v>
      </c>
      <c r="K424" s="2">
        <f t="shared" si="241"/>
        <v>1.4000000000000001</v>
      </c>
      <c r="L424" s="2">
        <f t="shared" si="242"/>
        <v>1.7</v>
      </c>
      <c r="M424" s="2">
        <v>13</v>
      </c>
      <c r="N424" s="2">
        <f t="shared" si="243"/>
        <v>215.04</v>
      </c>
      <c r="O424" s="2">
        <f t="shared" si="244"/>
        <v>21.5</v>
      </c>
      <c r="P424" s="2">
        <f t="shared" si="245"/>
        <v>3413.33</v>
      </c>
      <c r="Q424" s="2">
        <f t="shared" si="246"/>
        <v>341.33</v>
      </c>
      <c r="R424" s="2">
        <f t="shared" si="247"/>
        <v>43.01</v>
      </c>
      <c r="S424" s="2">
        <f t="shared" si="248"/>
        <v>4.3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11">
        <v>553023</v>
      </c>
      <c r="Z424" s="12" t="s">
        <v>703</v>
      </c>
      <c r="AA424" s="4">
        <v>1</v>
      </c>
      <c r="AB424" s="4">
        <v>0</v>
      </c>
      <c r="AC424" s="4"/>
      <c r="AD424" s="4">
        <f t="shared" si="255"/>
        <v>19979.678768219997</v>
      </c>
      <c r="AF424" s="1" t="str">
        <f t="shared" si="256"/>
        <v>2</v>
      </c>
      <c r="AG424">
        <v>13</v>
      </c>
      <c r="AH424">
        <f t="shared" si="258"/>
        <v>215.04000000000002</v>
      </c>
      <c r="AI424">
        <f t="shared" si="259"/>
        <v>21.504000000000005</v>
      </c>
      <c r="AJ424">
        <f t="shared" si="260"/>
        <v>3413.3333333333339</v>
      </c>
      <c r="AK424">
        <f t="shared" si="261"/>
        <v>341.33333333333343</v>
      </c>
      <c r="AL424">
        <f t="shared" si="262"/>
        <v>43.008000000000003</v>
      </c>
      <c r="AM424">
        <f t="shared" si="249"/>
        <v>4.3008000000000006</v>
      </c>
      <c r="AN424">
        <f t="shared" si="263"/>
        <v>1.4</v>
      </c>
      <c r="AO424">
        <f t="shared" si="264"/>
        <v>1.7</v>
      </c>
      <c r="AP424">
        <f t="shared" si="265"/>
        <v>3</v>
      </c>
      <c r="AQ424">
        <v>302</v>
      </c>
      <c r="AR424">
        <v>5</v>
      </c>
      <c r="BO424" t="s">
        <v>178</v>
      </c>
      <c r="BP424" t="str">
        <f>RIGHT(BO424,1)</f>
        <v>2</v>
      </c>
    </row>
    <row r="425" spans="1:68" x14ac:dyDescent="0.15">
      <c r="A425">
        <f t="shared" si="231"/>
        <v>5400135</v>
      </c>
      <c r="B425" t="s">
        <v>149</v>
      </c>
      <c r="C425">
        <v>13</v>
      </c>
      <c r="D425">
        <v>4</v>
      </c>
      <c r="E425">
        <v>5</v>
      </c>
      <c r="F425" t="s">
        <v>240</v>
      </c>
      <c r="G425" t="s">
        <v>240</v>
      </c>
      <c r="H425">
        <v>0</v>
      </c>
      <c r="I425" s="2" t="s">
        <v>161</v>
      </c>
      <c r="J425" s="2">
        <f t="shared" si="254"/>
        <v>6</v>
      </c>
      <c r="K425" s="2">
        <f t="shared" si="241"/>
        <v>1.4000000000000001</v>
      </c>
      <c r="L425" s="2">
        <f t="shared" si="242"/>
        <v>1.4000000000000001</v>
      </c>
      <c r="M425" s="2">
        <v>14</v>
      </c>
      <c r="N425" s="2">
        <f t="shared" si="243"/>
        <v>286.72000000000003</v>
      </c>
      <c r="O425" s="2">
        <f t="shared" si="244"/>
        <v>28.67</v>
      </c>
      <c r="P425" s="2">
        <f t="shared" si="245"/>
        <v>2560</v>
      </c>
      <c r="Q425" s="2">
        <f t="shared" si="246"/>
        <v>256</v>
      </c>
      <c r="R425" s="2">
        <f t="shared" si="247"/>
        <v>40.96</v>
      </c>
      <c r="S425" s="2">
        <f t="shared" si="248"/>
        <v>4.0999999999999996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11">
        <v>554003</v>
      </c>
      <c r="Z425" s="12" t="s">
        <v>704</v>
      </c>
      <c r="AA425" s="4">
        <v>1</v>
      </c>
      <c r="AB425" s="4">
        <v>0</v>
      </c>
      <c r="AC425" s="4"/>
      <c r="AD425" s="4">
        <f t="shared" si="255"/>
        <v>19981.96992</v>
      </c>
      <c r="AF425" s="1" t="str">
        <f t="shared" si="256"/>
        <v>0</v>
      </c>
      <c r="AG425">
        <v>13</v>
      </c>
      <c r="AH425">
        <f t="shared" si="258"/>
        <v>286.71999999999997</v>
      </c>
      <c r="AI425">
        <f t="shared" si="259"/>
        <v>28.671999999999997</v>
      </c>
      <c r="AJ425">
        <f t="shared" si="260"/>
        <v>2560</v>
      </c>
      <c r="AK425">
        <f t="shared" si="261"/>
        <v>256</v>
      </c>
      <c r="AL425">
        <f t="shared" si="262"/>
        <v>40.959999999999994</v>
      </c>
      <c r="AM425">
        <f t="shared" si="249"/>
        <v>4.0959999999999992</v>
      </c>
      <c r="AN425">
        <f t="shared" si="263"/>
        <v>1.4</v>
      </c>
      <c r="AO425">
        <f t="shared" si="264"/>
        <v>1.4</v>
      </c>
      <c r="AP425">
        <f t="shared" si="265"/>
        <v>6</v>
      </c>
      <c r="AQ425">
        <v>400</v>
      </c>
      <c r="AR425">
        <v>5</v>
      </c>
      <c r="BO425" t="s">
        <v>178</v>
      </c>
      <c r="BP425" t="str">
        <f>RIGHT(BO425,1)</f>
        <v>2</v>
      </c>
    </row>
    <row r="426" spans="1:68" x14ac:dyDescent="0.15">
      <c r="A426">
        <f t="shared" si="231"/>
        <v>5501135</v>
      </c>
      <c r="B426" t="s">
        <v>413</v>
      </c>
      <c r="C426">
        <v>13</v>
      </c>
      <c r="D426">
        <v>5</v>
      </c>
      <c r="E426">
        <v>5</v>
      </c>
      <c r="F426" t="s">
        <v>709</v>
      </c>
      <c r="G426" t="s">
        <v>709</v>
      </c>
      <c r="H426" s="22">
        <v>0</v>
      </c>
      <c r="I426" s="28" t="s">
        <v>721</v>
      </c>
      <c r="J426" s="2">
        <f t="shared" si="254"/>
        <v>6</v>
      </c>
      <c r="K426" s="2">
        <f t="shared" si="241"/>
        <v>1.6</v>
      </c>
      <c r="L426" s="2">
        <f t="shared" si="242"/>
        <v>2</v>
      </c>
      <c r="M426" s="2">
        <v>15</v>
      </c>
      <c r="N426" s="2">
        <f t="shared" si="243"/>
        <v>382.29</v>
      </c>
      <c r="O426" s="2">
        <f t="shared" si="244"/>
        <v>38.229999999999997</v>
      </c>
      <c r="P426" s="2">
        <f t="shared" si="245"/>
        <v>2194.29</v>
      </c>
      <c r="Q426" s="2">
        <f t="shared" si="246"/>
        <v>219.43</v>
      </c>
      <c r="R426" s="2">
        <f t="shared" si="247"/>
        <v>47.79</v>
      </c>
      <c r="S426" s="2">
        <f t="shared" si="248"/>
        <v>4.78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11">
        <v>555013</v>
      </c>
      <c r="Z426" s="26" t="s">
        <v>705</v>
      </c>
      <c r="AA426" s="4">
        <v>1</v>
      </c>
      <c r="AB426" s="4">
        <v>0</v>
      </c>
      <c r="AC426" s="4"/>
      <c r="AD426" s="4">
        <f t="shared" si="255"/>
        <v>19983.659901994684</v>
      </c>
      <c r="AF426" s="1" t="str">
        <f t="shared" si="256"/>
        <v>1</v>
      </c>
      <c r="AG426">
        <v>13</v>
      </c>
      <c r="AH426">
        <f t="shared" si="258"/>
        <v>382.29333333333329</v>
      </c>
      <c r="AI426">
        <f t="shared" si="259"/>
        <v>38.229333333333329</v>
      </c>
      <c r="AJ426">
        <f t="shared" si="260"/>
        <v>2194.2857142857147</v>
      </c>
      <c r="AK426">
        <f t="shared" si="261"/>
        <v>219.42857142857147</v>
      </c>
      <c r="AL426">
        <f t="shared" si="262"/>
        <v>47.786666666666662</v>
      </c>
      <c r="AM426">
        <f t="shared" si="249"/>
        <v>4.7786666666666662</v>
      </c>
      <c r="AN426">
        <f t="shared" si="263"/>
        <v>1.6</v>
      </c>
      <c r="AO426">
        <f t="shared" si="264"/>
        <v>2</v>
      </c>
      <c r="AP426">
        <f t="shared" si="265"/>
        <v>6</v>
      </c>
      <c r="AQ426">
        <v>501</v>
      </c>
      <c r="AR426">
        <v>5</v>
      </c>
      <c r="BO426" t="s">
        <v>188</v>
      </c>
      <c r="BP426" t="str">
        <f t="shared" ref="BP426:BP427" si="267">RIGHT(BO426,1)</f>
        <v>0</v>
      </c>
    </row>
    <row r="427" spans="1:68" x14ac:dyDescent="0.15">
      <c r="A427">
        <f t="shared" ref="A427:A438" si="268">AR427*1000000+AQ427*1000+C427*10+E427</f>
        <v>1203011</v>
      </c>
      <c r="B427" s="6" t="s">
        <v>241</v>
      </c>
      <c r="C427">
        <v>1</v>
      </c>
      <c r="D427">
        <v>2</v>
      </c>
      <c r="E427">
        <v>1</v>
      </c>
      <c r="F427" s="6" t="s">
        <v>242</v>
      </c>
      <c r="G427" s="20" t="s">
        <v>243</v>
      </c>
      <c r="H427">
        <v>0</v>
      </c>
      <c r="I427" s="2">
        <v>0</v>
      </c>
      <c r="J427" s="2">
        <f t="shared" ref="J427:J461" si="269">AP427</f>
        <v>3</v>
      </c>
      <c r="K427" s="2">
        <f t="shared" ref="K427:K461" si="270">FLOOR(AN427/1,0.01)</f>
        <v>1.3</v>
      </c>
      <c r="L427" s="2">
        <f t="shared" ref="L427:L461" si="271">FLOOR(AO427/1,0.01)</f>
        <v>1.9000000000000001</v>
      </c>
      <c r="M427" s="2">
        <v>10</v>
      </c>
      <c r="N427" s="2">
        <f t="shared" ref="N427:N461" si="272">ROUND(AH427,2)</f>
        <v>62.4</v>
      </c>
      <c r="O427" s="2">
        <f t="shared" ref="O427:O461" si="273">ROUND(AI427,2)</f>
        <v>6.24</v>
      </c>
      <c r="P427" s="2">
        <f t="shared" ref="P427:P461" si="274">ROUND(AJ427,2)</f>
        <v>1066.67</v>
      </c>
      <c r="Q427" s="2">
        <f t="shared" ref="Q427:Q461" si="275">ROUND(AK427,2)</f>
        <v>106.67</v>
      </c>
      <c r="R427" s="2">
        <f t="shared" ref="R427:R461" si="276">ROUND(AL427,2)</f>
        <v>12.48</v>
      </c>
      <c r="S427" s="2">
        <f t="shared" ref="S427:S461" si="277">ROUND(AM427,2)</f>
        <v>1.25</v>
      </c>
      <c r="T427" s="2">
        <v>0</v>
      </c>
      <c r="U427" s="2">
        <v>0</v>
      </c>
      <c r="V427" s="2">
        <v>0</v>
      </c>
      <c r="W427" s="2">
        <v>-10</v>
      </c>
      <c r="X427" s="2">
        <v>0</v>
      </c>
      <c r="Y427" s="25">
        <v>112031</v>
      </c>
      <c r="Z427" s="26" t="s">
        <v>482</v>
      </c>
      <c r="AA427" s="4">
        <v>1</v>
      </c>
      <c r="AB427" s="4">
        <v>0</v>
      </c>
      <c r="AC427" s="4"/>
      <c r="AD427" s="4">
        <f t="shared" ref="AD427:AD438" si="278">(N427+O427*$AD$2)*(P427+Q427*$AD$2)/K427*0.945/3000</f>
        <v>1951.5439944</v>
      </c>
      <c r="AF427" s="1" t="str">
        <f t="shared" ref="AF427:AF438" si="279">RIGHT(AQ427,1)</f>
        <v>3</v>
      </c>
      <c r="AG427">
        <v>1</v>
      </c>
      <c r="AH427">
        <f t="shared" ref="AH427:AH461" si="280">INDEX($AV$5:$AV$50,MATCH($AQ427,$AT$5:$AT$50))*$AN427/1.5*$AZ$4*INDEX($AV$87:$BI$87,MATCH($AG427,$AV$86:$BI$86))</f>
        <v>62.400000000000013</v>
      </c>
      <c r="AI427">
        <f t="shared" ref="AI427:AI461" si="281">(INDEX($AV$5:$AV$50,MATCH($AQ427,$AT$5:$AT$50))*$AN427/1.5*$AZ$4*INDEX($AV$87:$BI$87,MATCH($AG427,$AV$86:$BI$86)))*0.1</f>
        <v>6.240000000000002</v>
      </c>
      <c r="AJ427">
        <f t="shared" ref="AJ427:AJ461" si="282">INDEX($AW$5:$AW$50,MATCH($AQ427,$AT$5:$AT$50))*$BA$4*INDEX($AV$87:$BI$87,MATCH($AG427,$AV$86:$BI$86))</f>
        <v>1066.6666666666667</v>
      </c>
      <c r="AK427">
        <f t="shared" ref="AK427:AK461" si="283">(INDEX($AW$5:$AW$50,MATCH($AQ427,$AT$5:$AT$50))*$BA$4*INDEX($AV$87:$BI$87,MATCH($AG427,$AV$86:$BI$86)))*0.1</f>
        <v>106.66666666666669</v>
      </c>
      <c r="AL427">
        <f t="shared" ref="AL427:AL461" si="284">$AH427/INDEX($AX$5:$AX$50,MATCH($AQ427,$AT$5:$AT$50))</f>
        <v>12.480000000000002</v>
      </c>
      <c r="AM427">
        <f t="shared" ref="AM427:AM461" si="285">AL427*0.1</f>
        <v>1.2480000000000002</v>
      </c>
      <c r="AN427">
        <f t="shared" ref="AN427:AN461" si="286">INDEX($AY$5:$AY$50,MATCH($AQ427,$AT$5:$AT$50,0))</f>
        <v>1.3</v>
      </c>
      <c r="AO427">
        <f t="shared" ref="AO427:AO461" si="287">ROUND(IF(INDEX($BG$5:$BG$50,MATCH($AQ427,$AT$5:$AT$50,0))&lt;2,INDEX($BG$5:$BG$49,MATCH($AQ427,$AT$5:$AT$49,0))+0.2,2),1)</f>
        <v>1.9</v>
      </c>
      <c r="AP427">
        <f t="shared" ref="AP427:AP461" si="288">INDEX($BC$5:$BC$50,MATCH($AQ427,$AT$5:$AT$50,0))</f>
        <v>3</v>
      </c>
      <c r="AQ427">
        <v>203</v>
      </c>
      <c r="AR427">
        <v>1</v>
      </c>
      <c r="BO427" t="s">
        <v>171</v>
      </c>
      <c r="BP427" t="str">
        <f t="shared" si="267"/>
        <v>1</v>
      </c>
    </row>
    <row r="428" spans="1:68" x14ac:dyDescent="0.15">
      <c r="A428">
        <f t="shared" si="268"/>
        <v>1403011</v>
      </c>
      <c r="B428" s="6" t="s">
        <v>244</v>
      </c>
      <c r="C428">
        <v>1</v>
      </c>
      <c r="D428">
        <v>4</v>
      </c>
      <c r="E428">
        <v>1</v>
      </c>
      <c r="F428" s="6" t="s">
        <v>245</v>
      </c>
      <c r="G428" s="20" t="s">
        <v>246</v>
      </c>
      <c r="H428" s="2">
        <v>0</v>
      </c>
      <c r="I428" s="2" t="s">
        <v>103</v>
      </c>
      <c r="J428" s="2">
        <f t="shared" si="269"/>
        <v>6</v>
      </c>
      <c r="K428" s="2">
        <f t="shared" si="270"/>
        <v>1.3</v>
      </c>
      <c r="L428" s="2">
        <f t="shared" si="271"/>
        <v>1.9000000000000001</v>
      </c>
      <c r="M428" s="2">
        <v>10</v>
      </c>
      <c r="N428" s="2">
        <f t="shared" si="272"/>
        <v>83.2</v>
      </c>
      <c r="O428" s="2">
        <f t="shared" si="273"/>
        <v>8.32</v>
      </c>
      <c r="P428" s="2">
        <f t="shared" si="274"/>
        <v>800</v>
      </c>
      <c r="Q428" s="2">
        <f t="shared" si="275"/>
        <v>80</v>
      </c>
      <c r="R428" s="2">
        <f t="shared" si="276"/>
        <v>8.32</v>
      </c>
      <c r="S428" s="2">
        <f t="shared" si="277"/>
        <v>0.83</v>
      </c>
      <c r="T428" s="2">
        <v>0</v>
      </c>
      <c r="U428" s="2">
        <v>0</v>
      </c>
      <c r="V428" s="2">
        <v>0</v>
      </c>
      <c r="W428" s="2">
        <v>-10</v>
      </c>
      <c r="X428" s="2">
        <v>0</v>
      </c>
      <c r="Y428" s="25">
        <v>114031</v>
      </c>
      <c r="Z428" s="26" t="s">
        <v>482</v>
      </c>
      <c r="AA428" s="4">
        <v>1</v>
      </c>
      <c r="AB428" s="4">
        <v>0</v>
      </c>
      <c r="AC428" s="4"/>
      <c r="AD428" s="4">
        <f t="shared" si="278"/>
        <v>1951.4880000000001</v>
      </c>
      <c r="AF428" s="1" t="str">
        <f t="shared" si="279"/>
        <v>3</v>
      </c>
      <c r="AG428">
        <v>1</v>
      </c>
      <c r="AH428">
        <f t="shared" si="280"/>
        <v>83.2</v>
      </c>
      <c r="AI428">
        <f t="shared" si="281"/>
        <v>8.32</v>
      </c>
      <c r="AJ428">
        <f t="shared" si="282"/>
        <v>800</v>
      </c>
      <c r="AK428">
        <f t="shared" si="283"/>
        <v>80</v>
      </c>
      <c r="AL428">
        <f t="shared" si="284"/>
        <v>8.32</v>
      </c>
      <c r="AM428">
        <f t="shared" si="285"/>
        <v>0.83200000000000007</v>
      </c>
      <c r="AN428">
        <f t="shared" si="286"/>
        <v>1.3</v>
      </c>
      <c r="AO428">
        <f t="shared" si="287"/>
        <v>1.9</v>
      </c>
      <c r="AP428">
        <f t="shared" si="288"/>
        <v>6</v>
      </c>
      <c r="AQ428">
        <v>403</v>
      </c>
      <c r="AR428">
        <v>1</v>
      </c>
      <c r="BO428" t="s">
        <v>136</v>
      </c>
      <c r="BP428" t="str">
        <f t="shared" ref="BP428" si="289">RIGHT(BO428,1)</f>
        <v>1</v>
      </c>
    </row>
    <row r="429" spans="1:68" x14ac:dyDescent="0.15">
      <c r="A429">
        <f t="shared" si="268"/>
        <v>1205011</v>
      </c>
      <c r="B429" s="6" t="s">
        <v>247</v>
      </c>
      <c r="C429">
        <v>1</v>
      </c>
      <c r="D429">
        <v>2</v>
      </c>
      <c r="E429">
        <v>1</v>
      </c>
      <c r="F429" s="22" t="s">
        <v>734</v>
      </c>
      <c r="G429" s="29" t="s">
        <v>735</v>
      </c>
      <c r="H429">
        <v>0</v>
      </c>
      <c r="I429" s="2">
        <v>0</v>
      </c>
      <c r="J429" s="2">
        <f t="shared" si="269"/>
        <v>3</v>
      </c>
      <c r="K429" s="2">
        <f t="shared" si="270"/>
        <v>1.8</v>
      </c>
      <c r="L429" s="2">
        <f t="shared" si="271"/>
        <v>2</v>
      </c>
      <c r="M429" s="2">
        <v>10</v>
      </c>
      <c r="N429" s="2">
        <f t="shared" si="272"/>
        <v>86.4</v>
      </c>
      <c r="O429" s="2">
        <f t="shared" si="273"/>
        <v>8.64</v>
      </c>
      <c r="P429" s="2">
        <f t="shared" si="274"/>
        <v>1066.67</v>
      </c>
      <c r="Q429" s="2">
        <f t="shared" si="275"/>
        <v>106.67</v>
      </c>
      <c r="R429" s="2">
        <f t="shared" si="276"/>
        <v>17.28</v>
      </c>
      <c r="S429" s="2">
        <f t="shared" si="277"/>
        <v>1.73</v>
      </c>
      <c r="T429" s="2">
        <v>0</v>
      </c>
      <c r="U429" s="2">
        <v>0</v>
      </c>
      <c r="V429" s="2">
        <v>0</v>
      </c>
      <c r="W429" s="2">
        <v>-10</v>
      </c>
      <c r="X429" s="2">
        <v>0</v>
      </c>
      <c r="Y429" s="25">
        <v>122051</v>
      </c>
      <c r="Z429" s="26" t="s">
        <v>482</v>
      </c>
      <c r="AA429" s="4">
        <v>1</v>
      </c>
      <c r="AB429" s="4">
        <v>0</v>
      </c>
      <c r="AC429" s="4"/>
      <c r="AD429" s="4">
        <f t="shared" si="278"/>
        <v>1951.5439944</v>
      </c>
      <c r="AF429" s="1" t="str">
        <f t="shared" si="279"/>
        <v>5</v>
      </c>
      <c r="AG429">
        <v>1</v>
      </c>
      <c r="AH429">
        <f t="shared" si="280"/>
        <v>86.4</v>
      </c>
      <c r="AI429">
        <f t="shared" si="281"/>
        <v>8.64</v>
      </c>
      <c r="AJ429">
        <f t="shared" si="282"/>
        <v>1066.6666666666667</v>
      </c>
      <c r="AK429">
        <f t="shared" si="283"/>
        <v>106.66666666666669</v>
      </c>
      <c r="AL429">
        <f t="shared" si="284"/>
        <v>17.28</v>
      </c>
      <c r="AM429">
        <f t="shared" si="285"/>
        <v>1.7280000000000002</v>
      </c>
      <c r="AN429">
        <f t="shared" si="286"/>
        <v>1.8</v>
      </c>
      <c r="AO429">
        <f t="shared" si="287"/>
        <v>2</v>
      </c>
      <c r="AP429">
        <f t="shared" si="288"/>
        <v>3</v>
      </c>
      <c r="AQ429">
        <v>205</v>
      </c>
      <c r="AR429">
        <v>1</v>
      </c>
    </row>
    <row r="430" spans="1:68" x14ac:dyDescent="0.15">
      <c r="A430">
        <f t="shared" si="268"/>
        <v>1405011</v>
      </c>
      <c r="B430" s="6" t="s">
        <v>250</v>
      </c>
      <c r="C430">
        <v>1</v>
      </c>
      <c r="D430">
        <v>4</v>
      </c>
      <c r="E430">
        <v>1</v>
      </c>
      <c r="F430" s="22" t="s">
        <v>736</v>
      </c>
      <c r="G430" s="22" t="s">
        <v>737</v>
      </c>
      <c r="H430">
        <v>0</v>
      </c>
      <c r="I430" s="2" t="s">
        <v>103</v>
      </c>
      <c r="J430" s="2">
        <f t="shared" si="269"/>
        <v>6</v>
      </c>
      <c r="K430" s="2">
        <f t="shared" si="270"/>
        <v>1.5</v>
      </c>
      <c r="L430" s="2">
        <f t="shared" si="271"/>
        <v>1.5</v>
      </c>
      <c r="M430" s="2">
        <v>10</v>
      </c>
      <c r="N430" s="2">
        <f t="shared" si="272"/>
        <v>100</v>
      </c>
      <c r="O430" s="2">
        <f t="shared" si="273"/>
        <v>10</v>
      </c>
      <c r="P430" s="2">
        <f t="shared" si="274"/>
        <v>768</v>
      </c>
      <c r="Q430" s="2">
        <f t="shared" si="275"/>
        <v>76.8</v>
      </c>
      <c r="R430" s="2">
        <f t="shared" si="276"/>
        <v>10</v>
      </c>
      <c r="S430" s="2">
        <f t="shared" si="277"/>
        <v>1</v>
      </c>
      <c r="T430" s="2">
        <v>0</v>
      </c>
      <c r="U430" s="2">
        <v>0</v>
      </c>
      <c r="V430" s="2">
        <v>0</v>
      </c>
      <c r="W430" s="2">
        <v>-10</v>
      </c>
      <c r="X430" s="2">
        <v>0</v>
      </c>
      <c r="Y430" s="25">
        <v>124051</v>
      </c>
      <c r="Z430" s="26" t="s">
        <v>482</v>
      </c>
      <c r="AA430" s="4">
        <v>1</v>
      </c>
      <c r="AB430" s="4">
        <v>0</v>
      </c>
      <c r="AC430" s="4"/>
      <c r="AD430" s="4">
        <f t="shared" si="278"/>
        <v>1951.4880000000001</v>
      </c>
      <c r="AF430" s="1" t="str">
        <f t="shared" si="279"/>
        <v>5</v>
      </c>
      <c r="AG430">
        <v>1</v>
      </c>
      <c r="AH430">
        <f t="shared" si="280"/>
        <v>100</v>
      </c>
      <c r="AI430">
        <f t="shared" si="281"/>
        <v>10</v>
      </c>
      <c r="AJ430">
        <f t="shared" si="282"/>
        <v>768</v>
      </c>
      <c r="AK430">
        <f t="shared" si="283"/>
        <v>76.800000000000011</v>
      </c>
      <c r="AL430">
        <f t="shared" si="284"/>
        <v>10</v>
      </c>
      <c r="AM430">
        <f t="shared" si="285"/>
        <v>1</v>
      </c>
      <c r="AN430">
        <f t="shared" si="286"/>
        <v>1.5</v>
      </c>
      <c r="AO430">
        <f t="shared" si="287"/>
        <v>1.5</v>
      </c>
      <c r="AP430">
        <f t="shared" si="288"/>
        <v>6</v>
      </c>
      <c r="AQ430">
        <v>405</v>
      </c>
      <c r="AR430">
        <v>1</v>
      </c>
      <c r="BO430" t="s">
        <v>186</v>
      </c>
      <c r="BP430" t="str">
        <f>RIGHT(BO430,1)</f>
        <v>0</v>
      </c>
    </row>
    <row r="431" spans="1:68" x14ac:dyDescent="0.15">
      <c r="A431">
        <f t="shared" si="268"/>
        <v>1303011</v>
      </c>
      <c r="B431" s="6" t="s">
        <v>253</v>
      </c>
      <c r="C431">
        <v>1</v>
      </c>
      <c r="D431">
        <v>3</v>
      </c>
      <c r="E431">
        <v>1</v>
      </c>
      <c r="F431" s="22" t="s">
        <v>730</v>
      </c>
      <c r="G431" s="22" t="s">
        <v>731</v>
      </c>
      <c r="H431" s="2">
        <v>0</v>
      </c>
      <c r="I431" s="2">
        <v>0</v>
      </c>
      <c r="J431" s="2">
        <f t="shared" si="269"/>
        <v>3</v>
      </c>
      <c r="K431" s="2">
        <f t="shared" si="270"/>
        <v>1.3</v>
      </c>
      <c r="L431" s="2">
        <f t="shared" si="271"/>
        <v>1.4000000000000001</v>
      </c>
      <c r="M431" s="2">
        <v>10</v>
      </c>
      <c r="N431" s="2">
        <f t="shared" si="272"/>
        <v>76.27</v>
      </c>
      <c r="O431" s="2">
        <f t="shared" si="273"/>
        <v>7.63</v>
      </c>
      <c r="P431" s="2">
        <f t="shared" si="274"/>
        <v>872.73</v>
      </c>
      <c r="Q431" s="2">
        <f t="shared" si="275"/>
        <v>87.27</v>
      </c>
      <c r="R431" s="2">
        <f t="shared" si="276"/>
        <v>9.5299999999999994</v>
      </c>
      <c r="S431" s="2">
        <f t="shared" si="277"/>
        <v>0.95</v>
      </c>
      <c r="T431" s="2">
        <v>0</v>
      </c>
      <c r="U431" s="2">
        <v>0</v>
      </c>
      <c r="V431" s="2">
        <v>0</v>
      </c>
      <c r="W431" s="2">
        <v>-10</v>
      </c>
      <c r="X431" s="2">
        <v>0</v>
      </c>
      <c r="Y431" s="25">
        <v>133031</v>
      </c>
      <c r="Z431" s="26" t="s">
        <v>482</v>
      </c>
      <c r="AA431" s="4">
        <v>1</v>
      </c>
      <c r="AB431" s="4">
        <v>0</v>
      </c>
      <c r="AC431" s="4"/>
      <c r="AD431" s="4">
        <f t="shared" si="278"/>
        <v>1952.2162308357688</v>
      </c>
      <c r="AF431" s="1" t="str">
        <f t="shared" si="279"/>
        <v>3</v>
      </c>
      <c r="AG431">
        <v>1</v>
      </c>
      <c r="AH431">
        <f t="shared" si="280"/>
        <v>76.26666666666668</v>
      </c>
      <c r="AI431">
        <f t="shared" si="281"/>
        <v>7.6266666666666687</v>
      </c>
      <c r="AJ431">
        <f t="shared" si="282"/>
        <v>872.72727272727275</v>
      </c>
      <c r="AK431">
        <f t="shared" si="283"/>
        <v>87.27272727272728</v>
      </c>
      <c r="AL431">
        <f t="shared" si="284"/>
        <v>9.533333333333335</v>
      </c>
      <c r="AM431">
        <f t="shared" si="285"/>
        <v>0.95333333333333359</v>
      </c>
      <c r="AN431">
        <f t="shared" si="286"/>
        <v>1.3</v>
      </c>
      <c r="AO431">
        <f t="shared" si="287"/>
        <v>1.4</v>
      </c>
      <c r="AP431">
        <f t="shared" si="288"/>
        <v>3</v>
      </c>
      <c r="AQ431">
        <v>303</v>
      </c>
      <c r="AR431">
        <v>1</v>
      </c>
      <c r="BO431" t="s">
        <v>176</v>
      </c>
      <c r="BP431" t="str">
        <f>RIGHT(BO431,1)</f>
        <v>2</v>
      </c>
    </row>
    <row r="432" spans="1:68" x14ac:dyDescent="0.15">
      <c r="A432">
        <f t="shared" si="268"/>
        <v>1504011</v>
      </c>
      <c r="B432" s="6" t="s">
        <v>256</v>
      </c>
      <c r="C432">
        <v>1</v>
      </c>
      <c r="D432">
        <v>5</v>
      </c>
      <c r="E432">
        <v>1</v>
      </c>
      <c r="F432" s="22" t="s">
        <v>732</v>
      </c>
      <c r="G432" s="22" t="s">
        <v>733</v>
      </c>
      <c r="H432">
        <v>0</v>
      </c>
      <c r="I432" s="2">
        <v>0</v>
      </c>
      <c r="J432" s="2">
        <f t="shared" si="269"/>
        <v>3</v>
      </c>
      <c r="K432" s="2">
        <f t="shared" si="270"/>
        <v>1.8</v>
      </c>
      <c r="L432" s="2">
        <f t="shared" si="271"/>
        <v>1.5</v>
      </c>
      <c r="M432" s="2">
        <v>10</v>
      </c>
      <c r="N432" s="2">
        <f t="shared" si="272"/>
        <v>105.6</v>
      </c>
      <c r="O432" s="2">
        <f t="shared" si="273"/>
        <v>10.56</v>
      </c>
      <c r="P432" s="2">
        <f t="shared" si="274"/>
        <v>872.73</v>
      </c>
      <c r="Q432" s="2">
        <f t="shared" si="275"/>
        <v>87.27</v>
      </c>
      <c r="R432" s="2">
        <f t="shared" si="276"/>
        <v>17.600000000000001</v>
      </c>
      <c r="S432" s="2">
        <f t="shared" si="277"/>
        <v>1.76</v>
      </c>
      <c r="T432" s="2">
        <v>0</v>
      </c>
      <c r="U432" s="2">
        <v>0</v>
      </c>
      <c r="V432" s="2">
        <v>0</v>
      </c>
      <c r="W432" s="2">
        <v>-10</v>
      </c>
      <c r="X432" s="2">
        <v>0</v>
      </c>
      <c r="Y432" s="25">
        <v>135041</v>
      </c>
      <c r="Z432" s="26" t="s">
        <v>482</v>
      </c>
      <c r="AA432" s="4">
        <v>1</v>
      </c>
      <c r="AB432" s="4">
        <v>0.5</v>
      </c>
      <c r="AC432" s="4"/>
      <c r="AD432" s="4">
        <f t="shared" si="278"/>
        <v>1951.4331143999993</v>
      </c>
      <c r="AF432" s="1" t="str">
        <f t="shared" si="279"/>
        <v>4</v>
      </c>
      <c r="AG432">
        <v>1</v>
      </c>
      <c r="AH432">
        <f t="shared" si="280"/>
        <v>105.60000000000001</v>
      </c>
      <c r="AI432">
        <f t="shared" si="281"/>
        <v>10.560000000000002</v>
      </c>
      <c r="AJ432">
        <f t="shared" si="282"/>
        <v>872.72727272727275</v>
      </c>
      <c r="AK432">
        <f t="shared" si="283"/>
        <v>87.27272727272728</v>
      </c>
      <c r="AL432">
        <f t="shared" si="284"/>
        <v>17.600000000000001</v>
      </c>
      <c r="AM432">
        <f t="shared" si="285"/>
        <v>1.7600000000000002</v>
      </c>
      <c r="AN432">
        <f t="shared" si="286"/>
        <v>1.8</v>
      </c>
      <c r="AO432">
        <f t="shared" si="287"/>
        <v>1.5</v>
      </c>
      <c r="AP432">
        <f t="shared" si="288"/>
        <v>3</v>
      </c>
      <c r="AQ432">
        <v>504</v>
      </c>
      <c r="AR432">
        <v>1</v>
      </c>
      <c r="BO432" t="s">
        <v>165</v>
      </c>
      <c r="BP432" t="str">
        <f>RIGHT(BO432,1)</f>
        <v>2</v>
      </c>
    </row>
    <row r="433" spans="1:68" x14ac:dyDescent="0.15">
      <c r="A433">
        <f t="shared" si="268"/>
        <v>1206011</v>
      </c>
      <c r="B433" s="21" t="s">
        <v>259</v>
      </c>
      <c r="C433">
        <v>1</v>
      </c>
      <c r="D433">
        <v>2</v>
      </c>
      <c r="E433">
        <v>1</v>
      </c>
      <c r="F433" s="6" t="s">
        <v>260</v>
      </c>
      <c r="G433" s="6" t="s">
        <v>261</v>
      </c>
      <c r="H433" s="2">
        <v>0</v>
      </c>
      <c r="I433" s="2">
        <v>0</v>
      </c>
      <c r="J433" s="2">
        <f t="shared" si="269"/>
        <v>3</v>
      </c>
      <c r="K433" s="2">
        <f t="shared" si="270"/>
        <v>1.6</v>
      </c>
      <c r="L433" s="2">
        <f t="shared" si="271"/>
        <v>2</v>
      </c>
      <c r="M433" s="2">
        <v>10</v>
      </c>
      <c r="N433" s="2">
        <f t="shared" si="272"/>
        <v>76.8</v>
      </c>
      <c r="O433" s="2">
        <f t="shared" si="273"/>
        <v>7.68</v>
      </c>
      <c r="P433" s="2">
        <f t="shared" si="274"/>
        <v>1066.67</v>
      </c>
      <c r="Q433" s="2">
        <f t="shared" si="275"/>
        <v>106.67</v>
      </c>
      <c r="R433" s="2">
        <f t="shared" si="276"/>
        <v>15.36</v>
      </c>
      <c r="S433" s="2">
        <f t="shared" si="277"/>
        <v>1.54</v>
      </c>
      <c r="T433" s="2">
        <v>0</v>
      </c>
      <c r="U433" s="2">
        <v>0</v>
      </c>
      <c r="V433" s="2">
        <v>0</v>
      </c>
      <c r="W433" s="2">
        <v>-10</v>
      </c>
      <c r="X433" s="2">
        <v>0</v>
      </c>
      <c r="Y433" s="25">
        <v>212061</v>
      </c>
      <c r="Z433" s="26" t="s">
        <v>482</v>
      </c>
      <c r="AA433" s="4">
        <v>1</v>
      </c>
      <c r="AB433" s="4">
        <v>0</v>
      </c>
      <c r="AC433" s="4"/>
      <c r="AD433" s="4">
        <f t="shared" si="278"/>
        <v>1951.5439943999995</v>
      </c>
      <c r="AF433" s="1" t="str">
        <f t="shared" si="279"/>
        <v>6</v>
      </c>
      <c r="AG433">
        <v>1</v>
      </c>
      <c r="AH433">
        <f t="shared" si="280"/>
        <v>76.800000000000011</v>
      </c>
      <c r="AI433">
        <f t="shared" si="281"/>
        <v>7.6800000000000015</v>
      </c>
      <c r="AJ433">
        <f t="shared" si="282"/>
        <v>1066.6666666666667</v>
      </c>
      <c r="AK433">
        <f t="shared" si="283"/>
        <v>106.66666666666669</v>
      </c>
      <c r="AL433">
        <f t="shared" si="284"/>
        <v>15.360000000000003</v>
      </c>
      <c r="AM433">
        <f t="shared" si="285"/>
        <v>1.5360000000000005</v>
      </c>
      <c r="AN433">
        <f t="shared" si="286"/>
        <v>1.6</v>
      </c>
      <c r="AO433">
        <f t="shared" si="287"/>
        <v>2</v>
      </c>
      <c r="AP433">
        <f t="shared" si="288"/>
        <v>3</v>
      </c>
      <c r="AQ433">
        <v>206</v>
      </c>
      <c r="AR433">
        <v>1</v>
      </c>
    </row>
    <row r="434" spans="1:68" x14ac:dyDescent="0.15">
      <c r="A434">
        <f t="shared" si="268"/>
        <v>1406011</v>
      </c>
      <c r="B434" s="21" t="s">
        <v>262</v>
      </c>
      <c r="C434">
        <v>1</v>
      </c>
      <c r="D434">
        <v>4</v>
      </c>
      <c r="E434">
        <v>1</v>
      </c>
      <c r="F434" s="6" t="s">
        <v>263</v>
      </c>
      <c r="G434" s="6" t="s">
        <v>264</v>
      </c>
      <c r="H434" s="2">
        <v>0</v>
      </c>
      <c r="I434" s="2" t="s">
        <v>103</v>
      </c>
      <c r="J434" s="2">
        <f t="shared" si="269"/>
        <v>6</v>
      </c>
      <c r="K434" s="2">
        <f t="shared" si="270"/>
        <v>1.4000000000000001</v>
      </c>
      <c r="L434" s="2">
        <f t="shared" si="271"/>
        <v>1.2</v>
      </c>
      <c r="M434" s="2">
        <v>10</v>
      </c>
      <c r="N434" s="2">
        <f t="shared" si="272"/>
        <v>97.07</v>
      </c>
      <c r="O434" s="2">
        <f t="shared" si="273"/>
        <v>9.7100000000000009</v>
      </c>
      <c r="P434" s="2">
        <f t="shared" si="274"/>
        <v>738.46</v>
      </c>
      <c r="Q434" s="2">
        <f t="shared" si="275"/>
        <v>73.849999999999994</v>
      </c>
      <c r="R434" s="2">
        <f t="shared" si="276"/>
        <v>9.7100000000000009</v>
      </c>
      <c r="S434" s="2">
        <f t="shared" si="277"/>
        <v>0.97</v>
      </c>
      <c r="T434" s="2">
        <v>0</v>
      </c>
      <c r="U434" s="2">
        <v>0</v>
      </c>
      <c r="V434" s="2">
        <v>0</v>
      </c>
      <c r="W434" s="2">
        <v>-10</v>
      </c>
      <c r="X434" s="2">
        <v>0</v>
      </c>
      <c r="Y434" s="25">
        <v>214061</v>
      </c>
      <c r="Z434" s="26" t="s">
        <v>482</v>
      </c>
      <c r="AA434" s="4">
        <v>1</v>
      </c>
      <c r="AB434" s="4">
        <v>0</v>
      </c>
      <c r="AC434" s="4"/>
      <c r="AD434" s="4">
        <f t="shared" si="278"/>
        <v>1952.1953824949996</v>
      </c>
      <c r="AF434" s="1" t="str">
        <f t="shared" si="279"/>
        <v>6</v>
      </c>
      <c r="AG434">
        <v>1</v>
      </c>
      <c r="AH434">
        <f t="shared" si="280"/>
        <v>97.066666666666649</v>
      </c>
      <c r="AI434">
        <f t="shared" si="281"/>
        <v>9.7066666666666652</v>
      </c>
      <c r="AJ434">
        <f t="shared" si="282"/>
        <v>738.46153846153834</v>
      </c>
      <c r="AK434">
        <f t="shared" si="283"/>
        <v>73.84615384615384</v>
      </c>
      <c r="AL434">
        <f t="shared" si="284"/>
        <v>9.7066666666666652</v>
      </c>
      <c r="AM434">
        <f t="shared" si="285"/>
        <v>0.97066666666666657</v>
      </c>
      <c r="AN434">
        <f t="shared" si="286"/>
        <v>1.4</v>
      </c>
      <c r="AO434">
        <f t="shared" si="287"/>
        <v>1.2</v>
      </c>
      <c r="AP434">
        <f t="shared" si="288"/>
        <v>6</v>
      </c>
      <c r="AQ434">
        <v>406</v>
      </c>
      <c r="AR434">
        <v>1</v>
      </c>
      <c r="BO434" t="s">
        <v>184</v>
      </c>
      <c r="BP434" t="str">
        <f>RIGHT(BO434,1)</f>
        <v>0</v>
      </c>
    </row>
    <row r="435" spans="1:68" x14ac:dyDescent="0.15">
      <c r="A435">
        <f t="shared" si="268"/>
        <v>1204011</v>
      </c>
      <c r="B435" s="21" t="s">
        <v>265</v>
      </c>
      <c r="C435">
        <v>1</v>
      </c>
      <c r="D435">
        <v>2</v>
      </c>
      <c r="E435">
        <v>1</v>
      </c>
      <c r="F435" s="22" t="s">
        <v>738</v>
      </c>
      <c r="G435" s="22" t="s">
        <v>739</v>
      </c>
      <c r="H435" s="2">
        <v>0</v>
      </c>
      <c r="I435" s="2">
        <v>0</v>
      </c>
      <c r="J435" s="2">
        <f t="shared" si="269"/>
        <v>3</v>
      </c>
      <c r="K435" s="2">
        <f t="shared" si="270"/>
        <v>1.4000000000000001</v>
      </c>
      <c r="L435" s="2">
        <f t="shared" si="271"/>
        <v>1.2</v>
      </c>
      <c r="M435" s="2">
        <v>10</v>
      </c>
      <c r="N435" s="2">
        <f t="shared" si="272"/>
        <v>67.2</v>
      </c>
      <c r="O435" s="2">
        <f t="shared" si="273"/>
        <v>6.72</v>
      </c>
      <c r="P435" s="2">
        <f t="shared" si="274"/>
        <v>1066.67</v>
      </c>
      <c r="Q435" s="2">
        <f t="shared" si="275"/>
        <v>106.67</v>
      </c>
      <c r="R435" s="2">
        <f t="shared" si="276"/>
        <v>13.44</v>
      </c>
      <c r="S435" s="2">
        <f t="shared" si="277"/>
        <v>1.34</v>
      </c>
      <c r="T435" s="2">
        <v>0</v>
      </c>
      <c r="U435" s="2">
        <v>0</v>
      </c>
      <c r="V435" s="2">
        <v>0</v>
      </c>
      <c r="W435" s="2">
        <v>-10</v>
      </c>
      <c r="X435" s="2">
        <v>0</v>
      </c>
      <c r="Y435" s="25">
        <v>222041</v>
      </c>
      <c r="Z435" s="26" t="s">
        <v>482</v>
      </c>
      <c r="AA435" s="4">
        <v>1</v>
      </c>
      <c r="AB435" s="4">
        <v>0</v>
      </c>
      <c r="AC435" s="4"/>
      <c r="AD435" s="4">
        <f t="shared" si="278"/>
        <v>1951.5439944</v>
      </c>
      <c r="AF435" s="1" t="str">
        <f t="shared" si="279"/>
        <v>4</v>
      </c>
      <c r="AG435">
        <v>1</v>
      </c>
      <c r="AH435">
        <f t="shared" si="280"/>
        <v>67.2</v>
      </c>
      <c r="AI435">
        <f t="shared" si="281"/>
        <v>6.7200000000000006</v>
      </c>
      <c r="AJ435">
        <f t="shared" si="282"/>
        <v>1066.6666666666667</v>
      </c>
      <c r="AK435">
        <f t="shared" si="283"/>
        <v>106.66666666666669</v>
      </c>
      <c r="AL435">
        <f t="shared" si="284"/>
        <v>13.440000000000001</v>
      </c>
      <c r="AM435">
        <f t="shared" si="285"/>
        <v>1.3440000000000003</v>
      </c>
      <c r="AN435">
        <f t="shared" si="286"/>
        <v>1.4</v>
      </c>
      <c r="AO435">
        <f t="shared" si="287"/>
        <v>1.2</v>
      </c>
      <c r="AP435">
        <f t="shared" si="288"/>
        <v>3</v>
      </c>
      <c r="AQ435">
        <v>204</v>
      </c>
      <c r="AR435">
        <v>1</v>
      </c>
      <c r="BO435" t="s">
        <v>169</v>
      </c>
      <c r="BP435" t="str">
        <f>RIGHT(BO435,1)</f>
        <v>0</v>
      </c>
    </row>
    <row r="436" spans="1:68" x14ac:dyDescent="0.15">
      <c r="A436">
        <f t="shared" si="268"/>
        <v>1404011</v>
      </c>
      <c r="B436" s="21" t="s">
        <v>268</v>
      </c>
      <c r="C436">
        <v>1</v>
      </c>
      <c r="D436">
        <v>4</v>
      </c>
      <c r="E436">
        <v>1</v>
      </c>
      <c r="F436" s="22" t="s">
        <v>740</v>
      </c>
      <c r="G436" s="22" t="s">
        <v>741</v>
      </c>
      <c r="H436" s="2">
        <v>0</v>
      </c>
      <c r="I436" s="2" t="s">
        <v>103</v>
      </c>
      <c r="J436" s="2">
        <f t="shared" si="269"/>
        <v>6</v>
      </c>
      <c r="K436" s="2">
        <f t="shared" si="270"/>
        <v>1.6</v>
      </c>
      <c r="L436" s="2">
        <f t="shared" si="271"/>
        <v>1.9000000000000001</v>
      </c>
      <c r="M436" s="2">
        <v>10</v>
      </c>
      <c r="N436" s="2">
        <f t="shared" si="272"/>
        <v>110.93</v>
      </c>
      <c r="O436" s="2">
        <f t="shared" si="273"/>
        <v>11.09</v>
      </c>
      <c r="P436" s="2">
        <f t="shared" si="274"/>
        <v>738.46</v>
      </c>
      <c r="Q436" s="2">
        <f t="shared" si="275"/>
        <v>73.849999999999994</v>
      </c>
      <c r="R436" s="2">
        <f t="shared" si="276"/>
        <v>11.09</v>
      </c>
      <c r="S436" s="2">
        <f t="shared" si="277"/>
        <v>1.1100000000000001</v>
      </c>
      <c r="T436" s="2">
        <v>0</v>
      </c>
      <c r="U436" s="2">
        <v>0</v>
      </c>
      <c r="V436" s="2">
        <v>0</v>
      </c>
      <c r="W436" s="2">
        <v>-10</v>
      </c>
      <c r="X436" s="2">
        <v>0</v>
      </c>
      <c r="Y436" s="25">
        <v>224041</v>
      </c>
      <c r="Z436" s="26" t="s">
        <v>482</v>
      </c>
      <c r="AA436" s="4">
        <v>1</v>
      </c>
      <c r="AB436" s="4">
        <v>0</v>
      </c>
      <c r="AC436" s="4"/>
      <c r="AD436" s="4">
        <f t="shared" si="278"/>
        <v>1951.0415973168745</v>
      </c>
      <c r="AF436" s="1" t="str">
        <f t="shared" si="279"/>
        <v>4</v>
      </c>
      <c r="AG436">
        <v>1</v>
      </c>
      <c r="AH436">
        <f t="shared" si="280"/>
        <v>110.93333333333334</v>
      </c>
      <c r="AI436">
        <f t="shared" si="281"/>
        <v>11.093333333333334</v>
      </c>
      <c r="AJ436">
        <f t="shared" si="282"/>
        <v>738.46153846153834</v>
      </c>
      <c r="AK436">
        <f t="shared" si="283"/>
        <v>73.84615384615384</v>
      </c>
      <c r="AL436">
        <f t="shared" si="284"/>
        <v>11.093333333333334</v>
      </c>
      <c r="AM436">
        <f t="shared" si="285"/>
        <v>1.1093333333333335</v>
      </c>
      <c r="AN436">
        <f t="shared" si="286"/>
        <v>1.6</v>
      </c>
      <c r="AO436">
        <f t="shared" si="287"/>
        <v>1.9</v>
      </c>
      <c r="AP436">
        <f t="shared" si="288"/>
        <v>6</v>
      </c>
      <c r="AQ436">
        <v>404</v>
      </c>
      <c r="AR436">
        <v>1</v>
      </c>
    </row>
    <row r="437" spans="1:68" x14ac:dyDescent="0.15">
      <c r="A437">
        <f t="shared" si="268"/>
        <v>1503011</v>
      </c>
      <c r="B437" s="21" t="s">
        <v>271</v>
      </c>
      <c r="C437">
        <v>1</v>
      </c>
      <c r="D437">
        <v>5</v>
      </c>
      <c r="E437">
        <v>1</v>
      </c>
      <c r="F437" s="22" t="s">
        <v>742</v>
      </c>
      <c r="G437" s="22" t="s">
        <v>745</v>
      </c>
      <c r="H437" s="2">
        <v>0</v>
      </c>
      <c r="I437" s="2">
        <v>0</v>
      </c>
      <c r="J437" s="2">
        <f t="shared" si="269"/>
        <v>3</v>
      </c>
      <c r="K437" s="2">
        <f t="shared" si="270"/>
        <v>1.6</v>
      </c>
      <c r="L437" s="2">
        <f t="shared" si="271"/>
        <v>1.5</v>
      </c>
      <c r="M437" s="2">
        <v>10</v>
      </c>
      <c r="N437" s="2">
        <f t="shared" si="272"/>
        <v>102.4</v>
      </c>
      <c r="O437" s="2">
        <f t="shared" si="273"/>
        <v>10.24</v>
      </c>
      <c r="P437" s="2">
        <f t="shared" si="274"/>
        <v>800</v>
      </c>
      <c r="Q437" s="2">
        <f t="shared" si="275"/>
        <v>80</v>
      </c>
      <c r="R437" s="2">
        <f t="shared" si="276"/>
        <v>17.07</v>
      </c>
      <c r="S437" s="2">
        <f t="shared" si="277"/>
        <v>1.71</v>
      </c>
      <c r="T437" s="2">
        <v>0</v>
      </c>
      <c r="U437" s="2">
        <v>0</v>
      </c>
      <c r="V437" s="2">
        <v>0</v>
      </c>
      <c r="W437" s="2">
        <v>-10</v>
      </c>
      <c r="X437" s="2">
        <v>0</v>
      </c>
      <c r="Y437" s="25">
        <v>235031</v>
      </c>
      <c r="Z437" s="26" t="s">
        <v>482</v>
      </c>
      <c r="AA437" s="4">
        <v>1</v>
      </c>
      <c r="AB437" s="4">
        <v>0</v>
      </c>
      <c r="AC437" s="4"/>
      <c r="AD437" s="4">
        <f t="shared" si="278"/>
        <v>1951.4880000000001</v>
      </c>
      <c r="AF437" s="1" t="str">
        <f t="shared" si="279"/>
        <v>3</v>
      </c>
      <c r="AG437">
        <v>1</v>
      </c>
      <c r="AH437">
        <f t="shared" si="280"/>
        <v>102.4</v>
      </c>
      <c r="AI437">
        <f t="shared" si="281"/>
        <v>10.240000000000002</v>
      </c>
      <c r="AJ437">
        <f t="shared" si="282"/>
        <v>800</v>
      </c>
      <c r="AK437">
        <f t="shared" si="283"/>
        <v>80</v>
      </c>
      <c r="AL437">
        <f t="shared" si="284"/>
        <v>17.066666666666666</v>
      </c>
      <c r="AM437">
        <f t="shared" si="285"/>
        <v>1.7066666666666668</v>
      </c>
      <c r="AN437">
        <f t="shared" si="286"/>
        <v>1.6</v>
      </c>
      <c r="AO437">
        <f t="shared" si="287"/>
        <v>1.5</v>
      </c>
      <c r="AP437">
        <f t="shared" si="288"/>
        <v>3</v>
      </c>
      <c r="AQ437">
        <v>503</v>
      </c>
      <c r="AR437">
        <v>1</v>
      </c>
      <c r="BO437" t="s">
        <v>182</v>
      </c>
      <c r="BP437" t="str">
        <f>RIGHT(BO437,1)</f>
        <v>2</v>
      </c>
    </row>
    <row r="438" spans="1:68" x14ac:dyDescent="0.15">
      <c r="A438">
        <f t="shared" si="268"/>
        <v>1304011</v>
      </c>
      <c r="B438" s="21" t="s">
        <v>274</v>
      </c>
      <c r="C438">
        <v>1</v>
      </c>
      <c r="D438">
        <v>3</v>
      </c>
      <c r="E438">
        <v>1</v>
      </c>
      <c r="F438" s="22" t="s">
        <v>743</v>
      </c>
      <c r="G438" s="22" t="s">
        <v>744</v>
      </c>
      <c r="H438">
        <v>0</v>
      </c>
      <c r="I438" s="2">
        <v>0</v>
      </c>
      <c r="J438" s="2">
        <f t="shared" si="269"/>
        <v>3</v>
      </c>
      <c r="K438" s="2">
        <f t="shared" si="270"/>
        <v>1.4000000000000001</v>
      </c>
      <c r="L438" s="2">
        <f t="shared" si="271"/>
        <v>2</v>
      </c>
      <c r="M438" s="2">
        <v>10</v>
      </c>
      <c r="N438" s="2">
        <f t="shared" si="272"/>
        <v>85.87</v>
      </c>
      <c r="O438" s="2">
        <f t="shared" si="273"/>
        <v>8.59</v>
      </c>
      <c r="P438" s="2">
        <f t="shared" si="274"/>
        <v>834.78</v>
      </c>
      <c r="Q438" s="2">
        <f t="shared" si="275"/>
        <v>83.48</v>
      </c>
      <c r="R438" s="2">
        <f t="shared" si="276"/>
        <v>10.73</v>
      </c>
      <c r="S438" s="2">
        <f t="shared" si="277"/>
        <v>1.07</v>
      </c>
      <c r="T438" s="2">
        <v>0</v>
      </c>
      <c r="U438" s="2">
        <v>0</v>
      </c>
      <c r="V438" s="2">
        <v>0</v>
      </c>
      <c r="W438" s="2">
        <v>-10</v>
      </c>
      <c r="X438" s="2">
        <v>0</v>
      </c>
      <c r="Y438" s="25">
        <v>233041</v>
      </c>
      <c r="Z438" s="26" t="s">
        <v>482</v>
      </c>
      <c r="AA438" s="4">
        <v>1</v>
      </c>
      <c r="AB438" s="4">
        <v>0</v>
      </c>
      <c r="AC438" s="4"/>
      <c r="AD438" s="4">
        <f t="shared" si="278"/>
        <v>1952.220001185</v>
      </c>
      <c r="AF438" s="1" t="str">
        <f t="shared" si="279"/>
        <v>4</v>
      </c>
      <c r="AG438">
        <v>1</v>
      </c>
      <c r="AH438">
        <f t="shared" si="280"/>
        <v>85.86666666666666</v>
      </c>
      <c r="AI438">
        <f t="shared" si="281"/>
        <v>8.586666666666666</v>
      </c>
      <c r="AJ438">
        <f t="shared" si="282"/>
        <v>834.78260869565224</v>
      </c>
      <c r="AK438">
        <f t="shared" si="283"/>
        <v>83.478260869565233</v>
      </c>
      <c r="AL438">
        <f t="shared" si="284"/>
        <v>10.733333333333333</v>
      </c>
      <c r="AM438">
        <f t="shared" si="285"/>
        <v>1.0733333333333333</v>
      </c>
      <c r="AN438">
        <f t="shared" si="286"/>
        <v>1.4</v>
      </c>
      <c r="AO438">
        <f t="shared" si="287"/>
        <v>2</v>
      </c>
      <c r="AP438">
        <f t="shared" si="288"/>
        <v>3</v>
      </c>
      <c r="AQ438">
        <v>304</v>
      </c>
      <c r="AR438">
        <v>1</v>
      </c>
      <c r="BO438" t="s">
        <v>178</v>
      </c>
      <c r="BP438" t="str">
        <f>RIGHT(BO438,1)</f>
        <v>2</v>
      </c>
    </row>
    <row r="439" spans="1:68" x14ac:dyDescent="0.15">
      <c r="A439">
        <f t="shared" ref="A439:A462" si="290">AR439*1000000+AQ439*1000+C439*10+E439</f>
        <v>1203012</v>
      </c>
      <c r="B439" s="6" t="s">
        <v>241</v>
      </c>
      <c r="C439">
        <v>1</v>
      </c>
      <c r="D439">
        <v>2</v>
      </c>
      <c r="E439">
        <v>2</v>
      </c>
      <c r="F439" s="6" t="s">
        <v>242</v>
      </c>
      <c r="G439" s="20" t="s">
        <v>243</v>
      </c>
      <c r="H439">
        <v>0</v>
      </c>
      <c r="I439" s="2">
        <v>0</v>
      </c>
      <c r="J439" s="2">
        <f t="shared" si="269"/>
        <v>3</v>
      </c>
      <c r="K439" s="2">
        <f t="shared" si="270"/>
        <v>1.3</v>
      </c>
      <c r="L439" s="2">
        <f t="shared" si="271"/>
        <v>1.9000000000000001</v>
      </c>
      <c r="M439" s="2">
        <v>10</v>
      </c>
      <c r="N439" s="2">
        <f t="shared" si="272"/>
        <v>62.4</v>
      </c>
      <c r="O439" s="2">
        <f t="shared" si="273"/>
        <v>6.24</v>
      </c>
      <c r="P439" s="2">
        <f t="shared" si="274"/>
        <v>1066.67</v>
      </c>
      <c r="Q439" s="2">
        <f t="shared" si="275"/>
        <v>106.67</v>
      </c>
      <c r="R439" s="2">
        <f t="shared" si="276"/>
        <v>12.48</v>
      </c>
      <c r="S439" s="2">
        <f t="shared" si="277"/>
        <v>1.25</v>
      </c>
      <c r="T439" s="2">
        <v>0</v>
      </c>
      <c r="U439" s="2">
        <v>0</v>
      </c>
      <c r="V439" s="2">
        <v>0</v>
      </c>
      <c r="W439" s="2">
        <v>-10</v>
      </c>
      <c r="X439" s="2">
        <v>0</v>
      </c>
      <c r="Y439" s="25">
        <v>112031</v>
      </c>
      <c r="Z439" s="26" t="s">
        <v>482</v>
      </c>
      <c r="AA439" s="4">
        <v>1</v>
      </c>
      <c r="AB439" s="4">
        <v>0</v>
      </c>
      <c r="AC439" s="4"/>
      <c r="AD439" s="4">
        <f t="shared" ref="AD439:AD462" si="291">(N439+O439*$AD$2)*(P439+Q439*$AD$2)/K439*0.945/3000</f>
        <v>1951.5439944</v>
      </c>
      <c r="AF439" s="1" t="str">
        <f t="shared" ref="AF439:AF462" si="292">RIGHT(AQ439,1)</f>
        <v>3</v>
      </c>
      <c r="AG439">
        <v>1</v>
      </c>
      <c r="AH439">
        <f t="shared" si="280"/>
        <v>62.400000000000013</v>
      </c>
      <c r="AI439">
        <f t="shared" si="281"/>
        <v>6.240000000000002</v>
      </c>
      <c r="AJ439">
        <f t="shared" si="282"/>
        <v>1066.6666666666667</v>
      </c>
      <c r="AK439">
        <f t="shared" si="283"/>
        <v>106.66666666666669</v>
      </c>
      <c r="AL439">
        <f t="shared" si="284"/>
        <v>12.480000000000002</v>
      </c>
      <c r="AM439">
        <f t="shared" si="285"/>
        <v>1.2480000000000002</v>
      </c>
      <c r="AN439">
        <f t="shared" si="286"/>
        <v>1.3</v>
      </c>
      <c r="AO439">
        <f t="shared" si="287"/>
        <v>1.9</v>
      </c>
      <c r="AP439">
        <f t="shared" si="288"/>
        <v>3</v>
      </c>
      <c r="AQ439">
        <v>203</v>
      </c>
      <c r="AR439">
        <v>1</v>
      </c>
      <c r="BO439" t="s">
        <v>178</v>
      </c>
      <c r="BP439" t="str">
        <f>RIGHT(BO439,1)</f>
        <v>2</v>
      </c>
    </row>
    <row r="440" spans="1:68" x14ac:dyDescent="0.15">
      <c r="A440">
        <f t="shared" si="290"/>
        <v>1403012</v>
      </c>
      <c r="B440" s="6" t="s">
        <v>244</v>
      </c>
      <c r="C440">
        <v>1</v>
      </c>
      <c r="D440">
        <v>4</v>
      </c>
      <c r="E440">
        <v>2</v>
      </c>
      <c r="F440" s="6" t="s">
        <v>245</v>
      </c>
      <c r="G440" s="20" t="s">
        <v>246</v>
      </c>
      <c r="H440" s="2">
        <v>0</v>
      </c>
      <c r="I440" s="2" t="s">
        <v>106</v>
      </c>
      <c r="J440" s="2">
        <f t="shared" si="269"/>
        <v>6</v>
      </c>
      <c r="K440" s="2">
        <f t="shared" si="270"/>
        <v>1.3</v>
      </c>
      <c r="L440" s="2">
        <f t="shared" si="271"/>
        <v>1.9000000000000001</v>
      </c>
      <c r="M440" s="2">
        <v>10</v>
      </c>
      <c r="N440" s="2">
        <f t="shared" si="272"/>
        <v>83.2</v>
      </c>
      <c r="O440" s="2">
        <f t="shared" si="273"/>
        <v>8.32</v>
      </c>
      <c r="P440" s="2">
        <f t="shared" si="274"/>
        <v>800</v>
      </c>
      <c r="Q440" s="2">
        <f t="shared" si="275"/>
        <v>80</v>
      </c>
      <c r="R440" s="2">
        <f t="shared" si="276"/>
        <v>8.32</v>
      </c>
      <c r="S440" s="2">
        <f t="shared" si="277"/>
        <v>0.83</v>
      </c>
      <c r="T440" s="2">
        <v>0</v>
      </c>
      <c r="U440" s="2">
        <v>0</v>
      </c>
      <c r="V440" s="2">
        <v>0</v>
      </c>
      <c r="W440" s="2">
        <v>-10</v>
      </c>
      <c r="X440" s="2">
        <v>0</v>
      </c>
      <c r="Y440" s="25">
        <v>114031</v>
      </c>
      <c r="Z440" s="26" t="s">
        <v>482</v>
      </c>
      <c r="AA440" s="4">
        <v>1</v>
      </c>
      <c r="AB440" s="4">
        <v>0</v>
      </c>
      <c r="AC440" s="4"/>
      <c r="AD440" s="4">
        <f t="shared" si="291"/>
        <v>1951.4880000000001</v>
      </c>
      <c r="AF440" s="1" t="str">
        <f t="shared" si="292"/>
        <v>3</v>
      </c>
      <c r="AG440">
        <v>1</v>
      </c>
      <c r="AH440">
        <f t="shared" si="280"/>
        <v>83.2</v>
      </c>
      <c r="AI440">
        <f t="shared" si="281"/>
        <v>8.32</v>
      </c>
      <c r="AJ440">
        <f t="shared" si="282"/>
        <v>800</v>
      </c>
      <c r="AK440">
        <f t="shared" si="283"/>
        <v>80</v>
      </c>
      <c r="AL440">
        <f t="shared" si="284"/>
        <v>8.32</v>
      </c>
      <c r="AM440">
        <f t="shared" si="285"/>
        <v>0.83200000000000007</v>
      </c>
      <c r="AN440">
        <f t="shared" si="286"/>
        <v>1.3</v>
      </c>
      <c r="AO440">
        <f t="shared" si="287"/>
        <v>1.9</v>
      </c>
      <c r="AP440">
        <f t="shared" si="288"/>
        <v>6</v>
      </c>
      <c r="AQ440">
        <v>403</v>
      </c>
      <c r="AR440">
        <v>1</v>
      </c>
      <c r="BO440" t="s">
        <v>188</v>
      </c>
      <c r="BP440" t="str">
        <f t="shared" ref="BP440:BP441" si="293">RIGHT(BO440,1)</f>
        <v>0</v>
      </c>
    </row>
    <row r="441" spans="1:68" x14ac:dyDescent="0.15">
      <c r="A441">
        <f t="shared" si="290"/>
        <v>1205012</v>
      </c>
      <c r="B441" s="6" t="s">
        <v>247</v>
      </c>
      <c r="C441">
        <v>1</v>
      </c>
      <c r="D441">
        <v>2</v>
      </c>
      <c r="E441">
        <v>2</v>
      </c>
      <c r="F441" s="22" t="s">
        <v>734</v>
      </c>
      <c r="G441" s="29" t="s">
        <v>735</v>
      </c>
      <c r="H441">
        <v>0</v>
      </c>
      <c r="I441" s="2">
        <v>0</v>
      </c>
      <c r="J441" s="2">
        <f t="shared" si="269"/>
        <v>3</v>
      </c>
      <c r="K441" s="2">
        <f t="shared" si="270"/>
        <v>1.8</v>
      </c>
      <c r="L441" s="2">
        <f t="shared" si="271"/>
        <v>2</v>
      </c>
      <c r="M441" s="2">
        <v>10</v>
      </c>
      <c r="N441" s="2">
        <f t="shared" si="272"/>
        <v>86.4</v>
      </c>
      <c r="O441" s="2">
        <f t="shared" si="273"/>
        <v>8.64</v>
      </c>
      <c r="P441" s="2">
        <f t="shared" si="274"/>
        <v>1066.67</v>
      </c>
      <c r="Q441" s="2">
        <f t="shared" si="275"/>
        <v>106.67</v>
      </c>
      <c r="R441" s="2">
        <f t="shared" si="276"/>
        <v>17.28</v>
      </c>
      <c r="S441" s="2">
        <f t="shared" si="277"/>
        <v>1.73</v>
      </c>
      <c r="T441" s="2">
        <v>0</v>
      </c>
      <c r="U441" s="2">
        <v>0</v>
      </c>
      <c r="V441" s="2">
        <v>0</v>
      </c>
      <c r="W441" s="2">
        <v>-10</v>
      </c>
      <c r="X441" s="2">
        <v>0</v>
      </c>
      <c r="Y441" s="25">
        <v>122051</v>
      </c>
      <c r="Z441" s="26" t="s">
        <v>482</v>
      </c>
      <c r="AA441" s="4">
        <v>1</v>
      </c>
      <c r="AB441" s="4">
        <v>0</v>
      </c>
      <c r="AC441" s="4"/>
      <c r="AD441" s="4">
        <f t="shared" si="291"/>
        <v>1951.5439944</v>
      </c>
      <c r="AF441" s="1" t="str">
        <f t="shared" si="292"/>
        <v>5</v>
      </c>
      <c r="AG441">
        <v>1</v>
      </c>
      <c r="AH441">
        <f t="shared" si="280"/>
        <v>86.4</v>
      </c>
      <c r="AI441">
        <f t="shared" si="281"/>
        <v>8.64</v>
      </c>
      <c r="AJ441">
        <f t="shared" si="282"/>
        <v>1066.6666666666667</v>
      </c>
      <c r="AK441">
        <f t="shared" si="283"/>
        <v>106.66666666666669</v>
      </c>
      <c r="AL441">
        <f t="shared" si="284"/>
        <v>17.28</v>
      </c>
      <c r="AM441">
        <f t="shared" si="285"/>
        <v>1.7280000000000002</v>
      </c>
      <c r="AN441">
        <f t="shared" si="286"/>
        <v>1.8</v>
      </c>
      <c r="AO441">
        <f t="shared" si="287"/>
        <v>2</v>
      </c>
      <c r="AP441">
        <f t="shared" si="288"/>
        <v>3</v>
      </c>
      <c r="AQ441">
        <v>205</v>
      </c>
      <c r="AR441">
        <v>1</v>
      </c>
      <c r="BO441" t="s">
        <v>171</v>
      </c>
      <c r="BP441" t="str">
        <f t="shared" si="293"/>
        <v>1</v>
      </c>
    </row>
    <row r="442" spans="1:68" x14ac:dyDescent="0.15">
      <c r="A442">
        <f t="shared" si="290"/>
        <v>1405012</v>
      </c>
      <c r="B442" s="6" t="s">
        <v>250</v>
      </c>
      <c r="C442">
        <v>1</v>
      </c>
      <c r="D442">
        <v>4</v>
      </c>
      <c r="E442">
        <v>2</v>
      </c>
      <c r="F442" s="22" t="s">
        <v>736</v>
      </c>
      <c r="G442" s="22" t="s">
        <v>737</v>
      </c>
      <c r="H442">
        <v>0</v>
      </c>
      <c r="I442" s="2" t="s">
        <v>106</v>
      </c>
      <c r="J442" s="2">
        <f t="shared" si="269"/>
        <v>6</v>
      </c>
      <c r="K442" s="2">
        <f t="shared" si="270"/>
        <v>1.5</v>
      </c>
      <c r="L442" s="2">
        <f t="shared" si="271"/>
        <v>1.5</v>
      </c>
      <c r="M442" s="2">
        <v>10</v>
      </c>
      <c r="N442" s="2">
        <f t="shared" si="272"/>
        <v>100</v>
      </c>
      <c r="O442" s="2">
        <f t="shared" si="273"/>
        <v>10</v>
      </c>
      <c r="P442" s="2">
        <f t="shared" si="274"/>
        <v>768</v>
      </c>
      <c r="Q442" s="2">
        <f t="shared" si="275"/>
        <v>76.8</v>
      </c>
      <c r="R442" s="2">
        <f t="shared" si="276"/>
        <v>10</v>
      </c>
      <c r="S442" s="2">
        <f t="shared" si="277"/>
        <v>1</v>
      </c>
      <c r="T442" s="2">
        <v>0</v>
      </c>
      <c r="U442" s="2">
        <v>0</v>
      </c>
      <c r="V442" s="2">
        <v>0</v>
      </c>
      <c r="W442" s="2">
        <v>-10</v>
      </c>
      <c r="X442" s="2">
        <v>0</v>
      </c>
      <c r="Y442" s="25">
        <v>124051</v>
      </c>
      <c r="Z442" s="26" t="s">
        <v>482</v>
      </c>
      <c r="AA442" s="4">
        <v>1</v>
      </c>
      <c r="AB442" s="4">
        <v>0</v>
      </c>
      <c r="AC442" s="4"/>
      <c r="AD442" s="4">
        <f t="shared" si="291"/>
        <v>1951.4880000000001</v>
      </c>
      <c r="AF442" s="1" t="str">
        <f t="shared" si="292"/>
        <v>5</v>
      </c>
      <c r="AG442">
        <v>1</v>
      </c>
      <c r="AH442">
        <f t="shared" si="280"/>
        <v>100</v>
      </c>
      <c r="AI442">
        <f t="shared" si="281"/>
        <v>10</v>
      </c>
      <c r="AJ442">
        <f t="shared" si="282"/>
        <v>768</v>
      </c>
      <c r="AK442">
        <f t="shared" si="283"/>
        <v>76.800000000000011</v>
      </c>
      <c r="AL442">
        <f t="shared" si="284"/>
        <v>10</v>
      </c>
      <c r="AM442">
        <f t="shared" si="285"/>
        <v>1</v>
      </c>
      <c r="AN442">
        <f t="shared" si="286"/>
        <v>1.5</v>
      </c>
      <c r="AO442">
        <f t="shared" si="287"/>
        <v>1.5</v>
      </c>
      <c r="AP442">
        <f t="shared" si="288"/>
        <v>6</v>
      </c>
      <c r="AQ442">
        <v>405</v>
      </c>
      <c r="AR442">
        <v>1</v>
      </c>
      <c r="BO442" t="s">
        <v>136</v>
      </c>
      <c r="BP442" t="str">
        <f t="shared" ref="BP442" si="294">RIGHT(BO442,1)</f>
        <v>1</v>
      </c>
    </row>
    <row r="443" spans="1:68" x14ac:dyDescent="0.15">
      <c r="A443">
        <f t="shared" si="290"/>
        <v>1303012</v>
      </c>
      <c r="B443" s="6" t="s">
        <v>253</v>
      </c>
      <c r="C443">
        <v>1</v>
      </c>
      <c r="D443">
        <v>3</v>
      </c>
      <c r="E443">
        <v>2</v>
      </c>
      <c r="F443" s="22" t="s">
        <v>730</v>
      </c>
      <c r="G443" s="22" t="s">
        <v>731</v>
      </c>
      <c r="H443" s="2">
        <v>0</v>
      </c>
      <c r="I443" s="2">
        <v>0</v>
      </c>
      <c r="J443" s="2">
        <f t="shared" si="269"/>
        <v>3</v>
      </c>
      <c r="K443" s="2">
        <f t="shared" si="270"/>
        <v>1.3</v>
      </c>
      <c r="L443" s="2">
        <f t="shared" si="271"/>
        <v>1.4000000000000001</v>
      </c>
      <c r="M443" s="2">
        <v>10</v>
      </c>
      <c r="N443" s="2">
        <f t="shared" si="272"/>
        <v>76.27</v>
      </c>
      <c r="O443" s="2">
        <f t="shared" si="273"/>
        <v>7.63</v>
      </c>
      <c r="P443" s="2">
        <f t="shared" si="274"/>
        <v>872.73</v>
      </c>
      <c r="Q443" s="2">
        <f t="shared" si="275"/>
        <v>87.27</v>
      </c>
      <c r="R443" s="2">
        <f t="shared" si="276"/>
        <v>9.5299999999999994</v>
      </c>
      <c r="S443" s="2">
        <f t="shared" si="277"/>
        <v>0.95</v>
      </c>
      <c r="T443" s="2">
        <v>0</v>
      </c>
      <c r="U443" s="2">
        <v>0</v>
      </c>
      <c r="V443" s="2">
        <v>0</v>
      </c>
      <c r="W443" s="2">
        <v>-10</v>
      </c>
      <c r="X443" s="2">
        <v>0</v>
      </c>
      <c r="Y443" s="25">
        <v>133031</v>
      </c>
      <c r="Z443" s="26" t="s">
        <v>482</v>
      </c>
      <c r="AA443" s="4">
        <v>1</v>
      </c>
      <c r="AB443" s="4">
        <v>0</v>
      </c>
      <c r="AC443" s="4"/>
      <c r="AD443" s="4">
        <f t="shared" si="291"/>
        <v>1952.2162308357688</v>
      </c>
      <c r="AF443" s="1" t="str">
        <f t="shared" si="292"/>
        <v>3</v>
      </c>
      <c r="AG443">
        <v>1</v>
      </c>
      <c r="AH443">
        <f t="shared" si="280"/>
        <v>76.26666666666668</v>
      </c>
      <c r="AI443">
        <f t="shared" si="281"/>
        <v>7.6266666666666687</v>
      </c>
      <c r="AJ443">
        <f t="shared" si="282"/>
        <v>872.72727272727275</v>
      </c>
      <c r="AK443">
        <f t="shared" si="283"/>
        <v>87.27272727272728</v>
      </c>
      <c r="AL443">
        <f t="shared" si="284"/>
        <v>9.533333333333335</v>
      </c>
      <c r="AM443">
        <f t="shared" si="285"/>
        <v>0.95333333333333359</v>
      </c>
      <c r="AN443">
        <f t="shared" si="286"/>
        <v>1.3</v>
      </c>
      <c r="AO443">
        <f t="shared" si="287"/>
        <v>1.4</v>
      </c>
      <c r="AP443">
        <f t="shared" si="288"/>
        <v>3</v>
      </c>
      <c r="AQ443">
        <v>303</v>
      </c>
      <c r="AR443">
        <v>1</v>
      </c>
    </row>
    <row r="444" spans="1:68" x14ac:dyDescent="0.15">
      <c r="A444">
        <f t="shared" si="290"/>
        <v>1504012</v>
      </c>
      <c r="B444" s="6" t="s">
        <v>256</v>
      </c>
      <c r="C444">
        <v>1</v>
      </c>
      <c r="D444">
        <v>5</v>
      </c>
      <c r="E444">
        <v>2</v>
      </c>
      <c r="F444" s="22" t="s">
        <v>732</v>
      </c>
      <c r="G444" s="22" t="s">
        <v>733</v>
      </c>
      <c r="H444">
        <v>0</v>
      </c>
      <c r="I444" s="2">
        <v>0</v>
      </c>
      <c r="J444" s="2">
        <f t="shared" si="269"/>
        <v>3</v>
      </c>
      <c r="K444" s="2">
        <f t="shared" si="270"/>
        <v>1.8</v>
      </c>
      <c r="L444" s="2">
        <f t="shared" si="271"/>
        <v>1.5</v>
      </c>
      <c r="M444" s="2">
        <v>10</v>
      </c>
      <c r="N444" s="2">
        <f t="shared" si="272"/>
        <v>105.6</v>
      </c>
      <c r="O444" s="2">
        <f t="shared" si="273"/>
        <v>10.56</v>
      </c>
      <c r="P444" s="2">
        <f t="shared" si="274"/>
        <v>872.73</v>
      </c>
      <c r="Q444" s="2">
        <f t="shared" si="275"/>
        <v>87.27</v>
      </c>
      <c r="R444" s="2">
        <f t="shared" si="276"/>
        <v>17.600000000000001</v>
      </c>
      <c r="S444" s="2">
        <f t="shared" si="277"/>
        <v>1.76</v>
      </c>
      <c r="T444" s="2">
        <v>0</v>
      </c>
      <c r="U444" s="2">
        <v>0</v>
      </c>
      <c r="V444" s="2">
        <v>0</v>
      </c>
      <c r="W444" s="2">
        <v>-10</v>
      </c>
      <c r="X444" s="2">
        <v>0</v>
      </c>
      <c r="Y444" s="25">
        <v>135041</v>
      </c>
      <c r="Z444" s="26" t="s">
        <v>482</v>
      </c>
      <c r="AA444" s="4">
        <v>1</v>
      </c>
      <c r="AB444" s="4">
        <v>0.5</v>
      </c>
      <c r="AC444" s="4"/>
      <c r="AD444" s="4">
        <f t="shared" si="291"/>
        <v>1951.4331143999993</v>
      </c>
      <c r="AF444" s="1" t="str">
        <f t="shared" si="292"/>
        <v>4</v>
      </c>
      <c r="AG444">
        <v>1</v>
      </c>
      <c r="AH444">
        <f t="shared" si="280"/>
        <v>105.60000000000001</v>
      </c>
      <c r="AI444">
        <f t="shared" si="281"/>
        <v>10.560000000000002</v>
      </c>
      <c r="AJ444">
        <f t="shared" si="282"/>
        <v>872.72727272727275</v>
      </c>
      <c r="AK444">
        <f t="shared" si="283"/>
        <v>87.27272727272728</v>
      </c>
      <c r="AL444">
        <f t="shared" si="284"/>
        <v>17.600000000000001</v>
      </c>
      <c r="AM444">
        <f t="shared" si="285"/>
        <v>1.7600000000000002</v>
      </c>
      <c r="AN444">
        <f t="shared" si="286"/>
        <v>1.8</v>
      </c>
      <c r="AO444">
        <f t="shared" si="287"/>
        <v>1.5</v>
      </c>
      <c r="AP444">
        <f t="shared" si="288"/>
        <v>3</v>
      </c>
      <c r="AQ444">
        <v>504</v>
      </c>
      <c r="AR444">
        <v>1</v>
      </c>
      <c r="BO444" t="s">
        <v>186</v>
      </c>
      <c r="BP444" t="str">
        <f>RIGHT(BO444,1)</f>
        <v>0</v>
      </c>
    </row>
    <row r="445" spans="1:68" x14ac:dyDescent="0.15">
      <c r="A445">
        <f t="shared" si="290"/>
        <v>1206012</v>
      </c>
      <c r="B445" s="21" t="s">
        <v>259</v>
      </c>
      <c r="C445">
        <v>1</v>
      </c>
      <c r="D445">
        <v>2</v>
      </c>
      <c r="E445">
        <v>2</v>
      </c>
      <c r="F445" s="6" t="s">
        <v>260</v>
      </c>
      <c r="G445" s="6" t="s">
        <v>261</v>
      </c>
      <c r="H445" s="2">
        <v>0</v>
      </c>
      <c r="I445" s="2">
        <v>0</v>
      </c>
      <c r="J445" s="2">
        <f t="shared" si="269"/>
        <v>3</v>
      </c>
      <c r="K445" s="2">
        <f t="shared" si="270"/>
        <v>1.6</v>
      </c>
      <c r="L445" s="2">
        <f t="shared" si="271"/>
        <v>2</v>
      </c>
      <c r="M445" s="2">
        <v>10</v>
      </c>
      <c r="N445" s="2">
        <f t="shared" si="272"/>
        <v>76.8</v>
      </c>
      <c r="O445" s="2">
        <f t="shared" si="273"/>
        <v>7.68</v>
      </c>
      <c r="P445" s="2">
        <f t="shared" si="274"/>
        <v>1066.67</v>
      </c>
      <c r="Q445" s="2">
        <f t="shared" si="275"/>
        <v>106.67</v>
      </c>
      <c r="R445" s="2">
        <f t="shared" si="276"/>
        <v>15.36</v>
      </c>
      <c r="S445" s="2">
        <f t="shared" si="277"/>
        <v>1.54</v>
      </c>
      <c r="T445" s="2">
        <v>0</v>
      </c>
      <c r="U445" s="2">
        <v>0</v>
      </c>
      <c r="V445" s="2">
        <v>0</v>
      </c>
      <c r="W445" s="2">
        <v>-10</v>
      </c>
      <c r="X445" s="2">
        <v>0</v>
      </c>
      <c r="Y445" s="25">
        <v>212061</v>
      </c>
      <c r="Z445" s="26" t="s">
        <v>482</v>
      </c>
      <c r="AA445" s="4">
        <v>1</v>
      </c>
      <c r="AB445" s="4">
        <v>0</v>
      </c>
      <c r="AC445" s="4"/>
      <c r="AD445" s="4">
        <f t="shared" si="291"/>
        <v>1951.5439943999995</v>
      </c>
      <c r="AF445" s="1" t="str">
        <f t="shared" si="292"/>
        <v>6</v>
      </c>
      <c r="AG445">
        <v>1</v>
      </c>
      <c r="AH445">
        <f t="shared" si="280"/>
        <v>76.800000000000011</v>
      </c>
      <c r="AI445">
        <f t="shared" si="281"/>
        <v>7.6800000000000015</v>
      </c>
      <c r="AJ445">
        <f t="shared" si="282"/>
        <v>1066.6666666666667</v>
      </c>
      <c r="AK445">
        <f t="shared" si="283"/>
        <v>106.66666666666669</v>
      </c>
      <c r="AL445">
        <f t="shared" si="284"/>
        <v>15.360000000000003</v>
      </c>
      <c r="AM445">
        <f t="shared" si="285"/>
        <v>1.5360000000000005</v>
      </c>
      <c r="AN445">
        <f t="shared" si="286"/>
        <v>1.6</v>
      </c>
      <c r="AO445">
        <f t="shared" si="287"/>
        <v>2</v>
      </c>
      <c r="AP445">
        <f t="shared" si="288"/>
        <v>3</v>
      </c>
      <c r="AQ445">
        <v>206</v>
      </c>
      <c r="AR445">
        <v>1</v>
      </c>
      <c r="BO445" t="s">
        <v>176</v>
      </c>
      <c r="BP445" t="str">
        <f>RIGHT(BO445,1)</f>
        <v>2</v>
      </c>
    </row>
    <row r="446" spans="1:68" x14ac:dyDescent="0.15">
      <c r="A446">
        <f t="shared" si="290"/>
        <v>1406012</v>
      </c>
      <c r="B446" s="21" t="s">
        <v>262</v>
      </c>
      <c r="C446">
        <v>1</v>
      </c>
      <c r="D446">
        <v>4</v>
      </c>
      <c r="E446">
        <v>2</v>
      </c>
      <c r="F446" s="6" t="s">
        <v>263</v>
      </c>
      <c r="G446" s="6" t="s">
        <v>264</v>
      </c>
      <c r="H446" s="2">
        <v>0</v>
      </c>
      <c r="I446" s="2" t="s">
        <v>106</v>
      </c>
      <c r="J446" s="2">
        <f t="shared" si="269"/>
        <v>6</v>
      </c>
      <c r="K446" s="2">
        <f t="shared" si="270"/>
        <v>1.4000000000000001</v>
      </c>
      <c r="L446" s="2">
        <f t="shared" si="271"/>
        <v>1.2</v>
      </c>
      <c r="M446" s="2">
        <v>10</v>
      </c>
      <c r="N446" s="2">
        <f t="shared" si="272"/>
        <v>97.07</v>
      </c>
      <c r="O446" s="2">
        <f t="shared" si="273"/>
        <v>9.7100000000000009</v>
      </c>
      <c r="P446" s="2">
        <f t="shared" si="274"/>
        <v>738.46</v>
      </c>
      <c r="Q446" s="2">
        <f t="shared" si="275"/>
        <v>73.849999999999994</v>
      </c>
      <c r="R446" s="2">
        <f t="shared" si="276"/>
        <v>9.7100000000000009</v>
      </c>
      <c r="S446" s="2">
        <f t="shared" si="277"/>
        <v>0.97</v>
      </c>
      <c r="T446" s="2">
        <v>0</v>
      </c>
      <c r="U446" s="2">
        <v>0</v>
      </c>
      <c r="V446" s="2">
        <v>0</v>
      </c>
      <c r="W446" s="2">
        <v>-10</v>
      </c>
      <c r="X446" s="2">
        <v>0</v>
      </c>
      <c r="Y446" s="25">
        <v>214061</v>
      </c>
      <c r="Z446" s="26" t="s">
        <v>482</v>
      </c>
      <c r="AA446" s="4">
        <v>1</v>
      </c>
      <c r="AB446" s="4">
        <v>0</v>
      </c>
      <c r="AC446" s="4"/>
      <c r="AD446" s="4">
        <f t="shared" si="291"/>
        <v>1952.1953824949996</v>
      </c>
      <c r="AF446" s="1" t="str">
        <f t="shared" si="292"/>
        <v>6</v>
      </c>
      <c r="AG446">
        <v>1</v>
      </c>
      <c r="AH446">
        <f t="shared" si="280"/>
        <v>97.066666666666649</v>
      </c>
      <c r="AI446">
        <f t="shared" si="281"/>
        <v>9.7066666666666652</v>
      </c>
      <c r="AJ446">
        <f t="shared" si="282"/>
        <v>738.46153846153834</v>
      </c>
      <c r="AK446">
        <f t="shared" si="283"/>
        <v>73.84615384615384</v>
      </c>
      <c r="AL446">
        <f t="shared" si="284"/>
        <v>9.7066666666666652</v>
      </c>
      <c r="AM446">
        <f t="shared" si="285"/>
        <v>0.97066666666666657</v>
      </c>
      <c r="AN446">
        <f t="shared" si="286"/>
        <v>1.4</v>
      </c>
      <c r="AO446">
        <f t="shared" si="287"/>
        <v>1.2</v>
      </c>
      <c r="AP446">
        <f t="shared" si="288"/>
        <v>6</v>
      </c>
      <c r="AQ446">
        <v>406</v>
      </c>
      <c r="AR446">
        <v>1</v>
      </c>
      <c r="BO446" t="s">
        <v>165</v>
      </c>
      <c r="BP446" t="str">
        <f>RIGHT(BO446,1)</f>
        <v>2</v>
      </c>
    </row>
    <row r="447" spans="1:68" x14ac:dyDescent="0.15">
      <c r="A447">
        <f t="shared" si="290"/>
        <v>1204012</v>
      </c>
      <c r="B447" s="21" t="s">
        <v>265</v>
      </c>
      <c r="C447">
        <v>1</v>
      </c>
      <c r="D447">
        <v>2</v>
      </c>
      <c r="E447">
        <v>2</v>
      </c>
      <c r="F447" s="22" t="s">
        <v>738</v>
      </c>
      <c r="G447" s="22" t="s">
        <v>739</v>
      </c>
      <c r="H447" s="2">
        <v>0</v>
      </c>
      <c r="I447" s="2">
        <v>0</v>
      </c>
      <c r="J447" s="2">
        <f t="shared" si="269"/>
        <v>3</v>
      </c>
      <c r="K447" s="2">
        <f t="shared" si="270"/>
        <v>1.4000000000000001</v>
      </c>
      <c r="L447" s="2">
        <f t="shared" si="271"/>
        <v>1.2</v>
      </c>
      <c r="M447" s="2">
        <v>10</v>
      </c>
      <c r="N447" s="2">
        <f t="shared" si="272"/>
        <v>67.2</v>
      </c>
      <c r="O447" s="2">
        <f t="shared" si="273"/>
        <v>6.72</v>
      </c>
      <c r="P447" s="2">
        <f t="shared" si="274"/>
        <v>1066.67</v>
      </c>
      <c r="Q447" s="2">
        <f t="shared" si="275"/>
        <v>106.67</v>
      </c>
      <c r="R447" s="2">
        <f t="shared" si="276"/>
        <v>13.44</v>
      </c>
      <c r="S447" s="2">
        <f t="shared" si="277"/>
        <v>1.34</v>
      </c>
      <c r="T447" s="2">
        <v>0</v>
      </c>
      <c r="U447" s="2">
        <v>0</v>
      </c>
      <c r="V447" s="2">
        <v>0</v>
      </c>
      <c r="W447" s="2">
        <v>-10</v>
      </c>
      <c r="X447" s="2">
        <v>0</v>
      </c>
      <c r="Y447" s="25">
        <v>222041</v>
      </c>
      <c r="Z447" s="26" t="s">
        <v>482</v>
      </c>
      <c r="AA447" s="4">
        <v>1</v>
      </c>
      <c r="AB447" s="4">
        <v>0</v>
      </c>
      <c r="AC447" s="4"/>
      <c r="AD447" s="4">
        <f t="shared" si="291"/>
        <v>1951.5439944</v>
      </c>
      <c r="AF447" s="1" t="str">
        <f t="shared" si="292"/>
        <v>4</v>
      </c>
      <c r="AG447">
        <v>1</v>
      </c>
      <c r="AH447">
        <f t="shared" si="280"/>
        <v>67.2</v>
      </c>
      <c r="AI447">
        <f t="shared" si="281"/>
        <v>6.7200000000000006</v>
      </c>
      <c r="AJ447">
        <f t="shared" si="282"/>
        <v>1066.6666666666667</v>
      </c>
      <c r="AK447">
        <f t="shared" si="283"/>
        <v>106.66666666666669</v>
      </c>
      <c r="AL447">
        <f t="shared" si="284"/>
        <v>13.440000000000001</v>
      </c>
      <c r="AM447">
        <f t="shared" si="285"/>
        <v>1.3440000000000003</v>
      </c>
      <c r="AN447">
        <f t="shared" si="286"/>
        <v>1.4</v>
      </c>
      <c r="AO447">
        <f t="shared" si="287"/>
        <v>1.2</v>
      </c>
      <c r="AP447">
        <f t="shared" si="288"/>
        <v>3</v>
      </c>
      <c r="AQ447">
        <v>204</v>
      </c>
      <c r="AR447">
        <v>1</v>
      </c>
    </row>
    <row r="448" spans="1:68" x14ac:dyDescent="0.15">
      <c r="A448">
        <f t="shared" si="290"/>
        <v>1404012</v>
      </c>
      <c r="B448" s="21" t="s">
        <v>268</v>
      </c>
      <c r="C448">
        <v>1</v>
      </c>
      <c r="D448">
        <v>4</v>
      </c>
      <c r="E448">
        <v>2</v>
      </c>
      <c r="F448" s="22" t="s">
        <v>740</v>
      </c>
      <c r="G448" s="22" t="s">
        <v>741</v>
      </c>
      <c r="H448" s="2">
        <v>0</v>
      </c>
      <c r="I448" s="2" t="s">
        <v>106</v>
      </c>
      <c r="J448" s="2">
        <f t="shared" si="269"/>
        <v>6</v>
      </c>
      <c r="K448" s="2">
        <f t="shared" si="270"/>
        <v>1.6</v>
      </c>
      <c r="L448" s="2">
        <f t="shared" si="271"/>
        <v>1.9000000000000001</v>
      </c>
      <c r="M448" s="2">
        <v>10</v>
      </c>
      <c r="N448" s="2">
        <f t="shared" si="272"/>
        <v>110.93</v>
      </c>
      <c r="O448" s="2">
        <f t="shared" si="273"/>
        <v>11.09</v>
      </c>
      <c r="P448" s="2">
        <f t="shared" si="274"/>
        <v>738.46</v>
      </c>
      <c r="Q448" s="2">
        <f t="shared" si="275"/>
        <v>73.849999999999994</v>
      </c>
      <c r="R448" s="2">
        <f t="shared" si="276"/>
        <v>11.09</v>
      </c>
      <c r="S448" s="2">
        <f t="shared" si="277"/>
        <v>1.1100000000000001</v>
      </c>
      <c r="T448" s="2">
        <v>0</v>
      </c>
      <c r="U448" s="2">
        <v>0</v>
      </c>
      <c r="V448" s="2">
        <v>0</v>
      </c>
      <c r="W448" s="2">
        <v>-10</v>
      </c>
      <c r="X448" s="2">
        <v>0</v>
      </c>
      <c r="Y448" s="25">
        <v>224041</v>
      </c>
      <c r="Z448" s="26" t="s">
        <v>482</v>
      </c>
      <c r="AA448" s="4">
        <v>1</v>
      </c>
      <c r="AB448" s="4">
        <v>0</v>
      </c>
      <c r="AC448" s="4"/>
      <c r="AD448" s="4">
        <f t="shared" si="291"/>
        <v>1951.0415973168745</v>
      </c>
      <c r="AF448" s="1" t="str">
        <f t="shared" si="292"/>
        <v>4</v>
      </c>
      <c r="AG448">
        <v>1</v>
      </c>
      <c r="AH448">
        <f t="shared" si="280"/>
        <v>110.93333333333334</v>
      </c>
      <c r="AI448">
        <f t="shared" si="281"/>
        <v>11.093333333333334</v>
      </c>
      <c r="AJ448">
        <f t="shared" si="282"/>
        <v>738.46153846153834</v>
      </c>
      <c r="AK448">
        <f t="shared" si="283"/>
        <v>73.84615384615384</v>
      </c>
      <c r="AL448">
        <f t="shared" si="284"/>
        <v>11.093333333333334</v>
      </c>
      <c r="AM448">
        <f t="shared" si="285"/>
        <v>1.1093333333333335</v>
      </c>
      <c r="AN448">
        <f t="shared" si="286"/>
        <v>1.6</v>
      </c>
      <c r="AO448">
        <f t="shared" si="287"/>
        <v>1.9</v>
      </c>
      <c r="AP448">
        <f t="shared" si="288"/>
        <v>6</v>
      </c>
      <c r="AQ448">
        <v>404</v>
      </c>
      <c r="AR448">
        <v>1</v>
      </c>
      <c r="BO448" t="s">
        <v>184</v>
      </c>
      <c r="BP448" t="str">
        <f>RIGHT(BO448,1)</f>
        <v>0</v>
      </c>
    </row>
    <row r="449" spans="1:68" x14ac:dyDescent="0.15">
      <c r="A449">
        <f t="shared" si="290"/>
        <v>1503012</v>
      </c>
      <c r="B449" s="21" t="s">
        <v>271</v>
      </c>
      <c r="C449">
        <v>1</v>
      </c>
      <c r="D449">
        <v>5</v>
      </c>
      <c r="E449">
        <v>2</v>
      </c>
      <c r="F449" s="22" t="s">
        <v>742</v>
      </c>
      <c r="G449" s="22" t="s">
        <v>745</v>
      </c>
      <c r="H449" s="2">
        <v>0</v>
      </c>
      <c r="I449" s="2">
        <v>0</v>
      </c>
      <c r="J449" s="2">
        <f t="shared" si="269"/>
        <v>3</v>
      </c>
      <c r="K449" s="2">
        <f t="shared" si="270"/>
        <v>1.6</v>
      </c>
      <c r="L449" s="2">
        <f t="shared" si="271"/>
        <v>1.5</v>
      </c>
      <c r="M449" s="2">
        <v>10</v>
      </c>
      <c r="N449" s="2">
        <f t="shared" si="272"/>
        <v>102.4</v>
      </c>
      <c r="O449" s="2">
        <f t="shared" si="273"/>
        <v>10.24</v>
      </c>
      <c r="P449" s="2">
        <f t="shared" si="274"/>
        <v>800</v>
      </c>
      <c r="Q449" s="2">
        <f t="shared" si="275"/>
        <v>80</v>
      </c>
      <c r="R449" s="2">
        <f t="shared" si="276"/>
        <v>17.07</v>
      </c>
      <c r="S449" s="2">
        <f t="shared" si="277"/>
        <v>1.71</v>
      </c>
      <c r="T449" s="2">
        <v>0</v>
      </c>
      <c r="U449" s="2">
        <v>0</v>
      </c>
      <c r="V449" s="2">
        <v>0</v>
      </c>
      <c r="W449" s="2">
        <v>-10</v>
      </c>
      <c r="X449" s="2">
        <v>0</v>
      </c>
      <c r="Y449" s="25">
        <v>235031</v>
      </c>
      <c r="Z449" s="26" t="s">
        <v>482</v>
      </c>
      <c r="AA449" s="4">
        <v>1</v>
      </c>
      <c r="AB449" s="4">
        <v>0</v>
      </c>
      <c r="AC449" s="4"/>
      <c r="AD449" s="4">
        <f t="shared" si="291"/>
        <v>1951.4880000000001</v>
      </c>
      <c r="AF449" s="1" t="str">
        <f t="shared" si="292"/>
        <v>3</v>
      </c>
      <c r="AG449">
        <v>1</v>
      </c>
      <c r="AH449">
        <f t="shared" si="280"/>
        <v>102.4</v>
      </c>
      <c r="AI449">
        <f t="shared" si="281"/>
        <v>10.240000000000002</v>
      </c>
      <c r="AJ449">
        <f t="shared" si="282"/>
        <v>800</v>
      </c>
      <c r="AK449">
        <f t="shared" si="283"/>
        <v>80</v>
      </c>
      <c r="AL449">
        <f t="shared" si="284"/>
        <v>17.066666666666666</v>
      </c>
      <c r="AM449">
        <f t="shared" si="285"/>
        <v>1.7066666666666668</v>
      </c>
      <c r="AN449">
        <f t="shared" si="286"/>
        <v>1.6</v>
      </c>
      <c r="AO449">
        <f t="shared" si="287"/>
        <v>1.5</v>
      </c>
      <c r="AP449">
        <f t="shared" si="288"/>
        <v>3</v>
      </c>
      <c r="AQ449">
        <v>503</v>
      </c>
      <c r="AR449">
        <v>1</v>
      </c>
      <c r="BO449" t="s">
        <v>169</v>
      </c>
      <c r="BP449" t="str">
        <f>RIGHT(BO449,1)</f>
        <v>0</v>
      </c>
    </row>
    <row r="450" spans="1:68" x14ac:dyDescent="0.15">
      <c r="A450">
        <f t="shared" si="290"/>
        <v>1304012</v>
      </c>
      <c r="B450" s="21" t="s">
        <v>274</v>
      </c>
      <c r="C450">
        <v>1</v>
      </c>
      <c r="D450">
        <v>3</v>
      </c>
      <c r="E450">
        <v>2</v>
      </c>
      <c r="F450" s="22" t="s">
        <v>743</v>
      </c>
      <c r="G450" s="22" t="s">
        <v>744</v>
      </c>
      <c r="H450">
        <v>0</v>
      </c>
      <c r="I450" s="2">
        <v>0</v>
      </c>
      <c r="J450" s="2">
        <f t="shared" si="269"/>
        <v>3</v>
      </c>
      <c r="K450" s="2">
        <f t="shared" si="270"/>
        <v>1.4000000000000001</v>
      </c>
      <c r="L450" s="2">
        <f t="shared" si="271"/>
        <v>2</v>
      </c>
      <c r="M450" s="2">
        <v>10</v>
      </c>
      <c r="N450" s="2">
        <f t="shared" si="272"/>
        <v>85.87</v>
      </c>
      <c r="O450" s="2">
        <f t="shared" si="273"/>
        <v>8.59</v>
      </c>
      <c r="P450" s="2">
        <f t="shared" si="274"/>
        <v>834.78</v>
      </c>
      <c r="Q450" s="2">
        <f t="shared" si="275"/>
        <v>83.48</v>
      </c>
      <c r="R450" s="2">
        <f t="shared" si="276"/>
        <v>10.73</v>
      </c>
      <c r="S450" s="2">
        <f t="shared" si="277"/>
        <v>1.07</v>
      </c>
      <c r="T450" s="2">
        <v>0</v>
      </c>
      <c r="U450" s="2">
        <v>0</v>
      </c>
      <c r="V450" s="2">
        <v>0</v>
      </c>
      <c r="W450" s="2">
        <v>-10</v>
      </c>
      <c r="X450" s="2">
        <v>0</v>
      </c>
      <c r="Y450" s="25">
        <v>233041</v>
      </c>
      <c r="Z450" s="26" t="s">
        <v>482</v>
      </c>
      <c r="AA450" s="4">
        <v>1</v>
      </c>
      <c r="AB450" s="4">
        <v>0</v>
      </c>
      <c r="AC450" s="4"/>
      <c r="AD450" s="4">
        <f t="shared" si="291"/>
        <v>1952.220001185</v>
      </c>
      <c r="AF450" s="1" t="str">
        <f t="shared" si="292"/>
        <v>4</v>
      </c>
      <c r="AG450">
        <v>1</v>
      </c>
      <c r="AH450">
        <f t="shared" si="280"/>
        <v>85.86666666666666</v>
      </c>
      <c r="AI450">
        <f t="shared" si="281"/>
        <v>8.586666666666666</v>
      </c>
      <c r="AJ450">
        <f t="shared" si="282"/>
        <v>834.78260869565224</v>
      </c>
      <c r="AK450">
        <f t="shared" si="283"/>
        <v>83.478260869565233</v>
      </c>
      <c r="AL450">
        <f t="shared" si="284"/>
        <v>10.733333333333333</v>
      </c>
      <c r="AM450">
        <f t="shared" si="285"/>
        <v>1.0733333333333333</v>
      </c>
      <c r="AN450">
        <f t="shared" si="286"/>
        <v>1.4</v>
      </c>
      <c r="AO450">
        <f t="shared" si="287"/>
        <v>2</v>
      </c>
      <c r="AP450">
        <f t="shared" si="288"/>
        <v>3</v>
      </c>
      <c r="AQ450">
        <v>304</v>
      </c>
      <c r="AR450">
        <v>1</v>
      </c>
    </row>
    <row r="451" spans="1:68" x14ac:dyDescent="0.15">
      <c r="A451">
        <f t="shared" si="290"/>
        <v>1203013</v>
      </c>
      <c r="B451" s="6" t="s">
        <v>241</v>
      </c>
      <c r="C451">
        <v>1</v>
      </c>
      <c r="D451">
        <v>2</v>
      </c>
      <c r="E451">
        <v>3</v>
      </c>
      <c r="F451" s="6" t="s">
        <v>242</v>
      </c>
      <c r="G451" s="20" t="s">
        <v>243</v>
      </c>
      <c r="H451">
        <v>0</v>
      </c>
      <c r="I451" s="2">
        <v>0</v>
      </c>
      <c r="J451" s="2">
        <f t="shared" si="269"/>
        <v>3</v>
      </c>
      <c r="K451" s="2">
        <f t="shared" si="270"/>
        <v>1.3</v>
      </c>
      <c r="L451" s="2">
        <f t="shared" si="271"/>
        <v>1.9000000000000001</v>
      </c>
      <c r="M451" s="2">
        <v>10</v>
      </c>
      <c r="N451" s="2">
        <f t="shared" si="272"/>
        <v>62.4</v>
      </c>
      <c r="O451" s="2">
        <f t="shared" si="273"/>
        <v>6.24</v>
      </c>
      <c r="P451" s="2">
        <f t="shared" si="274"/>
        <v>1066.67</v>
      </c>
      <c r="Q451" s="2">
        <f t="shared" si="275"/>
        <v>106.67</v>
      </c>
      <c r="R451" s="2">
        <f t="shared" si="276"/>
        <v>12.48</v>
      </c>
      <c r="S451" s="2">
        <f t="shared" si="277"/>
        <v>1.25</v>
      </c>
      <c r="T451" s="2">
        <v>0</v>
      </c>
      <c r="U451" s="2">
        <v>0</v>
      </c>
      <c r="V451" s="2">
        <v>0</v>
      </c>
      <c r="W451" s="2">
        <v>-10</v>
      </c>
      <c r="X451" s="2">
        <v>0</v>
      </c>
      <c r="Y451" s="25">
        <v>112031</v>
      </c>
      <c r="Z451" s="26" t="s">
        <v>482</v>
      </c>
      <c r="AA451" s="4">
        <v>1</v>
      </c>
      <c r="AB451" s="4">
        <v>0</v>
      </c>
      <c r="AC451" s="4"/>
      <c r="AD451" s="4">
        <f t="shared" si="291"/>
        <v>1951.5439944</v>
      </c>
      <c r="AF451" s="1" t="str">
        <f t="shared" si="292"/>
        <v>3</v>
      </c>
      <c r="AG451">
        <v>1</v>
      </c>
      <c r="AH451">
        <f t="shared" si="280"/>
        <v>62.400000000000013</v>
      </c>
      <c r="AI451">
        <f t="shared" si="281"/>
        <v>6.240000000000002</v>
      </c>
      <c r="AJ451">
        <f t="shared" si="282"/>
        <v>1066.6666666666667</v>
      </c>
      <c r="AK451">
        <f t="shared" si="283"/>
        <v>106.66666666666669</v>
      </c>
      <c r="AL451">
        <f t="shared" si="284"/>
        <v>12.480000000000002</v>
      </c>
      <c r="AM451">
        <f t="shared" si="285"/>
        <v>1.2480000000000002</v>
      </c>
      <c r="AN451">
        <f t="shared" si="286"/>
        <v>1.3</v>
      </c>
      <c r="AO451">
        <f t="shared" si="287"/>
        <v>1.9</v>
      </c>
      <c r="AP451">
        <f t="shared" si="288"/>
        <v>3</v>
      </c>
      <c r="AQ451">
        <v>203</v>
      </c>
      <c r="AR451">
        <v>1</v>
      </c>
      <c r="BO451" t="s">
        <v>182</v>
      </c>
      <c r="BP451" t="str">
        <f>RIGHT(BO451,1)</f>
        <v>2</v>
      </c>
    </row>
    <row r="452" spans="1:68" x14ac:dyDescent="0.15">
      <c r="A452">
        <f t="shared" si="290"/>
        <v>1403013</v>
      </c>
      <c r="B452" s="6" t="s">
        <v>244</v>
      </c>
      <c r="C452">
        <v>1</v>
      </c>
      <c r="D452">
        <v>4</v>
      </c>
      <c r="E452">
        <v>3</v>
      </c>
      <c r="F452" s="6" t="s">
        <v>245</v>
      </c>
      <c r="G452" s="20" t="s">
        <v>246</v>
      </c>
      <c r="H452" s="2">
        <v>0</v>
      </c>
      <c r="I452" s="2" t="s">
        <v>103</v>
      </c>
      <c r="J452" s="2">
        <f t="shared" si="269"/>
        <v>6</v>
      </c>
      <c r="K452" s="2">
        <f t="shared" si="270"/>
        <v>1.3</v>
      </c>
      <c r="L452" s="2">
        <f t="shared" si="271"/>
        <v>1.9000000000000001</v>
      </c>
      <c r="M452" s="2">
        <v>10</v>
      </c>
      <c r="N452" s="2">
        <f t="shared" si="272"/>
        <v>83.2</v>
      </c>
      <c r="O452" s="2">
        <f t="shared" si="273"/>
        <v>8.32</v>
      </c>
      <c r="P452" s="2">
        <f t="shared" si="274"/>
        <v>800</v>
      </c>
      <c r="Q452" s="2">
        <f t="shared" si="275"/>
        <v>80</v>
      </c>
      <c r="R452" s="2">
        <f t="shared" si="276"/>
        <v>8.32</v>
      </c>
      <c r="S452" s="2">
        <f t="shared" si="277"/>
        <v>0.83</v>
      </c>
      <c r="T452" s="2">
        <v>0</v>
      </c>
      <c r="U452" s="2">
        <v>0</v>
      </c>
      <c r="V452" s="2">
        <v>0</v>
      </c>
      <c r="W452" s="2">
        <v>-10</v>
      </c>
      <c r="X452" s="2">
        <v>0</v>
      </c>
      <c r="Y452" s="25">
        <v>114031</v>
      </c>
      <c r="Z452" s="26" t="s">
        <v>482</v>
      </c>
      <c r="AA452" s="4">
        <v>1</v>
      </c>
      <c r="AB452" s="4">
        <v>0</v>
      </c>
      <c r="AC452" s="4"/>
      <c r="AD452" s="4">
        <f t="shared" si="291"/>
        <v>1951.4880000000001</v>
      </c>
      <c r="AF452" s="1" t="str">
        <f t="shared" si="292"/>
        <v>3</v>
      </c>
      <c r="AG452">
        <v>1</v>
      </c>
      <c r="AH452">
        <f t="shared" si="280"/>
        <v>83.2</v>
      </c>
      <c r="AI452">
        <f t="shared" si="281"/>
        <v>8.32</v>
      </c>
      <c r="AJ452">
        <f t="shared" si="282"/>
        <v>800</v>
      </c>
      <c r="AK452">
        <f t="shared" si="283"/>
        <v>80</v>
      </c>
      <c r="AL452">
        <f t="shared" si="284"/>
        <v>8.32</v>
      </c>
      <c r="AM452">
        <f t="shared" si="285"/>
        <v>0.83200000000000007</v>
      </c>
      <c r="AN452">
        <f t="shared" si="286"/>
        <v>1.3</v>
      </c>
      <c r="AO452">
        <f t="shared" si="287"/>
        <v>1.9</v>
      </c>
      <c r="AP452">
        <f t="shared" si="288"/>
        <v>6</v>
      </c>
      <c r="AQ452">
        <v>403</v>
      </c>
      <c r="AR452">
        <v>1</v>
      </c>
      <c r="BO452" t="s">
        <v>178</v>
      </c>
      <c r="BP452" t="str">
        <f>RIGHT(BO452,1)</f>
        <v>2</v>
      </c>
    </row>
    <row r="453" spans="1:68" x14ac:dyDescent="0.15">
      <c r="A453">
        <f t="shared" si="290"/>
        <v>1205013</v>
      </c>
      <c r="B453" s="6" t="s">
        <v>247</v>
      </c>
      <c r="C453">
        <v>1</v>
      </c>
      <c r="D453">
        <v>2</v>
      </c>
      <c r="E453">
        <v>3</v>
      </c>
      <c r="F453" s="22" t="s">
        <v>734</v>
      </c>
      <c r="G453" s="29" t="s">
        <v>735</v>
      </c>
      <c r="H453">
        <v>0</v>
      </c>
      <c r="I453" s="2">
        <v>0</v>
      </c>
      <c r="J453" s="2">
        <f t="shared" si="269"/>
        <v>3</v>
      </c>
      <c r="K453" s="2">
        <f t="shared" si="270"/>
        <v>1.8</v>
      </c>
      <c r="L453" s="2">
        <f t="shared" si="271"/>
        <v>2</v>
      </c>
      <c r="M453" s="2">
        <v>10</v>
      </c>
      <c r="N453" s="2">
        <f t="shared" si="272"/>
        <v>86.4</v>
      </c>
      <c r="O453" s="2">
        <f t="shared" si="273"/>
        <v>8.64</v>
      </c>
      <c r="P453" s="2">
        <f t="shared" si="274"/>
        <v>1066.67</v>
      </c>
      <c r="Q453" s="2">
        <f t="shared" si="275"/>
        <v>106.67</v>
      </c>
      <c r="R453" s="2">
        <f t="shared" si="276"/>
        <v>17.28</v>
      </c>
      <c r="S453" s="2">
        <f t="shared" si="277"/>
        <v>1.73</v>
      </c>
      <c r="T453" s="2">
        <v>0</v>
      </c>
      <c r="U453" s="2">
        <v>0</v>
      </c>
      <c r="V453" s="2">
        <v>0</v>
      </c>
      <c r="W453" s="2">
        <v>-10</v>
      </c>
      <c r="X453" s="2">
        <v>0</v>
      </c>
      <c r="Y453" s="25">
        <v>122051</v>
      </c>
      <c r="Z453" s="26" t="s">
        <v>482</v>
      </c>
      <c r="AA453" s="4">
        <v>1</v>
      </c>
      <c r="AB453" s="4">
        <v>0</v>
      </c>
      <c r="AC453" s="4"/>
      <c r="AD453" s="4">
        <f t="shared" si="291"/>
        <v>1951.5439944</v>
      </c>
      <c r="AF453" s="1" t="str">
        <f t="shared" si="292"/>
        <v>5</v>
      </c>
      <c r="AG453">
        <v>1</v>
      </c>
      <c r="AH453">
        <f t="shared" si="280"/>
        <v>86.4</v>
      </c>
      <c r="AI453">
        <f t="shared" si="281"/>
        <v>8.64</v>
      </c>
      <c r="AJ453">
        <f t="shared" si="282"/>
        <v>1066.6666666666667</v>
      </c>
      <c r="AK453">
        <f t="shared" si="283"/>
        <v>106.66666666666669</v>
      </c>
      <c r="AL453">
        <f t="shared" si="284"/>
        <v>17.28</v>
      </c>
      <c r="AM453">
        <f t="shared" si="285"/>
        <v>1.7280000000000002</v>
      </c>
      <c r="AN453">
        <f t="shared" si="286"/>
        <v>1.8</v>
      </c>
      <c r="AO453">
        <f t="shared" si="287"/>
        <v>2</v>
      </c>
      <c r="AP453">
        <f t="shared" si="288"/>
        <v>3</v>
      </c>
      <c r="AQ453">
        <v>205</v>
      </c>
      <c r="AR453">
        <v>1</v>
      </c>
      <c r="BO453" t="s">
        <v>178</v>
      </c>
      <c r="BP453" t="str">
        <f>RIGHT(BO453,1)</f>
        <v>2</v>
      </c>
    </row>
    <row r="454" spans="1:68" x14ac:dyDescent="0.15">
      <c r="A454">
        <f t="shared" si="290"/>
        <v>1405013</v>
      </c>
      <c r="B454" s="6" t="s">
        <v>250</v>
      </c>
      <c r="C454">
        <v>1</v>
      </c>
      <c r="D454">
        <v>4</v>
      </c>
      <c r="E454">
        <v>3</v>
      </c>
      <c r="F454" s="22" t="s">
        <v>736</v>
      </c>
      <c r="G454" s="22" t="s">
        <v>737</v>
      </c>
      <c r="H454">
        <v>0</v>
      </c>
      <c r="I454" s="2" t="s">
        <v>103</v>
      </c>
      <c r="J454" s="2">
        <f t="shared" si="269"/>
        <v>6</v>
      </c>
      <c r="K454" s="2">
        <f t="shared" si="270"/>
        <v>1.5</v>
      </c>
      <c r="L454" s="2">
        <f t="shared" si="271"/>
        <v>1.5</v>
      </c>
      <c r="M454" s="2">
        <v>10</v>
      </c>
      <c r="N454" s="2">
        <f t="shared" si="272"/>
        <v>100</v>
      </c>
      <c r="O454" s="2">
        <f t="shared" si="273"/>
        <v>10</v>
      </c>
      <c r="P454" s="2">
        <f t="shared" si="274"/>
        <v>768</v>
      </c>
      <c r="Q454" s="2">
        <f t="shared" si="275"/>
        <v>76.8</v>
      </c>
      <c r="R454" s="2">
        <f t="shared" si="276"/>
        <v>10</v>
      </c>
      <c r="S454" s="2">
        <f t="shared" si="277"/>
        <v>1</v>
      </c>
      <c r="T454" s="2">
        <v>0</v>
      </c>
      <c r="U454" s="2">
        <v>0</v>
      </c>
      <c r="V454" s="2">
        <v>0</v>
      </c>
      <c r="W454" s="2">
        <v>-10</v>
      </c>
      <c r="X454" s="2">
        <v>0</v>
      </c>
      <c r="Y454" s="25">
        <v>124051</v>
      </c>
      <c r="Z454" s="26" t="s">
        <v>482</v>
      </c>
      <c r="AA454" s="4">
        <v>1</v>
      </c>
      <c r="AB454" s="4">
        <v>0</v>
      </c>
      <c r="AC454" s="4"/>
      <c r="AD454" s="4">
        <f t="shared" si="291"/>
        <v>1951.4880000000001</v>
      </c>
      <c r="AF454" s="1" t="str">
        <f t="shared" si="292"/>
        <v>5</v>
      </c>
      <c r="AG454">
        <v>1</v>
      </c>
      <c r="AH454">
        <f t="shared" si="280"/>
        <v>100</v>
      </c>
      <c r="AI454">
        <f t="shared" si="281"/>
        <v>10</v>
      </c>
      <c r="AJ454">
        <f t="shared" si="282"/>
        <v>768</v>
      </c>
      <c r="AK454">
        <f t="shared" si="283"/>
        <v>76.800000000000011</v>
      </c>
      <c r="AL454">
        <f t="shared" si="284"/>
        <v>10</v>
      </c>
      <c r="AM454">
        <f t="shared" si="285"/>
        <v>1</v>
      </c>
      <c r="AN454">
        <f t="shared" si="286"/>
        <v>1.5</v>
      </c>
      <c r="AO454">
        <f t="shared" si="287"/>
        <v>1.5</v>
      </c>
      <c r="AP454">
        <f t="shared" si="288"/>
        <v>6</v>
      </c>
      <c r="AQ454">
        <v>405</v>
      </c>
      <c r="AR454">
        <v>1</v>
      </c>
      <c r="BO454" t="s">
        <v>188</v>
      </c>
      <c r="BP454" t="str">
        <f t="shared" ref="BP454:BP455" si="295">RIGHT(BO454,1)</f>
        <v>0</v>
      </c>
    </row>
    <row r="455" spans="1:68" x14ac:dyDescent="0.15">
      <c r="A455">
        <f t="shared" si="290"/>
        <v>1303013</v>
      </c>
      <c r="B455" s="6" t="s">
        <v>253</v>
      </c>
      <c r="C455">
        <v>1</v>
      </c>
      <c r="D455">
        <v>3</v>
      </c>
      <c r="E455">
        <v>3</v>
      </c>
      <c r="F455" s="22" t="s">
        <v>730</v>
      </c>
      <c r="G455" s="22" t="s">
        <v>731</v>
      </c>
      <c r="H455" s="2">
        <v>0</v>
      </c>
      <c r="I455" s="2">
        <v>0</v>
      </c>
      <c r="J455" s="2">
        <f t="shared" si="269"/>
        <v>3</v>
      </c>
      <c r="K455" s="2">
        <f t="shared" si="270"/>
        <v>1.3</v>
      </c>
      <c r="L455" s="2">
        <f t="shared" si="271"/>
        <v>1.4000000000000001</v>
      </c>
      <c r="M455" s="2">
        <v>10</v>
      </c>
      <c r="N455" s="2">
        <f t="shared" si="272"/>
        <v>76.27</v>
      </c>
      <c r="O455" s="2">
        <f t="shared" si="273"/>
        <v>7.63</v>
      </c>
      <c r="P455" s="2">
        <f t="shared" si="274"/>
        <v>872.73</v>
      </c>
      <c r="Q455" s="2">
        <f t="shared" si="275"/>
        <v>87.27</v>
      </c>
      <c r="R455" s="2">
        <f t="shared" si="276"/>
        <v>9.5299999999999994</v>
      </c>
      <c r="S455" s="2">
        <f t="shared" si="277"/>
        <v>0.95</v>
      </c>
      <c r="T455" s="2">
        <v>0</v>
      </c>
      <c r="U455" s="2">
        <v>0</v>
      </c>
      <c r="V455" s="2">
        <v>0</v>
      </c>
      <c r="W455" s="2">
        <v>-10</v>
      </c>
      <c r="X455" s="2">
        <v>0</v>
      </c>
      <c r="Y455" s="25">
        <v>133031</v>
      </c>
      <c r="Z455" s="26" t="s">
        <v>482</v>
      </c>
      <c r="AA455" s="4">
        <v>1</v>
      </c>
      <c r="AB455" s="4">
        <v>0</v>
      </c>
      <c r="AC455" s="4"/>
      <c r="AD455" s="4">
        <f t="shared" si="291"/>
        <v>1952.2162308357688</v>
      </c>
      <c r="AF455" s="1" t="str">
        <f t="shared" si="292"/>
        <v>3</v>
      </c>
      <c r="AG455">
        <v>1</v>
      </c>
      <c r="AH455">
        <f t="shared" si="280"/>
        <v>76.26666666666668</v>
      </c>
      <c r="AI455">
        <f t="shared" si="281"/>
        <v>7.6266666666666687</v>
      </c>
      <c r="AJ455">
        <f t="shared" si="282"/>
        <v>872.72727272727275</v>
      </c>
      <c r="AK455">
        <f t="shared" si="283"/>
        <v>87.27272727272728</v>
      </c>
      <c r="AL455">
        <f t="shared" si="284"/>
        <v>9.533333333333335</v>
      </c>
      <c r="AM455">
        <f t="shared" si="285"/>
        <v>0.95333333333333359</v>
      </c>
      <c r="AN455">
        <f t="shared" si="286"/>
        <v>1.3</v>
      </c>
      <c r="AO455">
        <f t="shared" si="287"/>
        <v>1.4</v>
      </c>
      <c r="AP455">
        <f t="shared" si="288"/>
        <v>3</v>
      </c>
      <c r="AQ455">
        <v>303</v>
      </c>
      <c r="AR455">
        <v>1</v>
      </c>
      <c r="BO455" t="s">
        <v>171</v>
      </c>
      <c r="BP455" t="str">
        <f t="shared" si="295"/>
        <v>1</v>
      </c>
    </row>
    <row r="456" spans="1:68" x14ac:dyDescent="0.15">
      <c r="A456">
        <f t="shared" si="290"/>
        <v>1504013</v>
      </c>
      <c r="B456" s="6" t="s">
        <v>256</v>
      </c>
      <c r="C456">
        <v>1</v>
      </c>
      <c r="D456">
        <v>5</v>
      </c>
      <c r="E456">
        <v>3</v>
      </c>
      <c r="F456" s="22" t="s">
        <v>732</v>
      </c>
      <c r="G456" s="22" t="s">
        <v>733</v>
      </c>
      <c r="H456">
        <v>0</v>
      </c>
      <c r="I456" s="2">
        <v>0</v>
      </c>
      <c r="J456" s="2">
        <f t="shared" si="269"/>
        <v>3</v>
      </c>
      <c r="K456" s="2">
        <f t="shared" si="270"/>
        <v>1.8</v>
      </c>
      <c r="L456" s="2">
        <f t="shared" si="271"/>
        <v>1.5</v>
      </c>
      <c r="M456" s="2">
        <v>10</v>
      </c>
      <c r="N456" s="2">
        <f t="shared" si="272"/>
        <v>105.6</v>
      </c>
      <c r="O456" s="2">
        <f t="shared" si="273"/>
        <v>10.56</v>
      </c>
      <c r="P456" s="2">
        <f t="shared" si="274"/>
        <v>872.73</v>
      </c>
      <c r="Q456" s="2">
        <f t="shared" si="275"/>
        <v>87.27</v>
      </c>
      <c r="R456" s="2">
        <f t="shared" si="276"/>
        <v>17.600000000000001</v>
      </c>
      <c r="S456" s="2">
        <f t="shared" si="277"/>
        <v>1.76</v>
      </c>
      <c r="T456" s="2">
        <v>0</v>
      </c>
      <c r="U456" s="2">
        <v>0</v>
      </c>
      <c r="V456" s="2">
        <v>0</v>
      </c>
      <c r="W456" s="2">
        <v>-10</v>
      </c>
      <c r="X456" s="2">
        <v>0</v>
      </c>
      <c r="Y456" s="25">
        <v>135041</v>
      </c>
      <c r="Z456" s="26" t="s">
        <v>482</v>
      </c>
      <c r="AA456" s="4">
        <v>1</v>
      </c>
      <c r="AB456" s="4">
        <v>0.5</v>
      </c>
      <c r="AC456" s="4"/>
      <c r="AD456" s="4">
        <f t="shared" si="291"/>
        <v>1951.4331143999993</v>
      </c>
      <c r="AF456" s="1" t="str">
        <f t="shared" si="292"/>
        <v>4</v>
      </c>
      <c r="AG456">
        <v>1</v>
      </c>
      <c r="AH456">
        <f t="shared" si="280"/>
        <v>105.60000000000001</v>
      </c>
      <c r="AI456">
        <f t="shared" si="281"/>
        <v>10.560000000000002</v>
      </c>
      <c r="AJ456">
        <f t="shared" si="282"/>
        <v>872.72727272727275</v>
      </c>
      <c r="AK456">
        <f t="shared" si="283"/>
        <v>87.27272727272728</v>
      </c>
      <c r="AL456">
        <f t="shared" si="284"/>
        <v>17.600000000000001</v>
      </c>
      <c r="AM456">
        <f t="shared" si="285"/>
        <v>1.7600000000000002</v>
      </c>
      <c r="AN456">
        <f t="shared" si="286"/>
        <v>1.8</v>
      </c>
      <c r="AO456">
        <f t="shared" si="287"/>
        <v>1.5</v>
      </c>
      <c r="AP456">
        <f t="shared" si="288"/>
        <v>3</v>
      </c>
      <c r="AQ456">
        <v>504</v>
      </c>
      <c r="AR456">
        <v>1</v>
      </c>
      <c r="BO456" t="s">
        <v>136</v>
      </c>
      <c r="BP456" t="str">
        <f t="shared" ref="BP456" si="296">RIGHT(BO456,1)</f>
        <v>1</v>
      </c>
    </row>
    <row r="457" spans="1:68" x14ac:dyDescent="0.15">
      <c r="A457">
        <f t="shared" si="290"/>
        <v>1206013</v>
      </c>
      <c r="B457" s="21" t="s">
        <v>259</v>
      </c>
      <c r="C457">
        <v>1</v>
      </c>
      <c r="D457">
        <v>2</v>
      </c>
      <c r="E457">
        <v>3</v>
      </c>
      <c r="F457" s="6" t="s">
        <v>260</v>
      </c>
      <c r="G457" s="6" t="s">
        <v>261</v>
      </c>
      <c r="H457" s="2">
        <v>0</v>
      </c>
      <c r="I457" s="2">
        <v>0</v>
      </c>
      <c r="J457" s="2">
        <f t="shared" si="269"/>
        <v>3</v>
      </c>
      <c r="K457" s="2">
        <f t="shared" si="270"/>
        <v>1.6</v>
      </c>
      <c r="L457" s="2">
        <f t="shared" si="271"/>
        <v>2</v>
      </c>
      <c r="M457" s="2">
        <v>10</v>
      </c>
      <c r="N457" s="2">
        <f t="shared" si="272"/>
        <v>76.8</v>
      </c>
      <c r="O457" s="2">
        <f t="shared" si="273"/>
        <v>7.68</v>
      </c>
      <c r="P457" s="2">
        <f t="shared" si="274"/>
        <v>1066.67</v>
      </c>
      <c r="Q457" s="2">
        <f t="shared" si="275"/>
        <v>106.67</v>
      </c>
      <c r="R457" s="2">
        <f t="shared" si="276"/>
        <v>15.36</v>
      </c>
      <c r="S457" s="2">
        <f t="shared" si="277"/>
        <v>1.54</v>
      </c>
      <c r="T457" s="2">
        <v>0</v>
      </c>
      <c r="U457" s="2">
        <v>0</v>
      </c>
      <c r="V457" s="2">
        <v>0</v>
      </c>
      <c r="W457" s="2">
        <v>-10</v>
      </c>
      <c r="X457" s="2">
        <v>0</v>
      </c>
      <c r="Y457" s="25">
        <v>212061</v>
      </c>
      <c r="Z457" s="26" t="s">
        <v>482</v>
      </c>
      <c r="AA457" s="4">
        <v>1</v>
      </c>
      <c r="AB457" s="4">
        <v>0</v>
      </c>
      <c r="AC457" s="4"/>
      <c r="AD457" s="4">
        <f t="shared" si="291"/>
        <v>1951.5439943999995</v>
      </c>
      <c r="AF457" s="1" t="str">
        <f t="shared" si="292"/>
        <v>6</v>
      </c>
      <c r="AG457">
        <v>1</v>
      </c>
      <c r="AH457">
        <f t="shared" si="280"/>
        <v>76.800000000000011</v>
      </c>
      <c r="AI457">
        <f t="shared" si="281"/>
        <v>7.6800000000000015</v>
      </c>
      <c r="AJ457">
        <f t="shared" si="282"/>
        <v>1066.6666666666667</v>
      </c>
      <c r="AK457">
        <f t="shared" si="283"/>
        <v>106.66666666666669</v>
      </c>
      <c r="AL457">
        <f t="shared" si="284"/>
        <v>15.360000000000003</v>
      </c>
      <c r="AM457">
        <f t="shared" si="285"/>
        <v>1.5360000000000005</v>
      </c>
      <c r="AN457">
        <f t="shared" si="286"/>
        <v>1.6</v>
      </c>
      <c r="AO457">
        <f t="shared" si="287"/>
        <v>2</v>
      </c>
      <c r="AP457">
        <f t="shared" si="288"/>
        <v>3</v>
      </c>
      <c r="AQ457">
        <v>206</v>
      </c>
      <c r="AR457">
        <v>1</v>
      </c>
    </row>
    <row r="458" spans="1:68" x14ac:dyDescent="0.15">
      <c r="A458">
        <f t="shared" si="290"/>
        <v>1406013</v>
      </c>
      <c r="B458" s="21" t="s">
        <v>262</v>
      </c>
      <c r="C458">
        <v>1</v>
      </c>
      <c r="D458">
        <v>4</v>
      </c>
      <c r="E458">
        <v>3</v>
      </c>
      <c r="F458" s="6" t="s">
        <v>263</v>
      </c>
      <c r="G458" s="6" t="s">
        <v>264</v>
      </c>
      <c r="H458" s="2">
        <v>0</v>
      </c>
      <c r="I458" s="2" t="s">
        <v>103</v>
      </c>
      <c r="J458" s="2">
        <f t="shared" si="269"/>
        <v>6</v>
      </c>
      <c r="K458" s="2">
        <f t="shared" si="270"/>
        <v>1.4000000000000001</v>
      </c>
      <c r="L458" s="2">
        <f t="shared" si="271"/>
        <v>1.2</v>
      </c>
      <c r="M458" s="2">
        <v>10</v>
      </c>
      <c r="N458" s="2">
        <f t="shared" si="272"/>
        <v>97.07</v>
      </c>
      <c r="O458" s="2">
        <f t="shared" si="273"/>
        <v>9.7100000000000009</v>
      </c>
      <c r="P458" s="2">
        <f t="shared" si="274"/>
        <v>738.46</v>
      </c>
      <c r="Q458" s="2">
        <f t="shared" si="275"/>
        <v>73.849999999999994</v>
      </c>
      <c r="R458" s="2">
        <f t="shared" si="276"/>
        <v>9.7100000000000009</v>
      </c>
      <c r="S458" s="2">
        <f t="shared" si="277"/>
        <v>0.97</v>
      </c>
      <c r="T458" s="2">
        <v>0</v>
      </c>
      <c r="U458" s="2">
        <v>0</v>
      </c>
      <c r="V458" s="2">
        <v>0</v>
      </c>
      <c r="W458" s="2">
        <v>-10</v>
      </c>
      <c r="X458" s="2">
        <v>0</v>
      </c>
      <c r="Y458" s="25">
        <v>214061</v>
      </c>
      <c r="Z458" s="26" t="s">
        <v>482</v>
      </c>
      <c r="AA458" s="4">
        <v>1</v>
      </c>
      <c r="AB458" s="4">
        <v>0</v>
      </c>
      <c r="AC458" s="4"/>
      <c r="AD458" s="4">
        <f t="shared" si="291"/>
        <v>1952.1953824949996</v>
      </c>
      <c r="AF458" s="1" t="str">
        <f t="shared" si="292"/>
        <v>6</v>
      </c>
      <c r="AG458">
        <v>1</v>
      </c>
      <c r="AH458">
        <f t="shared" si="280"/>
        <v>97.066666666666649</v>
      </c>
      <c r="AI458">
        <f t="shared" si="281"/>
        <v>9.7066666666666652</v>
      </c>
      <c r="AJ458">
        <f t="shared" si="282"/>
        <v>738.46153846153834</v>
      </c>
      <c r="AK458">
        <f t="shared" si="283"/>
        <v>73.84615384615384</v>
      </c>
      <c r="AL458">
        <f t="shared" si="284"/>
        <v>9.7066666666666652</v>
      </c>
      <c r="AM458">
        <f t="shared" si="285"/>
        <v>0.97066666666666657</v>
      </c>
      <c r="AN458">
        <f t="shared" si="286"/>
        <v>1.4</v>
      </c>
      <c r="AO458">
        <f t="shared" si="287"/>
        <v>1.2</v>
      </c>
      <c r="AP458">
        <f t="shared" si="288"/>
        <v>6</v>
      </c>
      <c r="AQ458">
        <v>406</v>
      </c>
      <c r="AR458">
        <v>1</v>
      </c>
      <c r="BO458" t="s">
        <v>186</v>
      </c>
      <c r="BP458" t="str">
        <f>RIGHT(BO458,1)</f>
        <v>0</v>
      </c>
    </row>
    <row r="459" spans="1:68" x14ac:dyDescent="0.15">
      <c r="A459">
        <f t="shared" si="290"/>
        <v>1204013</v>
      </c>
      <c r="B459" s="21" t="s">
        <v>265</v>
      </c>
      <c r="C459">
        <v>1</v>
      </c>
      <c r="D459">
        <v>2</v>
      </c>
      <c r="E459">
        <v>3</v>
      </c>
      <c r="F459" s="22" t="s">
        <v>738</v>
      </c>
      <c r="G459" s="22" t="s">
        <v>739</v>
      </c>
      <c r="H459" s="2">
        <v>0</v>
      </c>
      <c r="I459" s="2">
        <v>0</v>
      </c>
      <c r="J459" s="2">
        <f t="shared" si="269"/>
        <v>3</v>
      </c>
      <c r="K459" s="2">
        <f t="shared" si="270"/>
        <v>1.4000000000000001</v>
      </c>
      <c r="L459" s="2">
        <f t="shared" si="271"/>
        <v>1.2</v>
      </c>
      <c r="M459" s="2">
        <v>10</v>
      </c>
      <c r="N459" s="2">
        <f t="shared" si="272"/>
        <v>67.2</v>
      </c>
      <c r="O459" s="2">
        <f t="shared" si="273"/>
        <v>6.72</v>
      </c>
      <c r="P459" s="2">
        <f t="shared" si="274"/>
        <v>1066.67</v>
      </c>
      <c r="Q459" s="2">
        <f t="shared" si="275"/>
        <v>106.67</v>
      </c>
      <c r="R459" s="2">
        <f t="shared" si="276"/>
        <v>13.44</v>
      </c>
      <c r="S459" s="2">
        <f t="shared" si="277"/>
        <v>1.34</v>
      </c>
      <c r="T459" s="2">
        <v>0</v>
      </c>
      <c r="U459" s="2">
        <v>0</v>
      </c>
      <c r="V459" s="2">
        <v>0</v>
      </c>
      <c r="W459" s="2">
        <v>-10</v>
      </c>
      <c r="X459" s="2">
        <v>0</v>
      </c>
      <c r="Y459" s="25">
        <v>222041</v>
      </c>
      <c r="Z459" s="26" t="s">
        <v>482</v>
      </c>
      <c r="AA459" s="4">
        <v>1</v>
      </c>
      <c r="AB459" s="4">
        <v>0</v>
      </c>
      <c r="AC459" s="4"/>
      <c r="AD459" s="4">
        <f t="shared" si="291"/>
        <v>1951.5439944</v>
      </c>
      <c r="AF459" s="1" t="str">
        <f t="shared" si="292"/>
        <v>4</v>
      </c>
      <c r="AG459">
        <v>1</v>
      </c>
      <c r="AH459">
        <f t="shared" si="280"/>
        <v>67.2</v>
      </c>
      <c r="AI459">
        <f t="shared" si="281"/>
        <v>6.7200000000000006</v>
      </c>
      <c r="AJ459">
        <f t="shared" si="282"/>
        <v>1066.6666666666667</v>
      </c>
      <c r="AK459">
        <f t="shared" si="283"/>
        <v>106.66666666666669</v>
      </c>
      <c r="AL459">
        <f t="shared" si="284"/>
        <v>13.440000000000001</v>
      </c>
      <c r="AM459">
        <f t="shared" si="285"/>
        <v>1.3440000000000003</v>
      </c>
      <c r="AN459">
        <f t="shared" si="286"/>
        <v>1.4</v>
      </c>
      <c r="AO459">
        <f t="shared" si="287"/>
        <v>1.2</v>
      </c>
      <c r="AP459">
        <f t="shared" si="288"/>
        <v>3</v>
      </c>
      <c r="AQ459">
        <v>204</v>
      </c>
      <c r="AR459">
        <v>1</v>
      </c>
      <c r="BO459" t="s">
        <v>176</v>
      </c>
      <c r="BP459" t="str">
        <f>RIGHT(BO459,1)</f>
        <v>2</v>
      </c>
    </row>
    <row r="460" spans="1:68" x14ac:dyDescent="0.15">
      <c r="A460">
        <f t="shared" si="290"/>
        <v>1404013</v>
      </c>
      <c r="B460" s="21" t="s">
        <v>268</v>
      </c>
      <c r="C460">
        <v>1</v>
      </c>
      <c r="D460">
        <v>4</v>
      </c>
      <c r="E460">
        <v>3</v>
      </c>
      <c r="F460" s="22" t="s">
        <v>740</v>
      </c>
      <c r="G460" s="22" t="s">
        <v>741</v>
      </c>
      <c r="H460" s="2">
        <v>0</v>
      </c>
      <c r="I460" s="2" t="s">
        <v>103</v>
      </c>
      <c r="J460" s="2">
        <f t="shared" si="269"/>
        <v>6</v>
      </c>
      <c r="K460" s="2">
        <f t="shared" si="270"/>
        <v>1.6</v>
      </c>
      <c r="L460" s="2">
        <f t="shared" si="271"/>
        <v>1.9000000000000001</v>
      </c>
      <c r="M460" s="2">
        <v>10</v>
      </c>
      <c r="N460" s="2">
        <f t="shared" si="272"/>
        <v>110.93</v>
      </c>
      <c r="O460" s="2">
        <f t="shared" si="273"/>
        <v>11.09</v>
      </c>
      <c r="P460" s="2">
        <f t="shared" si="274"/>
        <v>738.46</v>
      </c>
      <c r="Q460" s="2">
        <f t="shared" si="275"/>
        <v>73.849999999999994</v>
      </c>
      <c r="R460" s="2">
        <f t="shared" si="276"/>
        <v>11.09</v>
      </c>
      <c r="S460" s="2">
        <f t="shared" si="277"/>
        <v>1.1100000000000001</v>
      </c>
      <c r="T460" s="2">
        <v>0</v>
      </c>
      <c r="U460" s="2">
        <v>0</v>
      </c>
      <c r="V460" s="2">
        <v>0</v>
      </c>
      <c r="W460" s="2">
        <v>-10</v>
      </c>
      <c r="X460" s="2">
        <v>0</v>
      </c>
      <c r="Y460" s="25">
        <v>224041</v>
      </c>
      <c r="Z460" s="26" t="s">
        <v>482</v>
      </c>
      <c r="AA460" s="4">
        <v>1</v>
      </c>
      <c r="AB460" s="4">
        <v>0</v>
      </c>
      <c r="AC460" s="4"/>
      <c r="AD460" s="4">
        <f t="shared" si="291"/>
        <v>1951.0415973168745</v>
      </c>
      <c r="AF460" s="1" t="str">
        <f t="shared" si="292"/>
        <v>4</v>
      </c>
      <c r="AG460">
        <v>1</v>
      </c>
      <c r="AH460">
        <f t="shared" si="280"/>
        <v>110.93333333333334</v>
      </c>
      <c r="AI460">
        <f t="shared" si="281"/>
        <v>11.093333333333334</v>
      </c>
      <c r="AJ460">
        <f t="shared" si="282"/>
        <v>738.46153846153834</v>
      </c>
      <c r="AK460">
        <f t="shared" si="283"/>
        <v>73.84615384615384</v>
      </c>
      <c r="AL460">
        <f t="shared" si="284"/>
        <v>11.093333333333334</v>
      </c>
      <c r="AM460">
        <f t="shared" si="285"/>
        <v>1.1093333333333335</v>
      </c>
      <c r="AN460">
        <f t="shared" si="286"/>
        <v>1.6</v>
      </c>
      <c r="AO460">
        <f t="shared" si="287"/>
        <v>1.9</v>
      </c>
      <c r="AP460">
        <f t="shared" si="288"/>
        <v>6</v>
      </c>
      <c r="AQ460">
        <v>404</v>
      </c>
      <c r="AR460">
        <v>1</v>
      </c>
      <c r="BO460" t="s">
        <v>165</v>
      </c>
      <c r="BP460" t="str">
        <f>RIGHT(BO460,1)</f>
        <v>2</v>
      </c>
    </row>
    <row r="461" spans="1:68" x14ac:dyDescent="0.15">
      <c r="A461">
        <f t="shared" si="290"/>
        <v>1503013</v>
      </c>
      <c r="B461" s="21" t="s">
        <v>271</v>
      </c>
      <c r="C461">
        <v>1</v>
      </c>
      <c r="D461">
        <v>5</v>
      </c>
      <c r="E461">
        <v>3</v>
      </c>
      <c r="F461" s="22" t="s">
        <v>742</v>
      </c>
      <c r="G461" s="22" t="s">
        <v>745</v>
      </c>
      <c r="H461" s="2">
        <v>0</v>
      </c>
      <c r="I461" s="2">
        <v>0</v>
      </c>
      <c r="J461" s="2">
        <f t="shared" si="269"/>
        <v>3</v>
      </c>
      <c r="K461" s="2">
        <f t="shared" si="270"/>
        <v>1.6</v>
      </c>
      <c r="L461" s="2">
        <f t="shared" si="271"/>
        <v>1.5</v>
      </c>
      <c r="M461" s="2">
        <v>10</v>
      </c>
      <c r="N461" s="2">
        <f t="shared" si="272"/>
        <v>102.4</v>
      </c>
      <c r="O461" s="2">
        <f t="shared" si="273"/>
        <v>10.24</v>
      </c>
      <c r="P461" s="2">
        <f t="shared" si="274"/>
        <v>800</v>
      </c>
      <c r="Q461" s="2">
        <f t="shared" si="275"/>
        <v>80</v>
      </c>
      <c r="R461" s="2">
        <f t="shared" si="276"/>
        <v>17.07</v>
      </c>
      <c r="S461" s="2">
        <f t="shared" si="277"/>
        <v>1.71</v>
      </c>
      <c r="T461" s="2">
        <v>0</v>
      </c>
      <c r="U461" s="2">
        <v>0</v>
      </c>
      <c r="V461" s="2">
        <v>0</v>
      </c>
      <c r="W461" s="2">
        <v>-10</v>
      </c>
      <c r="X461" s="2">
        <v>0</v>
      </c>
      <c r="Y461" s="25">
        <v>235031</v>
      </c>
      <c r="Z461" s="26" t="s">
        <v>482</v>
      </c>
      <c r="AA461" s="4">
        <v>1</v>
      </c>
      <c r="AB461" s="4">
        <v>0</v>
      </c>
      <c r="AC461" s="4"/>
      <c r="AD461" s="4">
        <f t="shared" si="291"/>
        <v>1951.4880000000001</v>
      </c>
      <c r="AF461" s="1" t="str">
        <f t="shared" si="292"/>
        <v>3</v>
      </c>
      <c r="AG461">
        <v>1</v>
      </c>
      <c r="AH461">
        <f t="shared" si="280"/>
        <v>102.4</v>
      </c>
      <c r="AI461">
        <f t="shared" si="281"/>
        <v>10.240000000000002</v>
      </c>
      <c r="AJ461">
        <f t="shared" si="282"/>
        <v>800</v>
      </c>
      <c r="AK461">
        <f t="shared" si="283"/>
        <v>80</v>
      </c>
      <c r="AL461">
        <f t="shared" si="284"/>
        <v>17.066666666666666</v>
      </c>
      <c r="AM461">
        <f t="shared" si="285"/>
        <v>1.7066666666666668</v>
      </c>
      <c r="AN461">
        <f t="shared" si="286"/>
        <v>1.6</v>
      </c>
      <c r="AO461">
        <f t="shared" si="287"/>
        <v>1.5</v>
      </c>
      <c r="AP461">
        <f t="shared" si="288"/>
        <v>3</v>
      </c>
      <c r="AQ461">
        <v>503</v>
      </c>
      <c r="AR461">
        <v>1</v>
      </c>
    </row>
    <row r="462" spans="1:68" x14ac:dyDescent="0.15">
      <c r="A462">
        <f t="shared" si="290"/>
        <v>1304013</v>
      </c>
      <c r="B462" s="21" t="s">
        <v>274</v>
      </c>
      <c r="C462">
        <v>1</v>
      </c>
      <c r="D462">
        <v>3</v>
      </c>
      <c r="E462">
        <v>3</v>
      </c>
      <c r="F462" s="22" t="s">
        <v>743</v>
      </c>
      <c r="G462" s="22" t="s">
        <v>744</v>
      </c>
      <c r="H462">
        <v>0</v>
      </c>
      <c r="I462" s="2">
        <v>0</v>
      </c>
      <c r="J462" s="2">
        <f t="shared" ref="J462:J525" si="297">AP462</f>
        <v>3</v>
      </c>
      <c r="K462" s="2">
        <f t="shared" ref="K462:K525" si="298">FLOOR(AN462/1,0.01)</f>
        <v>1.4000000000000001</v>
      </c>
      <c r="L462" s="2">
        <f t="shared" ref="L462:L525" si="299">FLOOR(AO462/1,0.01)</f>
        <v>2</v>
      </c>
      <c r="M462" s="2">
        <v>10</v>
      </c>
      <c r="N462" s="2">
        <f t="shared" ref="N462:N525" si="300">ROUND(AH462,2)</f>
        <v>85.87</v>
      </c>
      <c r="O462" s="2">
        <f t="shared" ref="O462:O525" si="301">ROUND(AI462,2)</f>
        <v>8.59</v>
      </c>
      <c r="P462" s="2">
        <f t="shared" ref="P462:P525" si="302">ROUND(AJ462,2)</f>
        <v>834.78</v>
      </c>
      <c r="Q462" s="2">
        <f t="shared" ref="Q462:Q525" si="303">ROUND(AK462,2)</f>
        <v>83.48</v>
      </c>
      <c r="R462" s="2">
        <f t="shared" ref="R462:R525" si="304">ROUND(AL462,2)</f>
        <v>10.73</v>
      </c>
      <c r="S462" s="2">
        <f t="shared" ref="S462:S525" si="305">ROUND(AM462,2)</f>
        <v>1.07</v>
      </c>
      <c r="T462" s="2">
        <v>0</v>
      </c>
      <c r="U462" s="2">
        <v>0</v>
      </c>
      <c r="V462" s="2">
        <v>0</v>
      </c>
      <c r="W462" s="2">
        <v>-10</v>
      </c>
      <c r="X462" s="2">
        <v>0</v>
      </c>
      <c r="Y462" s="25">
        <v>233041</v>
      </c>
      <c r="Z462" s="26" t="s">
        <v>482</v>
      </c>
      <c r="AA462" s="4">
        <v>1</v>
      </c>
      <c r="AB462" s="4">
        <v>0</v>
      </c>
      <c r="AC462" s="4"/>
      <c r="AD462" s="4">
        <f t="shared" si="291"/>
        <v>1952.220001185</v>
      </c>
      <c r="AF462" s="1" t="str">
        <f t="shared" si="292"/>
        <v>4</v>
      </c>
      <c r="AG462">
        <v>1</v>
      </c>
      <c r="AH462">
        <f t="shared" ref="AH462:AH525" si="306">INDEX($AV$5:$AV$50,MATCH($AQ462,$AT$5:$AT$50))*$AN462/1.5*$AZ$4*INDEX($AV$87:$BI$87,MATCH($AG462,$AV$86:$BI$86))</f>
        <v>85.86666666666666</v>
      </c>
      <c r="AI462">
        <f t="shared" ref="AI462:AI525" si="307">(INDEX($AV$5:$AV$50,MATCH($AQ462,$AT$5:$AT$50))*$AN462/1.5*$AZ$4*INDEX($AV$87:$BI$87,MATCH($AG462,$AV$86:$BI$86)))*0.1</f>
        <v>8.586666666666666</v>
      </c>
      <c r="AJ462">
        <f t="shared" ref="AJ462:AJ525" si="308">INDEX($AW$5:$AW$50,MATCH($AQ462,$AT$5:$AT$50))*$BA$4*INDEX($AV$87:$BI$87,MATCH($AG462,$AV$86:$BI$86))</f>
        <v>834.78260869565224</v>
      </c>
      <c r="AK462">
        <f t="shared" ref="AK462:AK525" si="309">(INDEX($AW$5:$AW$50,MATCH($AQ462,$AT$5:$AT$50))*$BA$4*INDEX($AV$87:$BI$87,MATCH($AG462,$AV$86:$BI$86)))*0.1</f>
        <v>83.478260869565233</v>
      </c>
      <c r="AL462">
        <f t="shared" ref="AL462:AL525" si="310">$AH462/INDEX($AX$5:$AX$50,MATCH($AQ462,$AT$5:$AT$50))</f>
        <v>10.733333333333333</v>
      </c>
      <c r="AM462">
        <f t="shared" ref="AM462:AM525" si="311">AL462*0.1</f>
        <v>1.0733333333333333</v>
      </c>
      <c r="AN462">
        <f t="shared" ref="AN462:AN525" si="312">INDEX($AY$5:$AY$50,MATCH($AQ462,$AT$5:$AT$50,0))</f>
        <v>1.4</v>
      </c>
      <c r="AO462">
        <f t="shared" ref="AO462:AO525" si="313">ROUND(IF(INDEX($BG$5:$BG$50,MATCH($AQ462,$AT$5:$AT$50,0))&lt;2,INDEX($BG$5:$BG$49,MATCH($AQ462,$AT$5:$AT$49,0))+0.2,2),1)</f>
        <v>2</v>
      </c>
      <c r="AP462">
        <f t="shared" ref="AP462:AP525" si="314">INDEX($BC$5:$BC$50,MATCH($AQ462,$AT$5:$AT$50,0))</f>
        <v>3</v>
      </c>
      <c r="AQ462">
        <v>304</v>
      </c>
      <c r="AR462">
        <v>1</v>
      </c>
      <c r="BO462" t="s">
        <v>184</v>
      </c>
      <c r="BP462" t="str">
        <f>RIGHT(BO462,1)</f>
        <v>0</v>
      </c>
    </row>
    <row r="463" spans="1:68" x14ac:dyDescent="0.15">
      <c r="A463">
        <f t="shared" ref="A463:A474" si="315">AR463*1000000+AQ463*1000+C463*10+E463</f>
        <v>1203014</v>
      </c>
      <c r="B463" s="6" t="s">
        <v>241</v>
      </c>
      <c r="C463">
        <v>1</v>
      </c>
      <c r="D463">
        <v>2</v>
      </c>
      <c r="E463">
        <v>4</v>
      </c>
      <c r="F463" s="6" t="s">
        <v>242</v>
      </c>
      <c r="G463" s="20" t="s">
        <v>243</v>
      </c>
      <c r="H463">
        <v>0</v>
      </c>
      <c r="I463" s="2">
        <v>0</v>
      </c>
      <c r="J463" s="2">
        <f t="shared" si="297"/>
        <v>3</v>
      </c>
      <c r="K463" s="2">
        <f t="shared" si="298"/>
        <v>1.3</v>
      </c>
      <c r="L463" s="2">
        <f t="shared" si="299"/>
        <v>1.9000000000000001</v>
      </c>
      <c r="M463" s="2">
        <v>10</v>
      </c>
      <c r="N463" s="2">
        <f t="shared" si="300"/>
        <v>62.4</v>
      </c>
      <c r="O463" s="2">
        <f t="shared" si="301"/>
        <v>6.24</v>
      </c>
      <c r="P463" s="2">
        <f t="shared" si="302"/>
        <v>1066.67</v>
      </c>
      <c r="Q463" s="2">
        <f t="shared" si="303"/>
        <v>106.67</v>
      </c>
      <c r="R463" s="2">
        <f t="shared" si="304"/>
        <v>12.48</v>
      </c>
      <c r="S463" s="2">
        <f t="shared" si="305"/>
        <v>1.25</v>
      </c>
      <c r="T463" s="2">
        <v>0</v>
      </c>
      <c r="U463" s="2">
        <v>0</v>
      </c>
      <c r="V463" s="2">
        <v>0</v>
      </c>
      <c r="W463" s="2">
        <v>-10</v>
      </c>
      <c r="X463" s="2">
        <v>0</v>
      </c>
      <c r="Y463" s="25">
        <v>112031</v>
      </c>
      <c r="Z463" s="26" t="s">
        <v>482</v>
      </c>
      <c r="AA463" s="4">
        <v>1</v>
      </c>
      <c r="AB463" s="4">
        <v>0</v>
      </c>
      <c r="AC463" s="4"/>
      <c r="AD463" s="4">
        <f t="shared" ref="AD463:AD474" si="316">(N463+O463*$AD$2)*(P463+Q463*$AD$2)/K463*0.945/3000</f>
        <v>1951.5439944</v>
      </c>
      <c r="AF463" s="1" t="str">
        <f t="shared" ref="AF463:AF474" si="317">RIGHT(AQ463,1)</f>
        <v>3</v>
      </c>
      <c r="AG463">
        <v>1</v>
      </c>
      <c r="AH463">
        <f t="shared" si="306"/>
        <v>62.400000000000013</v>
      </c>
      <c r="AI463">
        <f t="shared" si="307"/>
        <v>6.240000000000002</v>
      </c>
      <c r="AJ463">
        <f t="shared" si="308"/>
        <v>1066.6666666666667</v>
      </c>
      <c r="AK463">
        <f t="shared" si="309"/>
        <v>106.66666666666669</v>
      </c>
      <c r="AL463">
        <f t="shared" si="310"/>
        <v>12.480000000000002</v>
      </c>
      <c r="AM463">
        <f t="shared" si="311"/>
        <v>1.2480000000000002</v>
      </c>
      <c r="AN463">
        <f t="shared" si="312"/>
        <v>1.3</v>
      </c>
      <c r="AO463">
        <f t="shared" si="313"/>
        <v>1.9</v>
      </c>
      <c r="AP463">
        <f t="shared" si="314"/>
        <v>3</v>
      </c>
      <c r="AQ463">
        <v>203</v>
      </c>
      <c r="AR463">
        <v>1</v>
      </c>
      <c r="BO463" t="s">
        <v>169</v>
      </c>
      <c r="BP463" t="str">
        <f>RIGHT(BO463,1)</f>
        <v>0</v>
      </c>
    </row>
    <row r="464" spans="1:68" x14ac:dyDescent="0.15">
      <c r="A464">
        <f t="shared" si="315"/>
        <v>1403014</v>
      </c>
      <c r="B464" s="6" t="s">
        <v>244</v>
      </c>
      <c r="C464">
        <v>1</v>
      </c>
      <c r="D464">
        <v>4</v>
      </c>
      <c r="E464">
        <v>4</v>
      </c>
      <c r="F464" s="6" t="s">
        <v>245</v>
      </c>
      <c r="G464" s="20" t="s">
        <v>246</v>
      </c>
      <c r="H464" s="2">
        <v>0</v>
      </c>
      <c r="I464" s="2" t="s">
        <v>106</v>
      </c>
      <c r="J464" s="2">
        <f t="shared" si="297"/>
        <v>6</v>
      </c>
      <c r="K464" s="2">
        <f t="shared" si="298"/>
        <v>1.3</v>
      </c>
      <c r="L464" s="2">
        <f t="shared" si="299"/>
        <v>1.9000000000000001</v>
      </c>
      <c r="M464" s="2">
        <v>10</v>
      </c>
      <c r="N464" s="2">
        <f t="shared" si="300"/>
        <v>83.2</v>
      </c>
      <c r="O464" s="2">
        <f t="shared" si="301"/>
        <v>8.32</v>
      </c>
      <c r="P464" s="2">
        <f t="shared" si="302"/>
        <v>800</v>
      </c>
      <c r="Q464" s="2">
        <f t="shared" si="303"/>
        <v>80</v>
      </c>
      <c r="R464" s="2">
        <f t="shared" si="304"/>
        <v>8.32</v>
      </c>
      <c r="S464" s="2">
        <f t="shared" si="305"/>
        <v>0.83</v>
      </c>
      <c r="T464" s="2">
        <v>0</v>
      </c>
      <c r="U464" s="2">
        <v>0</v>
      </c>
      <c r="V464" s="2">
        <v>0</v>
      </c>
      <c r="W464" s="2">
        <v>-10</v>
      </c>
      <c r="X464" s="2">
        <v>0</v>
      </c>
      <c r="Y464" s="25">
        <v>114031</v>
      </c>
      <c r="Z464" s="26" t="s">
        <v>482</v>
      </c>
      <c r="AA464" s="4">
        <v>1</v>
      </c>
      <c r="AB464" s="4">
        <v>0</v>
      </c>
      <c r="AC464" s="4"/>
      <c r="AD464" s="4">
        <f t="shared" si="316"/>
        <v>1951.4880000000001</v>
      </c>
      <c r="AF464" s="1" t="str">
        <f t="shared" si="317"/>
        <v>3</v>
      </c>
      <c r="AG464">
        <v>1</v>
      </c>
      <c r="AH464">
        <f t="shared" si="306"/>
        <v>83.2</v>
      </c>
      <c r="AI464">
        <f t="shared" si="307"/>
        <v>8.32</v>
      </c>
      <c r="AJ464">
        <f t="shared" si="308"/>
        <v>800</v>
      </c>
      <c r="AK464">
        <f t="shared" si="309"/>
        <v>80</v>
      </c>
      <c r="AL464">
        <f t="shared" si="310"/>
        <v>8.32</v>
      </c>
      <c r="AM464">
        <f t="shared" si="311"/>
        <v>0.83200000000000007</v>
      </c>
      <c r="AN464">
        <f t="shared" si="312"/>
        <v>1.3</v>
      </c>
      <c r="AO464">
        <f t="shared" si="313"/>
        <v>1.9</v>
      </c>
      <c r="AP464">
        <f t="shared" si="314"/>
        <v>6</v>
      </c>
      <c r="AQ464">
        <v>403</v>
      </c>
      <c r="AR464">
        <v>1</v>
      </c>
    </row>
    <row r="465" spans="1:68" x14ac:dyDescent="0.15">
      <c r="A465">
        <f t="shared" si="315"/>
        <v>1205014</v>
      </c>
      <c r="B465" s="6" t="s">
        <v>247</v>
      </c>
      <c r="C465">
        <v>1</v>
      </c>
      <c r="D465">
        <v>2</v>
      </c>
      <c r="E465">
        <v>4</v>
      </c>
      <c r="F465" s="22" t="s">
        <v>734</v>
      </c>
      <c r="G465" s="29" t="s">
        <v>735</v>
      </c>
      <c r="H465">
        <v>0</v>
      </c>
      <c r="I465" s="2">
        <v>0</v>
      </c>
      <c r="J465" s="2">
        <f t="shared" si="297"/>
        <v>3</v>
      </c>
      <c r="K465" s="2">
        <f t="shared" si="298"/>
        <v>1.8</v>
      </c>
      <c r="L465" s="2">
        <f t="shared" si="299"/>
        <v>2</v>
      </c>
      <c r="M465" s="2">
        <v>10</v>
      </c>
      <c r="N465" s="2">
        <f t="shared" si="300"/>
        <v>86.4</v>
      </c>
      <c r="O465" s="2">
        <f t="shared" si="301"/>
        <v>8.64</v>
      </c>
      <c r="P465" s="2">
        <f t="shared" si="302"/>
        <v>1066.67</v>
      </c>
      <c r="Q465" s="2">
        <f t="shared" si="303"/>
        <v>106.67</v>
      </c>
      <c r="R465" s="2">
        <f t="shared" si="304"/>
        <v>17.28</v>
      </c>
      <c r="S465" s="2">
        <f t="shared" si="305"/>
        <v>1.73</v>
      </c>
      <c r="T465" s="2">
        <v>0</v>
      </c>
      <c r="U465" s="2">
        <v>0</v>
      </c>
      <c r="V465" s="2">
        <v>0</v>
      </c>
      <c r="W465" s="2">
        <v>-10</v>
      </c>
      <c r="X465" s="2">
        <v>0</v>
      </c>
      <c r="Y465" s="25">
        <v>122051</v>
      </c>
      <c r="Z465" s="26" t="s">
        <v>482</v>
      </c>
      <c r="AA465" s="4">
        <v>1</v>
      </c>
      <c r="AB465" s="4">
        <v>0</v>
      </c>
      <c r="AC465" s="4"/>
      <c r="AD465" s="4">
        <f t="shared" si="316"/>
        <v>1951.5439944</v>
      </c>
      <c r="AF465" s="1" t="str">
        <f t="shared" si="317"/>
        <v>5</v>
      </c>
      <c r="AG465">
        <v>1</v>
      </c>
      <c r="AH465">
        <f t="shared" si="306"/>
        <v>86.4</v>
      </c>
      <c r="AI465">
        <f t="shared" si="307"/>
        <v>8.64</v>
      </c>
      <c r="AJ465">
        <f t="shared" si="308"/>
        <v>1066.6666666666667</v>
      </c>
      <c r="AK465">
        <f t="shared" si="309"/>
        <v>106.66666666666669</v>
      </c>
      <c r="AL465">
        <f t="shared" si="310"/>
        <v>17.28</v>
      </c>
      <c r="AM465">
        <f t="shared" si="311"/>
        <v>1.7280000000000002</v>
      </c>
      <c r="AN465">
        <f t="shared" si="312"/>
        <v>1.8</v>
      </c>
      <c r="AO465">
        <f t="shared" si="313"/>
        <v>2</v>
      </c>
      <c r="AP465">
        <f t="shared" si="314"/>
        <v>3</v>
      </c>
      <c r="AQ465">
        <v>205</v>
      </c>
      <c r="AR465">
        <v>1</v>
      </c>
      <c r="BO465" t="s">
        <v>182</v>
      </c>
      <c r="BP465" t="str">
        <f>RIGHT(BO465,1)</f>
        <v>2</v>
      </c>
    </row>
    <row r="466" spans="1:68" x14ac:dyDescent="0.15">
      <c r="A466">
        <f t="shared" si="315"/>
        <v>1405014</v>
      </c>
      <c r="B466" s="6" t="s">
        <v>250</v>
      </c>
      <c r="C466">
        <v>1</v>
      </c>
      <c r="D466">
        <v>4</v>
      </c>
      <c r="E466">
        <v>4</v>
      </c>
      <c r="F466" s="22" t="s">
        <v>736</v>
      </c>
      <c r="G466" s="22" t="s">
        <v>737</v>
      </c>
      <c r="H466">
        <v>0</v>
      </c>
      <c r="I466" s="2" t="s">
        <v>106</v>
      </c>
      <c r="J466" s="2">
        <f t="shared" si="297"/>
        <v>6</v>
      </c>
      <c r="K466" s="2">
        <f t="shared" si="298"/>
        <v>1.5</v>
      </c>
      <c r="L466" s="2">
        <f t="shared" si="299"/>
        <v>1.5</v>
      </c>
      <c r="M466" s="2">
        <v>10</v>
      </c>
      <c r="N466" s="2">
        <f t="shared" si="300"/>
        <v>100</v>
      </c>
      <c r="O466" s="2">
        <f t="shared" si="301"/>
        <v>10</v>
      </c>
      <c r="P466" s="2">
        <f t="shared" si="302"/>
        <v>768</v>
      </c>
      <c r="Q466" s="2">
        <f t="shared" si="303"/>
        <v>76.8</v>
      </c>
      <c r="R466" s="2">
        <f t="shared" si="304"/>
        <v>10</v>
      </c>
      <c r="S466" s="2">
        <f t="shared" si="305"/>
        <v>1</v>
      </c>
      <c r="T466" s="2">
        <v>0</v>
      </c>
      <c r="U466" s="2">
        <v>0</v>
      </c>
      <c r="V466" s="2">
        <v>0</v>
      </c>
      <c r="W466" s="2">
        <v>-10</v>
      </c>
      <c r="X466" s="2">
        <v>0</v>
      </c>
      <c r="Y466" s="25">
        <v>124051</v>
      </c>
      <c r="Z466" s="26" t="s">
        <v>482</v>
      </c>
      <c r="AA466" s="4">
        <v>1</v>
      </c>
      <c r="AB466" s="4">
        <v>0</v>
      </c>
      <c r="AC466" s="4"/>
      <c r="AD466" s="4">
        <f t="shared" si="316"/>
        <v>1951.4880000000001</v>
      </c>
      <c r="AF466" s="1" t="str">
        <f t="shared" si="317"/>
        <v>5</v>
      </c>
      <c r="AG466">
        <v>1</v>
      </c>
      <c r="AH466">
        <f t="shared" si="306"/>
        <v>100</v>
      </c>
      <c r="AI466">
        <f t="shared" si="307"/>
        <v>10</v>
      </c>
      <c r="AJ466">
        <f t="shared" si="308"/>
        <v>768</v>
      </c>
      <c r="AK466">
        <f t="shared" si="309"/>
        <v>76.800000000000011</v>
      </c>
      <c r="AL466">
        <f t="shared" si="310"/>
        <v>10</v>
      </c>
      <c r="AM466">
        <f t="shared" si="311"/>
        <v>1</v>
      </c>
      <c r="AN466">
        <f t="shared" si="312"/>
        <v>1.5</v>
      </c>
      <c r="AO466">
        <f t="shared" si="313"/>
        <v>1.5</v>
      </c>
      <c r="AP466">
        <f t="shared" si="314"/>
        <v>6</v>
      </c>
      <c r="AQ466">
        <v>405</v>
      </c>
      <c r="AR466">
        <v>1</v>
      </c>
      <c r="BO466" t="s">
        <v>178</v>
      </c>
      <c r="BP466" t="str">
        <f>RIGHT(BO466,1)</f>
        <v>2</v>
      </c>
    </row>
    <row r="467" spans="1:68" x14ac:dyDescent="0.15">
      <c r="A467">
        <f t="shared" si="315"/>
        <v>1303014</v>
      </c>
      <c r="B467" s="6" t="s">
        <v>253</v>
      </c>
      <c r="C467">
        <v>1</v>
      </c>
      <c r="D467">
        <v>3</v>
      </c>
      <c r="E467">
        <v>4</v>
      </c>
      <c r="F467" s="22" t="s">
        <v>730</v>
      </c>
      <c r="G467" s="22" t="s">
        <v>731</v>
      </c>
      <c r="H467" s="2">
        <v>0</v>
      </c>
      <c r="I467" s="2">
        <v>0</v>
      </c>
      <c r="J467" s="2">
        <f t="shared" si="297"/>
        <v>3</v>
      </c>
      <c r="K467" s="2">
        <f t="shared" si="298"/>
        <v>1.3</v>
      </c>
      <c r="L467" s="2">
        <f t="shared" si="299"/>
        <v>1.4000000000000001</v>
      </c>
      <c r="M467" s="2">
        <v>10</v>
      </c>
      <c r="N467" s="2">
        <f t="shared" si="300"/>
        <v>76.27</v>
      </c>
      <c r="O467" s="2">
        <f t="shared" si="301"/>
        <v>7.63</v>
      </c>
      <c r="P467" s="2">
        <f t="shared" si="302"/>
        <v>872.73</v>
      </c>
      <c r="Q467" s="2">
        <f t="shared" si="303"/>
        <v>87.27</v>
      </c>
      <c r="R467" s="2">
        <f t="shared" si="304"/>
        <v>9.5299999999999994</v>
      </c>
      <c r="S467" s="2">
        <f t="shared" si="305"/>
        <v>0.95</v>
      </c>
      <c r="T467" s="2">
        <v>0</v>
      </c>
      <c r="U467" s="2">
        <v>0</v>
      </c>
      <c r="V467" s="2">
        <v>0</v>
      </c>
      <c r="W467" s="2">
        <v>-10</v>
      </c>
      <c r="X467" s="2">
        <v>0</v>
      </c>
      <c r="Y467" s="25">
        <v>133031</v>
      </c>
      <c r="Z467" s="26" t="s">
        <v>482</v>
      </c>
      <c r="AA467" s="4">
        <v>1</v>
      </c>
      <c r="AB467" s="4">
        <v>0</v>
      </c>
      <c r="AC467" s="4"/>
      <c r="AD467" s="4">
        <f t="shared" si="316"/>
        <v>1952.2162308357688</v>
      </c>
      <c r="AF467" s="1" t="str">
        <f t="shared" si="317"/>
        <v>3</v>
      </c>
      <c r="AG467">
        <v>1</v>
      </c>
      <c r="AH467">
        <f t="shared" si="306"/>
        <v>76.26666666666668</v>
      </c>
      <c r="AI467">
        <f t="shared" si="307"/>
        <v>7.6266666666666687</v>
      </c>
      <c r="AJ467">
        <f t="shared" si="308"/>
        <v>872.72727272727275</v>
      </c>
      <c r="AK467">
        <f t="shared" si="309"/>
        <v>87.27272727272728</v>
      </c>
      <c r="AL467">
        <f t="shared" si="310"/>
        <v>9.533333333333335</v>
      </c>
      <c r="AM467">
        <f t="shared" si="311"/>
        <v>0.95333333333333359</v>
      </c>
      <c r="AN467">
        <f t="shared" si="312"/>
        <v>1.3</v>
      </c>
      <c r="AO467">
        <f t="shared" si="313"/>
        <v>1.4</v>
      </c>
      <c r="AP467">
        <f t="shared" si="314"/>
        <v>3</v>
      </c>
      <c r="AQ467">
        <v>303</v>
      </c>
      <c r="AR467">
        <v>1</v>
      </c>
      <c r="BO467" t="s">
        <v>178</v>
      </c>
      <c r="BP467" t="str">
        <f>RIGHT(BO467,1)</f>
        <v>2</v>
      </c>
    </row>
    <row r="468" spans="1:68" x14ac:dyDescent="0.15">
      <c r="A468">
        <f t="shared" si="315"/>
        <v>1504014</v>
      </c>
      <c r="B468" s="6" t="s">
        <v>256</v>
      </c>
      <c r="C468">
        <v>1</v>
      </c>
      <c r="D468">
        <v>5</v>
      </c>
      <c r="E468">
        <v>4</v>
      </c>
      <c r="F468" s="22" t="s">
        <v>732</v>
      </c>
      <c r="G468" s="22" t="s">
        <v>733</v>
      </c>
      <c r="H468">
        <v>0</v>
      </c>
      <c r="I468" s="2">
        <v>0</v>
      </c>
      <c r="J468" s="2">
        <f t="shared" si="297"/>
        <v>3</v>
      </c>
      <c r="K468" s="2">
        <f t="shared" si="298"/>
        <v>1.8</v>
      </c>
      <c r="L468" s="2">
        <f t="shared" si="299"/>
        <v>1.5</v>
      </c>
      <c r="M468" s="2">
        <v>10</v>
      </c>
      <c r="N468" s="2">
        <f t="shared" si="300"/>
        <v>105.6</v>
      </c>
      <c r="O468" s="2">
        <f t="shared" si="301"/>
        <v>10.56</v>
      </c>
      <c r="P468" s="2">
        <f t="shared" si="302"/>
        <v>872.73</v>
      </c>
      <c r="Q468" s="2">
        <f t="shared" si="303"/>
        <v>87.27</v>
      </c>
      <c r="R468" s="2">
        <f t="shared" si="304"/>
        <v>17.600000000000001</v>
      </c>
      <c r="S468" s="2">
        <f t="shared" si="305"/>
        <v>1.76</v>
      </c>
      <c r="T468" s="2">
        <v>0</v>
      </c>
      <c r="U468" s="2">
        <v>0</v>
      </c>
      <c r="V468" s="2">
        <v>0</v>
      </c>
      <c r="W468" s="2">
        <v>-10</v>
      </c>
      <c r="X468" s="2">
        <v>0</v>
      </c>
      <c r="Y468" s="25">
        <v>135041</v>
      </c>
      <c r="Z468" s="26" t="s">
        <v>482</v>
      </c>
      <c r="AA468" s="4">
        <v>1</v>
      </c>
      <c r="AB468" s="4">
        <v>0.5</v>
      </c>
      <c r="AC468" s="4"/>
      <c r="AD468" s="4">
        <f t="shared" si="316"/>
        <v>1951.4331143999993</v>
      </c>
      <c r="AF468" s="1" t="str">
        <f t="shared" si="317"/>
        <v>4</v>
      </c>
      <c r="AG468">
        <v>1</v>
      </c>
      <c r="AH468">
        <f t="shared" si="306"/>
        <v>105.60000000000001</v>
      </c>
      <c r="AI468">
        <f t="shared" si="307"/>
        <v>10.560000000000002</v>
      </c>
      <c r="AJ468">
        <f t="shared" si="308"/>
        <v>872.72727272727275</v>
      </c>
      <c r="AK468">
        <f t="shared" si="309"/>
        <v>87.27272727272728</v>
      </c>
      <c r="AL468">
        <f t="shared" si="310"/>
        <v>17.600000000000001</v>
      </c>
      <c r="AM468">
        <f t="shared" si="311"/>
        <v>1.7600000000000002</v>
      </c>
      <c r="AN468">
        <f t="shared" si="312"/>
        <v>1.8</v>
      </c>
      <c r="AO468">
        <f t="shared" si="313"/>
        <v>1.5</v>
      </c>
      <c r="AP468">
        <f t="shared" si="314"/>
        <v>3</v>
      </c>
      <c r="AQ468">
        <v>504</v>
      </c>
      <c r="AR468">
        <v>1</v>
      </c>
      <c r="BO468" t="s">
        <v>188</v>
      </c>
      <c r="BP468" t="str">
        <f t="shared" ref="BP468:BP469" si="318">RIGHT(BO468,1)</f>
        <v>0</v>
      </c>
    </row>
    <row r="469" spans="1:68" x14ac:dyDescent="0.15">
      <c r="A469">
        <f t="shared" si="315"/>
        <v>1206014</v>
      </c>
      <c r="B469" s="21" t="s">
        <v>259</v>
      </c>
      <c r="C469">
        <v>1</v>
      </c>
      <c r="D469">
        <v>2</v>
      </c>
      <c r="E469">
        <v>4</v>
      </c>
      <c r="F469" s="6" t="s">
        <v>260</v>
      </c>
      <c r="G469" s="6" t="s">
        <v>261</v>
      </c>
      <c r="H469" s="2">
        <v>0</v>
      </c>
      <c r="I469" s="2">
        <v>0</v>
      </c>
      <c r="J469" s="2">
        <f t="shared" si="297"/>
        <v>3</v>
      </c>
      <c r="K469" s="2">
        <f t="shared" si="298"/>
        <v>1.6</v>
      </c>
      <c r="L469" s="2">
        <f t="shared" si="299"/>
        <v>2</v>
      </c>
      <c r="M469" s="2">
        <v>10</v>
      </c>
      <c r="N469" s="2">
        <f t="shared" si="300"/>
        <v>76.8</v>
      </c>
      <c r="O469" s="2">
        <f t="shared" si="301"/>
        <v>7.68</v>
      </c>
      <c r="P469" s="2">
        <f t="shared" si="302"/>
        <v>1066.67</v>
      </c>
      <c r="Q469" s="2">
        <f t="shared" si="303"/>
        <v>106.67</v>
      </c>
      <c r="R469" s="2">
        <f t="shared" si="304"/>
        <v>15.36</v>
      </c>
      <c r="S469" s="2">
        <f t="shared" si="305"/>
        <v>1.54</v>
      </c>
      <c r="T469" s="2">
        <v>0</v>
      </c>
      <c r="U469" s="2">
        <v>0</v>
      </c>
      <c r="V469" s="2">
        <v>0</v>
      </c>
      <c r="W469" s="2">
        <v>-10</v>
      </c>
      <c r="X469" s="2">
        <v>0</v>
      </c>
      <c r="Y469" s="25">
        <v>212061</v>
      </c>
      <c r="Z469" s="26" t="s">
        <v>482</v>
      </c>
      <c r="AA469" s="4">
        <v>1</v>
      </c>
      <c r="AB469" s="4">
        <v>0</v>
      </c>
      <c r="AC469" s="4"/>
      <c r="AD469" s="4">
        <f t="shared" si="316"/>
        <v>1951.5439943999995</v>
      </c>
      <c r="AF469" s="1" t="str">
        <f t="shared" si="317"/>
        <v>6</v>
      </c>
      <c r="AG469">
        <v>1</v>
      </c>
      <c r="AH469">
        <f t="shared" si="306"/>
        <v>76.800000000000011</v>
      </c>
      <c r="AI469">
        <f t="shared" si="307"/>
        <v>7.6800000000000015</v>
      </c>
      <c r="AJ469">
        <f t="shared" si="308"/>
        <v>1066.6666666666667</v>
      </c>
      <c r="AK469">
        <f t="shared" si="309"/>
        <v>106.66666666666669</v>
      </c>
      <c r="AL469">
        <f t="shared" si="310"/>
        <v>15.360000000000003</v>
      </c>
      <c r="AM469">
        <f t="shared" si="311"/>
        <v>1.5360000000000005</v>
      </c>
      <c r="AN469">
        <f t="shared" si="312"/>
        <v>1.6</v>
      </c>
      <c r="AO469">
        <f t="shared" si="313"/>
        <v>2</v>
      </c>
      <c r="AP469">
        <f t="shared" si="314"/>
        <v>3</v>
      </c>
      <c r="AQ469">
        <v>206</v>
      </c>
      <c r="AR469">
        <v>1</v>
      </c>
      <c r="BO469" t="s">
        <v>171</v>
      </c>
      <c r="BP469" t="str">
        <f t="shared" si="318"/>
        <v>1</v>
      </c>
    </row>
    <row r="470" spans="1:68" x14ac:dyDescent="0.15">
      <c r="A470">
        <f t="shared" si="315"/>
        <v>1406014</v>
      </c>
      <c r="B470" s="21" t="s">
        <v>262</v>
      </c>
      <c r="C470">
        <v>1</v>
      </c>
      <c r="D470">
        <v>4</v>
      </c>
      <c r="E470">
        <v>4</v>
      </c>
      <c r="F470" s="6" t="s">
        <v>263</v>
      </c>
      <c r="G470" s="6" t="s">
        <v>264</v>
      </c>
      <c r="H470" s="2">
        <v>0</v>
      </c>
      <c r="I470" s="2" t="s">
        <v>106</v>
      </c>
      <c r="J470" s="2">
        <f t="shared" si="297"/>
        <v>6</v>
      </c>
      <c r="K470" s="2">
        <f t="shared" si="298"/>
        <v>1.4000000000000001</v>
      </c>
      <c r="L470" s="2">
        <f t="shared" si="299"/>
        <v>1.2</v>
      </c>
      <c r="M470" s="2">
        <v>10</v>
      </c>
      <c r="N470" s="2">
        <f t="shared" si="300"/>
        <v>97.07</v>
      </c>
      <c r="O470" s="2">
        <f t="shared" si="301"/>
        <v>9.7100000000000009</v>
      </c>
      <c r="P470" s="2">
        <f t="shared" si="302"/>
        <v>738.46</v>
      </c>
      <c r="Q470" s="2">
        <f t="shared" si="303"/>
        <v>73.849999999999994</v>
      </c>
      <c r="R470" s="2">
        <f t="shared" si="304"/>
        <v>9.7100000000000009</v>
      </c>
      <c r="S470" s="2">
        <f t="shared" si="305"/>
        <v>0.97</v>
      </c>
      <c r="T470" s="2">
        <v>0</v>
      </c>
      <c r="U470" s="2">
        <v>0</v>
      </c>
      <c r="V470" s="2">
        <v>0</v>
      </c>
      <c r="W470" s="2">
        <v>-10</v>
      </c>
      <c r="X470" s="2">
        <v>0</v>
      </c>
      <c r="Y470" s="25">
        <v>214061</v>
      </c>
      <c r="Z470" s="26" t="s">
        <v>482</v>
      </c>
      <c r="AA470" s="4">
        <v>1</v>
      </c>
      <c r="AB470" s="4">
        <v>0</v>
      </c>
      <c r="AC470" s="4"/>
      <c r="AD470" s="4">
        <f t="shared" si="316"/>
        <v>1952.1953824949996</v>
      </c>
      <c r="AF470" s="1" t="str">
        <f t="shared" si="317"/>
        <v>6</v>
      </c>
      <c r="AG470">
        <v>1</v>
      </c>
      <c r="AH470">
        <f t="shared" si="306"/>
        <v>97.066666666666649</v>
      </c>
      <c r="AI470">
        <f t="shared" si="307"/>
        <v>9.7066666666666652</v>
      </c>
      <c r="AJ470">
        <f t="shared" si="308"/>
        <v>738.46153846153834</v>
      </c>
      <c r="AK470">
        <f t="shared" si="309"/>
        <v>73.84615384615384</v>
      </c>
      <c r="AL470">
        <f t="shared" si="310"/>
        <v>9.7066666666666652</v>
      </c>
      <c r="AM470">
        <f t="shared" si="311"/>
        <v>0.97066666666666657</v>
      </c>
      <c r="AN470">
        <f t="shared" si="312"/>
        <v>1.4</v>
      </c>
      <c r="AO470">
        <f t="shared" si="313"/>
        <v>1.2</v>
      </c>
      <c r="AP470">
        <f t="shared" si="314"/>
        <v>6</v>
      </c>
      <c r="AQ470">
        <v>406</v>
      </c>
      <c r="AR470">
        <v>1</v>
      </c>
      <c r="BO470" t="s">
        <v>136</v>
      </c>
      <c r="BP470" t="str">
        <f t="shared" ref="BP470" si="319">RIGHT(BO470,1)</f>
        <v>1</v>
      </c>
    </row>
    <row r="471" spans="1:68" x14ac:dyDescent="0.15">
      <c r="A471">
        <f t="shared" si="315"/>
        <v>1204014</v>
      </c>
      <c r="B471" s="21" t="s">
        <v>265</v>
      </c>
      <c r="C471">
        <v>1</v>
      </c>
      <c r="D471">
        <v>2</v>
      </c>
      <c r="E471">
        <v>4</v>
      </c>
      <c r="F471" s="22" t="s">
        <v>738</v>
      </c>
      <c r="G471" s="22" t="s">
        <v>739</v>
      </c>
      <c r="H471" s="2">
        <v>0</v>
      </c>
      <c r="I471" s="2">
        <v>0</v>
      </c>
      <c r="J471" s="2">
        <f t="shared" si="297"/>
        <v>3</v>
      </c>
      <c r="K471" s="2">
        <f t="shared" si="298"/>
        <v>1.4000000000000001</v>
      </c>
      <c r="L471" s="2">
        <f t="shared" si="299"/>
        <v>1.2</v>
      </c>
      <c r="M471" s="2">
        <v>10</v>
      </c>
      <c r="N471" s="2">
        <f t="shared" si="300"/>
        <v>67.2</v>
      </c>
      <c r="O471" s="2">
        <f t="shared" si="301"/>
        <v>6.72</v>
      </c>
      <c r="P471" s="2">
        <f t="shared" si="302"/>
        <v>1066.67</v>
      </c>
      <c r="Q471" s="2">
        <f t="shared" si="303"/>
        <v>106.67</v>
      </c>
      <c r="R471" s="2">
        <f t="shared" si="304"/>
        <v>13.44</v>
      </c>
      <c r="S471" s="2">
        <f t="shared" si="305"/>
        <v>1.34</v>
      </c>
      <c r="T471" s="2">
        <v>0</v>
      </c>
      <c r="U471" s="2">
        <v>0</v>
      </c>
      <c r="V471" s="2">
        <v>0</v>
      </c>
      <c r="W471" s="2">
        <v>-10</v>
      </c>
      <c r="X471" s="2">
        <v>0</v>
      </c>
      <c r="Y471" s="25">
        <v>222041</v>
      </c>
      <c r="Z471" s="26" t="s">
        <v>482</v>
      </c>
      <c r="AA471" s="4">
        <v>1</v>
      </c>
      <c r="AB471" s="4">
        <v>0</v>
      </c>
      <c r="AC471" s="4"/>
      <c r="AD471" s="4">
        <f t="shared" si="316"/>
        <v>1951.5439944</v>
      </c>
      <c r="AF471" s="1" t="str">
        <f t="shared" si="317"/>
        <v>4</v>
      </c>
      <c r="AG471">
        <v>1</v>
      </c>
      <c r="AH471">
        <f t="shared" si="306"/>
        <v>67.2</v>
      </c>
      <c r="AI471">
        <f t="shared" si="307"/>
        <v>6.7200000000000006</v>
      </c>
      <c r="AJ471">
        <f t="shared" si="308"/>
        <v>1066.6666666666667</v>
      </c>
      <c r="AK471">
        <f t="shared" si="309"/>
        <v>106.66666666666669</v>
      </c>
      <c r="AL471">
        <f t="shared" si="310"/>
        <v>13.440000000000001</v>
      </c>
      <c r="AM471">
        <f t="shared" si="311"/>
        <v>1.3440000000000003</v>
      </c>
      <c r="AN471">
        <f t="shared" si="312"/>
        <v>1.4</v>
      </c>
      <c r="AO471">
        <f t="shared" si="313"/>
        <v>1.2</v>
      </c>
      <c r="AP471">
        <f t="shared" si="314"/>
        <v>3</v>
      </c>
      <c r="AQ471">
        <v>204</v>
      </c>
      <c r="AR471">
        <v>1</v>
      </c>
    </row>
    <row r="472" spans="1:68" x14ac:dyDescent="0.15">
      <c r="A472">
        <f t="shared" si="315"/>
        <v>1404014</v>
      </c>
      <c r="B472" s="21" t="s">
        <v>268</v>
      </c>
      <c r="C472">
        <v>1</v>
      </c>
      <c r="D472">
        <v>4</v>
      </c>
      <c r="E472">
        <v>4</v>
      </c>
      <c r="F472" s="22" t="s">
        <v>740</v>
      </c>
      <c r="G472" s="22" t="s">
        <v>741</v>
      </c>
      <c r="H472" s="2">
        <v>0</v>
      </c>
      <c r="I472" s="2" t="s">
        <v>106</v>
      </c>
      <c r="J472" s="2">
        <f t="shared" si="297"/>
        <v>6</v>
      </c>
      <c r="K472" s="2">
        <f t="shared" si="298"/>
        <v>1.6</v>
      </c>
      <c r="L472" s="2">
        <f t="shared" si="299"/>
        <v>1.9000000000000001</v>
      </c>
      <c r="M472" s="2">
        <v>10</v>
      </c>
      <c r="N472" s="2">
        <f t="shared" si="300"/>
        <v>110.93</v>
      </c>
      <c r="O472" s="2">
        <f t="shared" si="301"/>
        <v>11.09</v>
      </c>
      <c r="P472" s="2">
        <f t="shared" si="302"/>
        <v>738.46</v>
      </c>
      <c r="Q472" s="2">
        <f t="shared" si="303"/>
        <v>73.849999999999994</v>
      </c>
      <c r="R472" s="2">
        <f t="shared" si="304"/>
        <v>11.09</v>
      </c>
      <c r="S472" s="2">
        <f t="shared" si="305"/>
        <v>1.1100000000000001</v>
      </c>
      <c r="T472" s="2">
        <v>0</v>
      </c>
      <c r="U472" s="2">
        <v>0</v>
      </c>
      <c r="V472" s="2">
        <v>0</v>
      </c>
      <c r="W472" s="2">
        <v>-10</v>
      </c>
      <c r="X472" s="2">
        <v>0</v>
      </c>
      <c r="Y472" s="25">
        <v>224041</v>
      </c>
      <c r="Z472" s="26" t="s">
        <v>482</v>
      </c>
      <c r="AA472" s="4">
        <v>1</v>
      </c>
      <c r="AB472" s="4">
        <v>0</v>
      </c>
      <c r="AC472" s="4"/>
      <c r="AD472" s="4">
        <f t="shared" si="316"/>
        <v>1951.0415973168745</v>
      </c>
      <c r="AF472" s="1" t="str">
        <f t="shared" si="317"/>
        <v>4</v>
      </c>
      <c r="AG472">
        <v>1</v>
      </c>
      <c r="AH472">
        <f t="shared" si="306"/>
        <v>110.93333333333334</v>
      </c>
      <c r="AI472">
        <f t="shared" si="307"/>
        <v>11.093333333333334</v>
      </c>
      <c r="AJ472">
        <f t="shared" si="308"/>
        <v>738.46153846153834</v>
      </c>
      <c r="AK472">
        <f t="shared" si="309"/>
        <v>73.84615384615384</v>
      </c>
      <c r="AL472">
        <f t="shared" si="310"/>
        <v>11.093333333333334</v>
      </c>
      <c r="AM472">
        <f t="shared" si="311"/>
        <v>1.1093333333333335</v>
      </c>
      <c r="AN472">
        <f t="shared" si="312"/>
        <v>1.6</v>
      </c>
      <c r="AO472">
        <f t="shared" si="313"/>
        <v>1.9</v>
      </c>
      <c r="AP472">
        <f t="shared" si="314"/>
        <v>6</v>
      </c>
      <c r="AQ472">
        <v>404</v>
      </c>
      <c r="AR472">
        <v>1</v>
      </c>
      <c r="BO472" t="s">
        <v>186</v>
      </c>
      <c r="BP472" t="str">
        <f>RIGHT(BO472,1)</f>
        <v>0</v>
      </c>
    </row>
    <row r="473" spans="1:68" x14ac:dyDescent="0.15">
      <c r="A473">
        <f t="shared" si="315"/>
        <v>1503014</v>
      </c>
      <c r="B473" s="21" t="s">
        <v>271</v>
      </c>
      <c r="C473">
        <v>1</v>
      </c>
      <c r="D473">
        <v>5</v>
      </c>
      <c r="E473">
        <v>4</v>
      </c>
      <c r="F473" s="22" t="s">
        <v>742</v>
      </c>
      <c r="G473" s="22" t="s">
        <v>745</v>
      </c>
      <c r="H473" s="2">
        <v>0</v>
      </c>
      <c r="I473" s="2">
        <v>0</v>
      </c>
      <c r="J473" s="2">
        <f t="shared" si="297"/>
        <v>3</v>
      </c>
      <c r="K473" s="2">
        <f t="shared" si="298"/>
        <v>1.6</v>
      </c>
      <c r="L473" s="2">
        <f t="shared" si="299"/>
        <v>1.5</v>
      </c>
      <c r="M473" s="2">
        <v>10</v>
      </c>
      <c r="N473" s="2">
        <f t="shared" si="300"/>
        <v>102.4</v>
      </c>
      <c r="O473" s="2">
        <f t="shared" si="301"/>
        <v>10.24</v>
      </c>
      <c r="P473" s="2">
        <f t="shared" si="302"/>
        <v>800</v>
      </c>
      <c r="Q473" s="2">
        <f t="shared" si="303"/>
        <v>80</v>
      </c>
      <c r="R473" s="2">
        <f t="shared" si="304"/>
        <v>17.07</v>
      </c>
      <c r="S473" s="2">
        <f t="shared" si="305"/>
        <v>1.71</v>
      </c>
      <c r="T473" s="2">
        <v>0</v>
      </c>
      <c r="U473" s="2">
        <v>0</v>
      </c>
      <c r="V473" s="2">
        <v>0</v>
      </c>
      <c r="W473" s="2">
        <v>-10</v>
      </c>
      <c r="X473" s="2">
        <v>0</v>
      </c>
      <c r="Y473" s="25">
        <v>235031</v>
      </c>
      <c r="Z473" s="26" t="s">
        <v>482</v>
      </c>
      <c r="AA473" s="4">
        <v>1</v>
      </c>
      <c r="AB473" s="4">
        <v>0</v>
      </c>
      <c r="AC473" s="4"/>
      <c r="AD473" s="4">
        <f t="shared" si="316"/>
        <v>1951.4880000000001</v>
      </c>
      <c r="AF473" s="1" t="str">
        <f t="shared" si="317"/>
        <v>3</v>
      </c>
      <c r="AG473">
        <v>1</v>
      </c>
      <c r="AH473">
        <f t="shared" si="306"/>
        <v>102.4</v>
      </c>
      <c r="AI473">
        <f t="shared" si="307"/>
        <v>10.240000000000002</v>
      </c>
      <c r="AJ473">
        <f t="shared" si="308"/>
        <v>800</v>
      </c>
      <c r="AK473">
        <f t="shared" si="309"/>
        <v>80</v>
      </c>
      <c r="AL473">
        <f t="shared" si="310"/>
        <v>17.066666666666666</v>
      </c>
      <c r="AM473">
        <f t="shared" si="311"/>
        <v>1.7066666666666668</v>
      </c>
      <c r="AN473">
        <f t="shared" si="312"/>
        <v>1.6</v>
      </c>
      <c r="AO473">
        <f t="shared" si="313"/>
        <v>1.5</v>
      </c>
      <c r="AP473">
        <f t="shared" si="314"/>
        <v>3</v>
      </c>
      <c r="AQ473">
        <v>503</v>
      </c>
      <c r="AR473">
        <v>1</v>
      </c>
      <c r="BO473" t="s">
        <v>176</v>
      </c>
      <c r="BP473" t="str">
        <f>RIGHT(BO473,1)</f>
        <v>2</v>
      </c>
    </row>
    <row r="474" spans="1:68" x14ac:dyDescent="0.15">
      <c r="A474">
        <f t="shared" si="315"/>
        <v>1304014</v>
      </c>
      <c r="B474" s="21" t="s">
        <v>274</v>
      </c>
      <c r="C474">
        <v>1</v>
      </c>
      <c r="D474">
        <v>3</v>
      </c>
      <c r="E474">
        <v>4</v>
      </c>
      <c r="F474" s="22" t="s">
        <v>743</v>
      </c>
      <c r="G474" s="22" t="s">
        <v>744</v>
      </c>
      <c r="H474">
        <v>0</v>
      </c>
      <c r="I474" s="2">
        <v>0</v>
      </c>
      <c r="J474" s="2">
        <f t="shared" si="297"/>
        <v>3</v>
      </c>
      <c r="K474" s="2">
        <f t="shared" si="298"/>
        <v>1.4000000000000001</v>
      </c>
      <c r="L474" s="2">
        <f t="shared" si="299"/>
        <v>2</v>
      </c>
      <c r="M474" s="2">
        <v>10</v>
      </c>
      <c r="N474" s="2">
        <f t="shared" si="300"/>
        <v>85.87</v>
      </c>
      <c r="O474" s="2">
        <f t="shared" si="301"/>
        <v>8.59</v>
      </c>
      <c r="P474" s="2">
        <f t="shared" si="302"/>
        <v>834.78</v>
      </c>
      <c r="Q474" s="2">
        <f t="shared" si="303"/>
        <v>83.48</v>
      </c>
      <c r="R474" s="2">
        <f t="shared" si="304"/>
        <v>10.73</v>
      </c>
      <c r="S474" s="2">
        <f t="shared" si="305"/>
        <v>1.07</v>
      </c>
      <c r="T474" s="2">
        <v>0</v>
      </c>
      <c r="U474" s="2">
        <v>0</v>
      </c>
      <c r="V474" s="2">
        <v>0</v>
      </c>
      <c r="W474" s="2">
        <v>-10</v>
      </c>
      <c r="X474" s="2">
        <v>0</v>
      </c>
      <c r="Y474" s="25">
        <v>233041</v>
      </c>
      <c r="Z474" s="26" t="s">
        <v>482</v>
      </c>
      <c r="AA474" s="4">
        <v>1</v>
      </c>
      <c r="AB474" s="4">
        <v>0</v>
      </c>
      <c r="AC474" s="4"/>
      <c r="AD474" s="4">
        <f t="shared" si="316"/>
        <v>1952.220001185</v>
      </c>
      <c r="AF474" s="1" t="str">
        <f t="shared" si="317"/>
        <v>4</v>
      </c>
      <c r="AG474">
        <v>1</v>
      </c>
      <c r="AH474">
        <f t="shared" si="306"/>
        <v>85.86666666666666</v>
      </c>
      <c r="AI474">
        <f t="shared" si="307"/>
        <v>8.586666666666666</v>
      </c>
      <c r="AJ474">
        <f t="shared" si="308"/>
        <v>834.78260869565224</v>
      </c>
      <c r="AK474">
        <f t="shared" si="309"/>
        <v>83.478260869565233</v>
      </c>
      <c r="AL474">
        <f t="shared" si="310"/>
        <v>10.733333333333333</v>
      </c>
      <c r="AM474">
        <f t="shared" si="311"/>
        <v>1.0733333333333333</v>
      </c>
      <c r="AN474">
        <f t="shared" si="312"/>
        <v>1.4</v>
      </c>
      <c r="AO474">
        <f t="shared" si="313"/>
        <v>2</v>
      </c>
      <c r="AP474">
        <f t="shared" si="314"/>
        <v>3</v>
      </c>
      <c r="AQ474">
        <v>304</v>
      </c>
      <c r="AR474">
        <v>1</v>
      </c>
      <c r="BO474" t="s">
        <v>165</v>
      </c>
      <c r="BP474" t="str">
        <f>RIGHT(BO474,1)</f>
        <v>2</v>
      </c>
    </row>
    <row r="475" spans="1:68" x14ac:dyDescent="0.15">
      <c r="A475">
        <f t="shared" ref="A475:A534" si="320">AR475*1000000+AQ475*1000+C475*10+E475</f>
        <v>1203015</v>
      </c>
      <c r="B475" s="6" t="s">
        <v>241</v>
      </c>
      <c r="C475">
        <v>1</v>
      </c>
      <c r="D475">
        <v>2</v>
      </c>
      <c r="E475">
        <v>5</v>
      </c>
      <c r="F475" s="6" t="s">
        <v>242</v>
      </c>
      <c r="G475" s="20" t="s">
        <v>243</v>
      </c>
      <c r="H475">
        <v>0</v>
      </c>
      <c r="I475" s="2">
        <v>0</v>
      </c>
      <c r="J475" s="2">
        <f t="shared" si="297"/>
        <v>3</v>
      </c>
      <c r="K475" s="2">
        <f t="shared" si="298"/>
        <v>1.3</v>
      </c>
      <c r="L475" s="2">
        <f t="shared" si="299"/>
        <v>1.9000000000000001</v>
      </c>
      <c r="M475" s="2">
        <v>10</v>
      </c>
      <c r="N475" s="2">
        <f t="shared" si="300"/>
        <v>62.4</v>
      </c>
      <c r="O475" s="2">
        <f t="shared" si="301"/>
        <v>6.24</v>
      </c>
      <c r="P475" s="2">
        <f t="shared" si="302"/>
        <v>1066.67</v>
      </c>
      <c r="Q475" s="2">
        <f t="shared" si="303"/>
        <v>106.67</v>
      </c>
      <c r="R475" s="2">
        <f t="shared" si="304"/>
        <v>12.48</v>
      </c>
      <c r="S475" s="2">
        <f t="shared" si="305"/>
        <v>1.25</v>
      </c>
      <c r="T475" s="2">
        <v>0</v>
      </c>
      <c r="U475" s="2">
        <v>0</v>
      </c>
      <c r="V475" s="2">
        <v>0</v>
      </c>
      <c r="W475" s="2">
        <v>-10</v>
      </c>
      <c r="X475" s="2">
        <v>0</v>
      </c>
      <c r="Y475" s="25">
        <v>112031</v>
      </c>
      <c r="Z475" s="26" t="s">
        <v>482</v>
      </c>
      <c r="AA475" s="4">
        <v>1</v>
      </c>
      <c r="AB475" s="4">
        <v>0</v>
      </c>
      <c r="AC475" s="4"/>
      <c r="AD475" s="4">
        <f t="shared" ref="AD475:AD534" si="321">(N475+O475*$AD$2)*(P475+Q475*$AD$2)/K475*0.945/3000</f>
        <v>1951.5439944</v>
      </c>
      <c r="AF475" s="1" t="str">
        <f t="shared" ref="AF475:AF534" si="322">RIGHT(AQ475,1)</f>
        <v>3</v>
      </c>
      <c r="AG475">
        <v>1</v>
      </c>
      <c r="AH475">
        <f t="shared" si="306"/>
        <v>62.400000000000013</v>
      </c>
      <c r="AI475">
        <f t="shared" si="307"/>
        <v>6.240000000000002</v>
      </c>
      <c r="AJ475">
        <f t="shared" si="308"/>
        <v>1066.6666666666667</v>
      </c>
      <c r="AK475">
        <f t="shared" si="309"/>
        <v>106.66666666666669</v>
      </c>
      <c r="AL475">
        <f t="shared" si="310"/>
        <v>12.480000000000002</v>
      </c>
      <c r="AM475">
        <f t="shared" si="311"/>
        <v>1.2480000000000002</v>
      </c>
      <c r="AN475">
        <f t="shared" si="312"/>
        <v>1.3</v>
      </c>
      <c r="AO475">
        <f t="shared" si="313"/>
        <v>1.9</v>
      </c>
      <c r="AP475">
        <f t="shared" si="314"/>
        <v>3</v>
      </c>
      <c r="AQ475">
        <v>203</v>
      </c>
      <c r="AR475">
        <v>1</v>
      </c>
    </row>
    <row r="476" spans="1:68" x14ac:dyDescent="0.15">
      <c r="A476">
        <f t="shared" si="320"/>
        <v>1403015</v>
      </c>
      <c r="B476" s="6" t="s">
        <v>244</v>
      </c>
      <c r="C476">
        <v>1</v>
      </c>
      <c r="D476">
        <v>4</v>
      </c>
      <c r="E476">
        <v>5</v>
      </c>
      <c r="F476" s="6" t="s">
        <v>245</v>
      </c>
      <c r="G476" s="20" t="s">
        <v>246</v>
      </c>
      <c r="H476" s="2">
        <v>0</v>
      </c>
      <c r="I476" s="2" t="s">
        <v>161</v>
      </c>
      <c r="J476" s="2">
        <f t="shared" si="297"/>
        <v>6</v>
      </c>
      <c r="K476" s="2">
        <f t="shared" si="298"/>
        <v>1.3</v>
      </c>
      <c r="L476" s="2">
        <f t="shared" si="299"/>
        <v>1.9000000000000001</v>
      </c>
      <c r="M476" s="2">
        <v>10</v>
      </c>
      <c r="N476" s="2">
        <f t="shared" si="300"/>
        <v>83.2</v>
      </c>
      <c r="O476" s="2">
        <f t="shared" si="301"/>
        <v>8.32</v>
      </c>
      <c r="P476" s="2">
        <f t="shared" si="302"/>
        <v>800</v>
      </c>
      <c r="Q476" s="2">
        <f t="shared" si="303"/>
        <v>80</v>
      </c>
      <c r="R476" s="2">
        <f t="shared" si="304"/>
        <v>8.32</v>
      </c>
      <c r="S476" s="2">
        <f t="shared" si="305"/>
        <v>0.83</v>
      </c>
      <c r="T476" s="2">
        <v>0</v>
      </c>
      <c r="U476" s="2">
        <v>0</v>
      </c>
      <c r="V476" s="2">
        <v>0</v>
      </c>
      <c r="W476" s="2">
        <v>-10</v>
      </c>
      <c r="X476" s="2">
        <v>0</v>
      </c>
      <c r="Y476" s="25">
        <v>114031</v>
      </c>
      <c r="Z476" s="26" t="s">
        <v>482</v>
      </c>
      <c r="AA476" s="4">
        <v>1</v>
      </c>
      <c r="AB476" s="4">
        <v>0</v>
      </c>
      <c r="AC476" s="4"/>
      <c r="AD476" s="4">
        <f t="shared" si="321"/>
        <v>1951.4880000000001</v>
      </c>
      <c r="AF476" s="1" t="str">
        <f t="shared" si="322"/>
        <v>3</v>
      </c>
      <c r="AG476">
        <v>1</v>
      </c>
      <c r="AH476">
        <f t="shared" si="306"/>
        <v>83.2</v>
      </c>
      <c r="AI476">
        <f t="shared" si="307"/>
        <v>8.32</v>
      </c>
      <c r="AJ476">
        <f t="shared" si="308"/>
        <v>800</v>
      </c>
      <c r="AK476">
        <f t="shared" si="309"/>
        <v>80</v>
      </c>
      <c r="AL476">
        <f t="shared" si="310"/>
        <v>8.32</v>
      </c>
      <c r="AM476">
        <f t="shared" si="311"/>
        <v>0.83200000000000007</v>
      </c>
      <c r="AN476">
        <f t="shared" si="312"/>
        <v>1.3</v>
      </c>
      <c r="AO476">
        <f t="shared" si="313"/>
        <v>1.9</v>
      </c>
      <c r="AP476">
        <f t="shared" si="314"/>
        <v>6</v>
      </c>
      <c r="AQ476">
        <v>403</v>
      </c>
      <c r="AR476">
        <v>1</v>
      </c>
      <c r="BO476" t="s">
        <v>184</v>
      </c>
      <c r="BP476" t="str">
        <f>RIGHT(BO476,1)</f>
        <v>0</v>
      </c>
    </row>
    <row r="477" spans="1:68" x14ac:dyDescent="0.15">
      <c r="A477">
        <f t="shared" si="320"/>
        <v>1205015</v>
      </c>
      <c r="B477" s="6" t="s">
        <v>247</v>
      </c>
      <c r="C477">
        <v>1</v>
      </c>
      <c r="D477">
        <v>2</v>
      </c>
      <c r="E477">
        <v>5</v>
      </c>
      <c r="F477" s="22" t="s">
        <v>734</v>
      </c>
      <c r="G477" s="29" t="s">
        <v>735</v>
      </c>
      <c r="H477">
        <v>0</v>
      </c>
      <c r="I477" s="2">
        <v>0</v>
      </c>
      <c r="J477" s="2">
        <f t="shared" si="297"/>
        <v>3</v>
      </c>
      <c r="K477" s="2">
        <f t="shared" si="298"/>
        <v>1.8</v>
      </c>
      <c r="L477" s="2">
        <f t="shared" si="299"/>
        <v>2</v>
      </c>
      <c r="M477" s="2">
        <v>10</v>
      </c>
      <c r="N477" s="2">
        <f t="shared" si="300"/>
        <v>86.4</v>
      </c>
      <c r="O477" s="2">
        <f t="shared" si="301"/>
        <v>8.64</v>
      </c>
      <c r="P477" s="2">
        <f t="shared" si="302"/>
        <v>1066.67</v>
      </c>
      <c r="Q477" s="2">
        <f t="shared" si="303"/>
        <v>106.67</v>
      </c>
      <c r="R477" s="2">
        <f t="shared" si="304"/>
        <v>17.28</v>
      </c>
      <c r="S477" s="2">
        <f t="shared" si="305"/>
        <v>1.73</v>
      </c>
      <c r="T477" s="2">
        <v>0</v>
      </c>
      <c r="U477" s="2">
        <v>0</v>
      </c>
      <c r="V477" s="2">
        <v>0</v>
      </c>
      <c r="W477" s="2">
        <v>-10</v>
      </c>
      <c r="X477" s="2">
        <v>0</v>
      </c>
      <c r="Y477" s="25">
        <v>122051</v>
      </c>
      <c r="Z477" s="26" t="s">
        <v>482</v>
      </c>
      <c r="AA477" s="4">
        <v>1</v>
      </c>
      <c r="AB477" s="4">
        <v>0</v>
      </c>
      <c r="AC477" s="4"/>
      <c r="AD477" s="4">
        <f t="shared" si="321"/>
        <v>1951.5439944</v>
      </c>
      <c r="AF477" s="1" t="str">
        <f t="shared" si="322"/>
        <v>5</v>
      </c>
      <c r="AG477">
        <v>1</v>
      </c>
      <c r="AH477">
        <f t="shared" si="306"/>
        <v>86.4</v>
      </c>
      <c r="AI477">
        <f t="shared" si="307"/>
        <v>8.64</v>
      </c>
      <c r="AJ477">
        <f t="shared" si="308"/>
        <v>1066.6666666666667</v>
      </c>
      <c r="AK477">
        <f t="shared" si="309"/>
        <v>106.66666666666669</v>
      </c>
      <c r="AL477">
        <f t="shared" si="310"/>
        <v>17.28</v>
      </c>
      <c r="AM477">
        <f t="shared" si="311"/>
        <v>1.7280000000000002</v>
      </c>
      <c r="AN477">
        <f t="shared" si="312"/>
        <v>1.8</v>
      </c>
      <c r="AO477">
        <f t="shared" si="313"/>
        <v>2</v>
      </c>
      <c r="AP477">
        <f t="shared" si="314"/>
        <v>3</v>
      </c>
      <c r="AQ477">
        <v>205</v>
      </c>
      <c r="AR477">
        <v>1</v>
      </c>
      <c r="BO477" t="s">
        <v>169</v>
      </c>
      <c r="BP477" t="str">
        <f>RIGHT(BO477,1)</f>
        <v>0</v>
      </c>
    </row>
    <row r="478" spans="1:68" x14ac:dyDescent="0.15">
      <c r="A478">
        <f t="shared" si="320"/>
        <v>1405015</v>
      </c>
      <c r="B478" s="6" t="s">
        <v>250</v>
      </c>
      <c r="C478">
        <v>1</v>
      </c>
      <c r="D478">
        <v>4</v>
      </c>
      <c r="E478">
        <v>5</v>
      </c>
      <c r="F478" s="22" t="s">
        <v>736</v>
      </c>
      <c r="G478" s="22" t="s">
        <v>737</v>
      </c>
      <c r="H478">
        <v>0</v>
      </c>
      <c r="I478" s="2" t="s">
        <v>161</v>
      </c>
      <c r="J478" s="2">
        <f t="shared" si="297"/>
        <v>6</v>
      </c>
      <c r="K478" s="2">
        <f t="shared" si="298"/>
        <v>1.5</v>
      </c>
      <c r="L478" s="2">
        <f t="shared" si="299"/>
        <v>1.5</v>
      </c>
      <c r="M478" s="2">
        <v>10</v>
      </c>
      <c r="N478" s="2">
        <f t="shared" si="300"/>
        <v>100</v>
      </c>
      <c r="O478" s="2">
        <f t="shared" si="301"/>
        <v>10</v>
      </c>
      <c r="P478" s="2">
        <f t="shared" si="302"/>
        <v>768</v>
      </c>
      <c r="Q478" s="2">
        <f t="shared" si="303"/>
        <v>76.8</v>
      </c>
      <c r="R478" s="2">
        <f t="shared" si="304"/>
        <v>10</v>
      </c>
      <c r="S478" s="2">
        <f t="shared" si="305"/>
        <v>1</v>
      </c>
      <c r="T478" s="2">
        <v>0</v>
      </c>
      <c r="U478" s="2">
        <v>0</v>
      </c>
      <c r="V478" s="2">
        <v>0</v>
      </c>
      <c r="W478" s="2">
        <v>-10</v>
      </c>
      <c r="X478" s="2">
        <v>0</v>
      </c>
      <c r="Y478" s="25">
        <v>124051</v>
      </c>
      <c r="Z478" s="26" t="s">
        <v>482</v>
      </c>
      <c r="AA478" s="4">
        <v>1</v>
      </c>
      <c r="AB478" s="4">
        <v>0</v>
      </c>
      <c r="AC478" s="4"/>
      <c r="AD478" s="4">
        <f t="shared" si="321"/>
        <v>1951.4880000000001</v>
      </c>
      <c r="AF478" s="1" t="str">
        <f t="shared" si="322"/>
        <v>5</v>
      </c>
      <c r="AG478">
        <v>1</v>
      </c>
      <c r="AH478">
        <f t="shared" si="306"/>
        <v>100</v>
      </c>
      <c r="AI478">
        <f t="shared" si="307"/>
        <v>10</v>
      </c>
      <c r="AJ478">
        <f t="shared" si="308"/>
        <v>768</v>
      </c>
      <c r="AK478">
        <f t="shared" si="309"/>
        <v>76.800000000000011</v>
      </c>
      <c r="AL478">
        <f t="shared" si="310"/>
        <v>10</v>
      </c>
      <c r="AM478">
        <f t="shared" si="311"/>
        <v>1</v>
      </c>
      <c r="AN478">
        <f t="shared" si="312"/>
        <v>1.5</v>
      </c>
      <c r="AO478">
        <f t="shared" si="313"/>
        <v>1.5</v>
      </c>
      <c r="AP478">
        <f t="shared" si="314"/>
        <v>6</v>
      </c>
      <c r="AQ478">
        <v>405</v>
      </c>
      <c r="AR478">
        <v>1</v>
      </c>
    </row>
    <row r="479" spans="1:68" x14ac:dyDescent="0.15">
      <c r="A479">
        <f t="shared" si="320"/>
        <v>1303015</v>
      </c>
      <c r="B479" s="6" t="s">
        <v>253</v>
      </c>
      <c r="C479">
        <v>1</v>
      </c>
      <c r="D479">
        <v>3</v>
      </c>
      <c r="E479">
        <v>5</v>
      </c>
      <c r="F479" s="22" t="s">
        <v>730</v>
      </c>
      <c r="G479" s="22" t="s">
        <v>731</v>
      </c>
      <c r="H479" s="2">
        <v>0</v>
      </c>
      <c r="I479" s="2">
        <v>0</v>
      </c>
      <c r="J479" s="2">
        <f t="shared" si="297"/>
        <v>3</v>
      </c>
      <c r="K479" s="2">
        <f t="shared" si="298"/>
        <v>1.3</v>
      </c>
      <c r="L479" s="2">
        <f t="shared" si="299"/>
        <v>1.4000000000000001</v>
      </c>
      <c r="M479" s="2">
        <v>10</v>
      </c>
      <c r="N479" s="2">
        <f t="shared" si="300"/>
        <v>76.27</v>
      </c>
      <c r="O479" s="2">
        <f t="shared" si="301"/>
        <v>7.63</v>
      </c>
      <c r="P479" s="2">
        <f t="shared" si="302"/>
        <v>872.73</v>
      </c>
      <c r="Q479" s="2">
        <f t="shared" si="303"/>
        <v>87.27</v>
      </c>
      <c r="R479" s="2">
        <f t="shared" si="304"/>
        <v>9.5299999999999994</v>
      </c>
      <c r="S479" s="2">
        <f t="shared" si="305"/>
        <v>0.95</v>
      </c>
      <c r="T479" s="2">
        <v>0</v>
      </c>
      <c r="U479" s="2">
        <v>0</v>
      </c>
      <c r="V479" s="2">
        <v>0</v>
      </c>
      <c r="W479" s="2">
        <v>-10</v>
      </c>
      <c r="X479" s="2">
        <v>0</v>
      </c>
      <c r="Y479" s="25">
        <v>133031</v>
      </c>
      <c r="Z479" s="26" t="s">
        <v>482</v>
      </c>
      <c r="AA479" s="4">
        <v>1</v>
      </c>
      <c r="AB479" s="4">
        <v>0</v>
      </c>
      <c r="AC479" s="4"/>
      <c r="AD479" s="4">
        <f t="shared" si="321"/>
        <v>1952.2162308357688</v>
      </c>
      <c r="AF479" s="1" t="str">
        <f t="shared" si="322"/>
        <v>3</v>
      </c>
      <c r="AG479">
        <v>1</v>
      </c>
      <c r="AH479">
        <f t="shared" si="306"/>
        <v>76.26666666666668</v>
      </c>
      <c r="AI479">
        <f t="shared" si="307"/>
        <v>7.6266666666666687</v>
      </c>
      <c r="AJ479">
        <f t="shared" si="308"/>
        <v>872.72727272727275</v>
      </c>
      <c r="AK479">
        <f t="shared" si="309"/>
        <v>87.27272727272728</v>
      </c>
      <c r="AL479">
        <f t="shared" si="310"/>
        <v>9.533333333333335</v>
      </c>
      <c r="AM479">
        <f t="shared" si="311"/>
        <v>0.95333333333333359</v>
      </c>
      <c r="AN479">
        <f t="shared" si="312"/>
        <v>1.3</v>
      </c>
      <c r="AO479">
        <f t="shared" si="313"/>
        <v>1.4</v>
      </c>
      <c r="AP479">
        <f t="shared" si="314"/>
        <v>3</v>
      </c>
      <c r="AQ479">
        <v>303</v>
      </c>
      <c r="AR479">
        <v>1</v>
      </c>
      <c r="BO479" t="s">
        <v>182</v>
      </c>
      <c r="BP479" t="str">
        <f>RIGHT(BO479,1)</f>
        <v>2</v>
      </c>
    </row>
    <row r="480" spans="1:68" x14ac:dyDescent="0.15">
      <c r="A480">
        <f t="shared" si="320"/>
        <v>1504015</v>
      </c>
      <c r="B480" s="6" t="s">
        <v>256</v>
      </c>
      <c r="C480">
        <v>1</v>
      </c>
      <c r="D480">
        <v>5</v>
      </c>
      <c r="E480">
        <v>5</v>
      </c>
      <c r="F480" s="22" t="s">
        <v>732</v>
      </c>
      <c r="G480" s="22" t="s">
        <v>733</v>
      </c>
      <c r="H480">
        <v>0</v>
      </c>
      <c r="I480" s="2">
        <v>0</v>
      </c>
      <c r="J480" s="2">
        <f t="shared" si="297"/>
        <v>3</v>
      </c>
      <c r="K480" s="2">
        <f t="shared" si="298"/>
        <v>1.8</v>
      </c>
      <c r="L480" s="2">
        <f t="shared" si="299"/>
        <v>1.5</v>
      </c>
      <c r="M480" s="2">
        <v>10</v>
      </c>
      <c r="N480" s="2">
        <f t="shared" si="300"/>
        <v>105.6</v>
      </c>
      <c r="O480" s="2">
        <f t="shared" si="301"/>
        <v>10.56</v>
      </c>
      <c r="P480" s="2">
        <f t="shared" si="302"/>
        <v>872.73</v>
      </c>
      <c r="Q480" s="2">
        <f t="shared" si="303"/>
        <v>87.27</v>
      </c>
      <c r="R480" s="2">
        <f t="shared" si="304"/>
        <v>17.600000000000001</v>
      </c>
      <c r="S480" s="2">
        <f t="shared" si="305"/>
        <v>1.76</v>
      </c>
      <c r="T480" s="2">
        <v>0</v>
      </c>
      <c r="U480" s="2">
        <v>0</v>
      </c>
      <c r="V480" s="2">
        <v>0</v>
      </c>
      <c r="W480" s="2">
        <v>-10</v>
      </c>
      <c r="X480" s="2">
        <v>0</v>
      </c>
      <c r="Y480" s="25">
        <v>135041</v>
      </c>
      <c r="Z480" s="26" t="s">
        <v>482</v>
      </c>
      <c r="AA480" s="4">
        <v>1</v>
      </c>
      <c r="AB480" s="4">
        <v>0.5</v>
      </c>
      <c r="AC480" s="4"/>
      <c r="AD480" s="4">
        <f t="shared" si="321"/>
        <v>1951.4331143999993</v>
      </c>
      <c r="AF480" s="1" t="str">
        <f t="shared" si="322"/>
        <v>4</v>
      </c>
      <c r="AG480">
        <v>1</v>
      </c>
      <c r="AH480">
        <f t="shared" si="306"/>
        <v>105.60000000000001</v>
      </c>
      <c r="AI480">
        <f t="shared" si="307"/>
        <v>10.560000000000002</v>
      </c>
      <c r="AJ480">
        <f t="shared" si="308"/>
        <v>872.72727272727275</v>
      </c>
      <c r="AK480">
        <f t="shared" si="309"/>
        <v>87.27272727272728</v>
      </c>
      <c r="AL480">
        <f t="shared" si="310"/>
        <v>17.600000000000001</v>
      </c>
      <c r="AM480">
        <f t="shared" si="311"/>
        <v>1.7600000000000002</v>
      </c>
      <c r="AN480">
        <f t="shared" si="312"/>
        <v>1.8</v>
      </c>
      <c r="AO480">
        <f t="shared" si="313"/>
        <v>1.5</v>
      </c>
      <c r="AP480">
        <f t="shared" si="314"/>
        <v>3</v>
      </c>
      <c r="AQ480">
        <v>504</v>
      </c>
      <c r="AR480">
        <v>1</v>
      </c>
      <c r="BO480" t="s">
        <v>178</v>
      </c>
      <c r="BP480" t="str">
        <f>RIGHT(BO480,1)</f>
        <v>2</v>
      </c>
    </row>
    <row r="481" spans="1:68" x14ac:dyDescent="0.15">
      <c r="A481">
        <f t="shared" si="320"/>
        <v>1206015</v>
      </c>
      <c r="B481" s="21" t="s">
        <v>259</v>
      </c>
      <c r="C481">
        <v>1</v>
      </c>
      <c r="D481">
        <v>2</v>
      </c>
      <c r="E481">
        <v>5</v>
      </c>
      <c r="F481" s="6" t="s">
        <v>260</v>
      </c>
      <c r="G481" s="6" t="s">
        <v>261</v>
      </c>
      <c r="H481" s="2">
        <v>0</v>
      </c>
      <c r="I481" s="2">
        <v>0</v>
      </c>
      <c r="J481" s="2">
        <f t="shared" si="297"/>
        <v>3</v>
      </c>
      <c r="K481" s="2">
        <f t="shared" si="298"/>
        <v>1.6</v>
      </c>
      <c r="L481" s="2">
        <f t="shared" si="299"/>
        <v>2</v>
      </c>
      <c r="M481" s="2">
        <v>10</v>
      </c>
      <c r="N481" s="2">
        <f t="shared" si="300"/>
        <v>76.8</v>
      </c>
      <c r="O481" s="2">
        <f t="shared" si="301"/>
        <v>7.68</v>
      </c>
      <c r="P481" s="2">
        <f t="shared" si="302"/>
        <v>1066.67</v>
      </c>
      <c r="Q481" s="2">
        <f t="shared" si="303"/>
        <v>106.67</v>
      </c>
      <c r="R481" s="2">
        <f t="shared" si="304"/>
        <v>15.36</v>
      </c>
      <c r="S481" s="2">
        <f t="shared" si="305"/>
        <v>1.54</v>
      </c>
      <c r="T481" s="2">
        <v>0</v>
      </c>
      <c r="U481" s="2">
        <v>0</v>
      </c>
      <c r="V481" s="2">
        <v>0</v>
      </c>
      <c r="W481" s="2">
        <v>-10</v>
      </c>
      <c r="X481" s="2">
        <v>0</v>
      </c>
      <c r="Y481" s="25">
        <v>212061</v>
      </c>
      <c r="Z481" s="26" t="s">
        <v>482</v>
      </c>
      <c r="AA481" s="4">
        <v>1</v>
      </c>
      <c r="AB481" s="4">
        <v>0</v>
      </c>
      <c r="AC481" s="4"/>
      <c r="AD481" s="4">
        <f t="shared" si="321"/>
        <v>1951.5439943999995</v>
      </c>
      <c r="AF481" s="1" t="str">
        <f t="shared" si="322"/>
        <v>6</v>
      </c>
      <c r="AG481">
        <v>1</v>
      </c>
      <c r="AH481">
        <f t="shared" si="306"/>
        <v>76.800000000000011</v>
      </c>
      <c r="AI481">
        <f t="shared" si="307"/>
        <v>7.6800000000000015</v>
      </c>
      <c r="AJ481">
        <f t="shared" si="308"/>
        <v>1066.6666666666667</v>
      </c>
      <c r="AK481">
        <f t="shared" si="309"/>
        <v>106.66666666666669</v>
      </c>
      <c r="AL481">
        <f t="shared" si="310"/>
        <v>15.360000000000003</v>
      </c>
      <c r="AM481">
        <f t="shared" si="311"/>
        <v>1.5360000000000005</v>
      </c>
      <c r="AN481">
        <f t="shared" si="312"/>
        <v>1.6</v>
      </c>
      <c r="AO481">
        <f t="shared" si="313"/>
        <v>2</v>
      </c>
      <c r="AP481">
        <f t="shared" si="314"/>
        <v>3</v>
      </c>
      <c r="AQ481">
        <v>206</v>
      </c>
      <c r="AR481">
        <v>1</v>
      </c>
      <c r="BO481" t="s">
        <v>178</v>
      </c>
      <c r="BP481" t="str">
        <f>RIGHT(BO481,1)</f>
        <v>2</v>
      </c>
    </row>
    <row r="482" spans="1:68" x14ac:dyDescent="0.15">
      <c r="A482">
        <f t="shared" si="320"/>
        <v>1406015</v>
      </c>
      <c r="B482" s="21" t="s">
        <v>262</v>
      </c>
      <c r="C482">
        <v>1</v>
      </c>
      <c r="D482">
        <v>4</v>
      </c>
      <c r="E482">
        <v>5</v>
      </c>
      <c r="F482" s="6" t="s">
        <v>263</v>
      </c>
      <c r="G482" s="6" t="s">
        <v>264</v>
      </c>
      <c r="H482" s="2">
        <v>0</v>
      </c>
      <c r="I482" s="2" t="s">
        <v>161</v>
      </c>
      <c r="J482" s="2">
        <f t="shared" si="297"/>
        <v>6</v>
      </c>
      <c r="K482" s="2">
        <f t="shared" si="298"/>
        <v>1.4000000000000001</v>
      </c>
      <c r="L482" s="2">
        <f t="shared" si="299"/>
        <v>1.2</v>
      </c>
      <c r="M482" s="2">
        <v>10</v>
      </c>
      <c r="N482" s="2">
        <f t="shared" si="300"/>
        <v>97.07</v>
      </c>
      <c r="O482" s="2">
        <f t="shared" si="301"/>
        <v>9.7100000000000009</v>
      </c>
      <c r="P482" s="2">
        <f t="shared" si="302"/>
        <v>738.46</v>
      </c>
      <c r="Q482" s="2">
        <f t="shared" si="303"/>
        <v>73.849999999999994</v>
      </c>
      <c r="R482" s="2">
        <f t="shared" si="304"/>
        <v>9.7100000000000009</v>
      </c>
      <c r="S482" s="2">
        <f t="shared" si="305"/>
        <v>0.97</v>
      </c>
      <c r="T482" s="2">
        <v>0</v>
      </c>
      <c r="U482" s="2">
        <v>0</v>
      </c>
      <c r="V482" s="2">
        <v>0</v>
      </c>
      <c r="W482" s="2">
        <v>-10</v>
      </c>
      <c r="X482" s="2">
        <v>0</v>
      </c>
      <c r="Y482" s="25">
        <v>214061</v>
      </c>
      <c r="Z482" s="26" t="s">
        <v>482</v>
      </c>
      <c r="AA482" s="4">
        <v>1</v>
      </c>
      <c r="AB482" s="4">
        <v>0</v>
      </c>
      <c r="AC482" s="4"/>
      <c r="AD482" s="4">
        <f t="shared" si="321"/>
        <v>1952.1953824949996</v>
      </c>
      <c r="AF482" s="1" t="str">
        <f t="shared" si="322"/>
        <v>6</v>
      </c>
      <c r="AG482">
        <v>1</v>
      </c>
      <c r="AH482">
        <f t="shared" si="306"/>
        <v>97.066666666666649</v>
      </c>
      <c r="AI482">
        <f t="shared" si="307"/>
        <v>9.7066666666666652</v>
      </c>
      <c r="AJ482">
        <f t="shared" si="308"/>
        <v>738.46153846153834</v>
      </c>
      <c r="AK482">
        <f t="shared" si="309"/>
        <v>73.84615384615384</v>
      </c>
      <c r="AL482">
        <f t="shared" si="310"/>
        <v>9.7066666666666652</v>
      </c>
      <c r="AM482">
        <f t="shared" si="311"/>
        <v>0.97066666666666657</v>
      </c>
      <c r="AN482">
        <f t="shared" si="312"/>
        <v>1.4</v>
      </c>
      <c r="AO482">
        <f t="shared" si="313"/>
        <v>1.2</v>
      </c>
      <c r="AP482">
        <f t="shared" si="314"/>
        <v>6</v>
      </c>
      <c r="AQ482">
        <v>406</v>
      </c>
      <c r="AR482">
        <v>1</v>
      </c>
      <c r="BO482" t="s">
        <v>188</v>
      </c>
      <c r="BP482" t="str">
        <f t="shared" ref="BP482:BP483" si="323">RIGHT(BO482,1)</f>
        <v>0</v>
      </c>
    </row>
    <row r="483" spans="1:68" x14ac:dyDescent="0.15">
      <c r="A483">
        <f t="shared" si="320"/>
        <v>1204015</v>
      </c>
      <c r="B483" s="21" t="s">
        <v>265</v>
      </c>
      <c r="C483">
        <v>1</v>
      </c>
      <c r="D483">
        <v>2</v>
      </c>
      <c r="E483">
        <v>5</v>
      </c>
      <c r="F483" s="22" t="s">
        <v>738</v>
      </c>
      <c r="G483" s="22" t="s">
        <v>739</v>
      </c>
      <c r="H483" s="2">
        <v>0</v>
      </c>
      <c r="I483" s="2">
        <v>0</v>
      </c>
      <c r="J483" s="2">
        <f t="shared" si="297"/>
        <v>3</v>
      </c>
      <c r="K483" s="2">
        <f t="shared" si="298"/>
        <v>1.4000000000000001</v>
      </c>
      <c r="L483" s="2">
        <f t="shared" si="299"/>
        <v>1.2</v>
      </c>
      <c r="M483" s="2">
        <v>10</v>
      </c>
      <c r="N483" s="2">
        <f t="shared" si="300"/>
        <v>67.2</v>
      </c>
      <c r="O483" s="2">
        <f t="shared" si="301"/>
        <v>6.72</v>
      </c>
      <c r="P483" s="2">
        <f t="shared" si="302"/>
        <v>1066.67</v>
      </c>
      <c r="Q483" s="2">
        <f t="shared" si="303"/>
        <v>106.67</v>
      </c>
      <c r="R483" s="2">
        <f t="shared" si="304"/>
        <v>13.44</v>
      </c>
      <c r="S483" s="2">
        <f t="shared" si="305"/>
        <v>1.34</v>
      </c>
      <c r="T483" s="2">
        <v>0</v>
      </c>
      <c r="U483" s="2">
        <v>0</v>
      </c>
      <c r="V483" s="2">
        <v>0</v>
      </c>
      <c r="W483" s="2">
        <v>-10</v>
      </c>
      <c r="X483" s="2">
        <v>0</v>
      </c>
      <c r="Y483" s="25">
        <v>222041</v>
      </c>
      <c r="Z483" s="26" t="s">
        <v>482</v>
      </c>
      <c r="AA483" s="4">
        <v>1</v>
      </c>
      <c r="AB483" s="4">
        <v>0</v>
      </c>
      <c r="AC483" s="4"/>
      <c r="AD483" s="4">
        <f t="shared" si="321"/>
        <v>1951.5439944</v>
      </c>
      <c r="AF483" s="1" t="str">
        <f t="shared" si="322"/>
        <v>4</v>
      </c>
      <c r="AG483">
        <v>1</v>
      </c>
      <c r="AH483">
        <f t="shared" si="306"/>
        <v>67.2</v>
      </c>
      <c r="AI483">
        <f t="shared" si="307"/>
        <v>6.7200000000000006</v>
      </c>
      <c r="AJ483">
        <f t="shared" si="308"/>
        <v>1066.6666666666667</v>
      </c>
      <c r="AK483">
        <f t="shared" si="309"/>
        <v>106.66666666666669</v>
      </c>
      <c r="AL483">
        <f t="shared" si="310"/>
        <v>13.440000000000001</v>
      </c>
      <c r="AM483">
        <f t="shared" si="311"/>
        <v>1.3440000000000003</v>
      </c>
      <c r="AN483">
        <f t="shared" si="312"/>
        <v>1.4</v>
      </c>
      <c r="AO483">
        <f t="shared" si="313"/>
        <v>1.2</v>
      </c>
      <c r="AP483">
        <f t="shared" si="314"/>
        <v>3</v>
      </c>
      <c r="AQ483">
        <v>204</v>
      </c>
      <c r="AR483">
        <v>1</v>
      </c>
      <c r="BO483" t="s">
        <v>171</v>
      </c>
      <c r="BP483" t="str">
        <f t="shared" si="323"/>
        <v>1</v>
      </c>
    </row>
    <row r="484" spans="1:68" x14ac:dyDescent="0.15">
      <c r="A484">
        <f t="shared" si="320"/>
        <v>1404015</v>
      </c>
      <c r="B484" s="21" t="s">
        <v>268</v>
      </c>
      <c r="C484">
        <v>1</v>
      </c>
      <c r="D484">
        <v>4</v>
      </c>
      <c r="E484">
        <v>5</v>
      </c>
      <c r="F484" s="22" t="s">
        <v>740</v>
      </c>
      <c r="G484" s="22" t="s">
        <v>741</v>
      </c>
      <c r="H484" s="2">
        <v>0</v>
      </c>
      <c r="I484" s="2" t="s">
        <v>161</v>
      </c>
      <c r="J484" s="2">
        <f t="shared" si="297"/>
        <v>6</v>
      </c>
      <c r="K484" s="2">
        <f t="shared" si="298"/>
        <v>1.6</v>
      </c>
      <c r="L484" s="2">
        <f t="shared" si="299"/>
        <v>1.9000000000000001</v>
      </c>
      <c r="M484" s="2">
        <v>10</v>
      </c>
      <c r="N484" s="2">
        <f t="shared" si="300"/>
        <v>110.93</v>
      </c>
      <c r="O484" s="2">
        <f t="shared" si="301"/>
        <v>11.09</v>
      </c>
      <c r="P484" s="2">
        <f t="shared" si="302"/>
        <v>738.46</v>
      </c>
      <c r="Q484" s="2">
        <f t="shared" si="303"/>
        <v>73.849999999999994</v>
      </c>
      <c r="R484" s="2">
        <f t="shared" si="304"/>
        <v>11.09</v>
      </c>
      <c r="S484" s="2">
        <f t="shared" si="305"/>
        <v>1.1100000000000001</v>
      </c>
      <c r="T484" s="2">
        <v>0</v>
      </c>
      <c r="U484" s="2">
        <v>0</v>
      </c>
      <c r="V484" s="2">
        <v>0</v>
      </c>
      <c r="W484" s="2">
        <v>-10</v>
      </c>
      <c r="X484" s="2">
        <v>0</v>
      </c>
      <c r="Y484" s="25">
        <v>224041</v>
      </c>
      <c r="Z484" s="26" t="s">
        <v>482</v>
      </c>
      <c r="AA484" s="4">
        <v>1</v>
      </c>
      <c r="AB484" s="4">
        <v>0</v>
      </c>
      <c r="AC484" s="4"/>
      <c r="AD484" s="4">
        <f t="shared" si="321"/>
        <v>1951.0415973168745</v>
      </c>
      <c r="AF484" s="1" t="str">
        <f t="shared" si="322"/>
        <v>4</v>
      </c>
      <c r="AG484">
        <v>1</v>
      </c>
      <c r="AH484">
        <f t="shared" si="306"/>
        <v>110.93333333333334</v>
      </c>
      <c r="AI484">
        <f t="shared" si="307"/>
        <v>11.093333333333334</v>
      </c>
      <c r="AJ484">
        <f t="shared" si="308"/>
        <v>738.46153846153834</v>
      </c>
      <c r="AK484">
        <f t="shared" si="309"/>
        <v>73.84615384615384</v>
      </c>
      <c r="AL484">
        <f t="shared" si="310"/>
        <v>11.093333333333334</v>
      </c>
      <c r="AM484">
        <f t="shared" si="311"/>
        <v>1.1093333333333335</v>
      </c>
      <c r="AN484">
        <f t="shared" si="312"/>
        <v>1.6</v>
      </c>
      <c r="AO484">
        <f t="shared" si="313"/>
        <v>1.9</v>
      </c>
      <c r="AP484">
        <f t="shared" si="314"/>
        <v>6</v>
      </c>
      <c r="AQ484">
        <v>404</v>
      </c>
      <c r="AR484">
        <v>1</v>
      </c>
      <c r="BO484" t="s">
        <v>136</v>
      </c>
      <c r="BP484" t="str">
        <f t="shared" ref="BP484" si="324">RIGHT(BO484,1)</f>
        <v>1</v>
      </c>
    </row>
    <row r="485" spans="1:68" x14ac:dyDescent="0.15">
      <c r="A485">
        <f t="shared" si="320"/>
        <v>1503015</v>
      </c>
      <c r="B485" s="21" t="s">
        <v>271</v>
      </c>
      <c r="C485">
        <v>1</v>
      </c>
      <c r="D485">
        <v>5</v>
      </c>
      <c r="E485">
        <v>5</v>
      </c>
      <c r="F485" s="22" t="s">
        <v>742</v>
      </c>
      <c r="G485" s="22" t="s">
        <v>745</v>
      </c>
      <c r="H485" s="2">
        <v>0</v>
      </c>
      <c r="I485" s="2">
        <v>0</v>
      </c>
      <c r="J485" s="2">
        <f t="shared" si="297"/>
        <v>3</v>
      </c>
      <c r="K485" s="2">
        <f t="shared" si="298"/>
        <v>1.6</v>
      </c>
      <c r="L485" s="2">
        <f t="shared" si="299"/>
        <v>1.5</v>
      </c>
      <c r="M485" s="2">
        <v>10</v>
      </c>
      <c r="N485" s="2">
        <f t="shared" si="300"/>
        <v>102.4</v>
      </c>
      <c r="O485" s="2">
        <f t="shared" si="301"/>
        <v>10.24</v>
      </c>
      <c r="P485" s="2">
        <f t="shared" si="302"/>
        <v>800</v>
      </c>
      <c r="Q485" s="2">
        <f t="shared" si="303"/>
        <v>80</v>
      </c>
      <c r="R485" s="2">
        <f t="shared" si="304"/>
        <v>17.07</v>
      </c>
      <c r="S485" s="2">
        <f t="shared" si="305"/>
        <v>1.71</v>
      </c>
      <c r="T485" s="2">
        <v>0</v>
      </c>
      <c r="U485" s="2">
        <v>0</v>
      </c>
      <c r="V485" s="2">
        <v>0</v>
      </c>
      <c r="W485" s="2">
        <v>-10</v>
      </c>
      <c r="X485" s="2">
        <v>0</v>
      </c>
      <c r="Y485" s="25">
        <v>235031</v>
      </c>
      <c r="Z485" s="26" t="s">
        <v>482</v>
      </c>
      <c r="AA485" s="4">
        <v>1</v>
      </c>
      <c r="AB485" s="4">
        <v>0</v>
      </c>
      <c r="AC485" s="4"/>
      <c r="AD485" s="4">
        <f t="shared" si="321"/>
        <v>1951.4880000000001</v>
      </c>
      <c r="AF485" s="1" t="str">
        <f t="shared" si="322"/>
        <v>3</v>
      </c>
      <c r="AG485">
        <v>1</v>
      </c>
      <c r="AH485">
        <f t="shared" si="306"/>
        <v>102.4</v>
      </c>
      <c r="AI485">
        <f t="shared" si="307"/>
        <v>10.240000000000002</v>
      </c>
      <c r="AJ485">
        <f t="shared" si="308"/>
        <v>800</v>
      </c>
      <c r="AK485">
        <f t="shared" si="309"/>
        <v>80</v>
      </c>
      <c r="AL485">
        <f t="shared" si="310"/>
        <v>17.066666666666666</v>
      </c>
      <c r="AM485">
        <f t="shared" si="311"/>
        <v>1.7066666666666668</v>
      </c>
      <c r="AN485">
        <f t="shared" si="312"/>
        <v>1.6</v>
      </c>
      <c r="AO485">
        <f t="shared" si="313"/>
        <v>1.5</v>
      </c>
      <c r="AP485">
        <f t="shared" si="314"/>
        <v>3</v>
      </c>
      <c r="AQ485">
        <v>503</v>
      </c>
      <c r="AR485">
        <v>1</v>
      </c>
    </row>
    <row r="486" spans="1:68" x14ac:dyDescent="0.15">
      <c r="A486">
        <f t="shared" si="320"/>
        <v>1304015</v>
      </c>
      <c r="B486" s="21" t="s">
        <v>274</v>
      </c>
      <c r="C486">
        <v>1</v>
      </c>
      <c r="D486">
        <v>3</v>
      </c>
      <c r="E486">
        <v>5</v>
      </c>
      <c r="F486" s="22" t="s">
        <v>743</v>
      </c>
      <c r="G486" s="22" t="s">
        <v>744</v>
      </c>
      <c r="H486">
        <v>0</v>
      </c>
      <c r="I486" s="2">
        <v>0</v>
      </c>
      <c r="J486" s="2">
        <f t="shared" si="297"/>
        <v>3</v>
      </c>
      <c r="K486" s="2">
        <f t="shared" si="298"/>
        <v>1.4000000000000001</v>
      </c>
      <c r="L486" s="2">
        <f t="shared" si="299"/>
        <v>2</v>
      </c>
      <c r="M486" s="2">
        <v>10</v>
      </c>
      <c r="N486" s="2">
        <f t="shared" si="300"/>
        <v>85.87</v>
      </c>
      <c r="O486" s="2">
        <f t="shared" si="301"/>
        <v>8.59</v>
      </c>
      <c r="P486" s="2">
        <f t="shared" si="302"/>
        <v>834.78</v>
      </c>
      <c r="Q486" s="2">
        <f t="shared" si="303"/>
        <v>83.48</v>
      </c>
      <c r="R486" s="2">
        <f t="shared" si="304"/>
        <v>10.73</v>
      </c>
      <c r="S486" s="2">
        <f t="shared" si="305"/>
        <v>1.07</v>
      </c>
      <c r="T486" s="2">
        <v>0</v>
      </c>
      <c r="U486" s="2">
        <v>0</v>
      </c>
      <c r="V486" s="2">
        <v>0</v>
      </c>
      <c r="W486" s="2">
        <v>-10</v>
      </c>
      <c r="X486" s="2">
        <v>0</v>
      </c>
      <c r="Y486" s="25">
        <v>233041</v>
      </c>
      <c r="Z486" s="26" t="s">
        <v>482</v>
      </c>
      <c r="AA486" s="4">
        <v>1</v>
      </c>
      <c r="AB486" s="4">
        <v>0</v>
      </c>
      <c r="AC486" s="4"/>
      <c r="AD486" s="4">
        <f t="shared" si="321"/>
        <v>1952.220001185</v>
      </c>
      <c r="AF486" s="1" t="str">
        <f t="shared" si="322"/>
        <v>4</v>
      </c>
      <c r="AG486">
        <v>1</v>
      </c>
      <c r="AH486">
        <f t="shared" si="306"/>
        <v>85.86666666666666</v>
      </c>
      <c r="AI486">
        <f t="shared" si="307"/>
        <v>8.586666666666666</v>
      </c>
      <c r="AJ486">
        <f t="shared" si="308"/>
        <v>834.78260869565224</v>
      </c>
      <c r="AK486">
        <f t="shared" si="309"/>
        <v>83.478260869565233</v>
      </c>
      <c r="AL486">
        <f t="shared" si="310"/>
        <v>10.733333333333333</v>
      </c>
      <c r="AM486">
        <f t="shared" si="311"/>
        <v>1.0733333333333333</v>
      </c>
      <c r="AN486">
        <f t="shared" si="312"/>
        <v>1.4</v>
      </c>
      <c r="AO486">
        <f t="shared" si="313"/>
        <v>2</v>
      </c>
      <c r="AP486">
        <f t="shared" si="314"/>
        <v>3</v>
      </c>
      <c r="AQ486">
        <v>304</v>
      </c>
      <c r="AR486">
        <v>1</v>
      </c>
      <c r="BO486" t="s">
        <v>186</v>
      </c>
      <c r="BP486" t="str">
        <f>RIGHT(BO486,1)</f>
        <v>0</v>
      </c>
    </row>
    <row r="487" spans="1:68" x14ac:dyDescent="0.15">
      <c r="A487">
        <f t="shared" si="320"/>
        <v>1203031</v>
      </c>
      <c r="B487" s="6" t="s">
        <v>241</v>
      </c>
      <c r="C487">
        <v>3</v>
      </c>
      <c r="D487">
        <v>2</v>
      </c>
      <c r="E487">
        <v>1</v>
      </c>
      <c r="F487" s="6" t="s">
        <v>242</v>
      </c>
      <c r="G487" s="20" t="s">
        <v>243</v>
      </c>
      <c r="H487">
        <v>0</v>
      </c>
      <c r="I487" s="2">
        <v>0</v>
      </c>
      <c r="J487" s="2">
        <f t="shared" si="297"/>
        <v>3</v>
      </c>
      <c r="K487" s="2">
        <f t="shared" si="298"/>
        <v>1.3</v>
      </c>
      <c r="L487" s="2">
        <f t="shared" si="299"/>
        <v>1.9000000000000001</v>
      </c>
      <c r="M487" s="2">
        <v>10</v>
      </c>
      <c r="N487" s="2">
        <f t="shared" si="300"/>
        <v>74.88</v>
      </c>
      <c r="O487" s="2">
        <f t="shared" si="301"/>
        <v>7.49</v>
      </c>
      <c r="P487" s="2">
        <f t="shared" si="302"/>
        <v>1280</v>
      </c>
      <c r="Q487" s="2">
        <f t="shared" si="303"/>
        <v>128</v>
      </c>
      <c r="R487" s="2">
        <f t="shared" si="304"/>
        <v>14.98</v>
      </c>
      <c r="S487" s="2">
        <f t="shared" si="305"/>
        <v>1.5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5">
        <v>112031</v>
      </c>
      <c r="Z487" s="26" t="s">
        <v>710</v>
      </c>
      <c r="AA487" s="4">
        <v>1</v>
      </c>
      <c r="AB487" s="4">
        <v>0</v>
      </c>
      <c r="AC487" s="4"/>
      <c r="AD487" s="4">
        <f t="shared" si="321"/>
        <v>2810.825058461538</v>
      </c>
      <c r="AF487" s="1" t="str">
        <f t="shared" si="322"/>
        <v>3</v>
      </c>
      <c r="AG487">
        <v>3</v>
      </c>
      <c r="AH487">
        <f t="shared" si="306"/>
        <v>74.88000000000001</v>
      </c>
      <c r="AI487">
        <f t="shared" si="307"/>
        <v>7.4880000000000013</v>
      </c>
      <c r="AJ487">
        <f t="shared" si="308"/>
        <v>1280</v>
      </c>
      <c r="AK487">
        <f t="shared" si="309"/>
        <v>128</v>
      </c>
      <c r="AL487">
        <f t="shared" si="310"/>
        <v>14.976000000000003</v>
      </c>
      <c r="AM487">
        <f t="shared" si="311"/>
        <v>1.4976000000000003</v>
      </c>
      <c r="AN487">
        <f t="shared" si="312"/>
        <v>1.3</v>
      </c>
      <c r="AO487">
        <f t="shared" si="313"/>
        <v>1.9</v>
      </c>
      <c r="AP487">
        <f t="shared" si="314"/>
        <v>3</v>
      </c>
      <c r="AQ487">
        <v>203</v>
      </c>
      <c r="AR487">
        <v>1</v>
      </c>
      <c r="BO487" t="s">
        <v>176</v>
      </c>
      <c r="BP487" t="str">
        <f>RIGHT(BO487,1)</f>
        <v>2</v>
      </c>
    </row>
    <row r="488" spans="1:68" x14ac:dyDescent="0.15">
      <c r="A488">
        <f t="shared" si="320"/>
        <v>1403031</v>
      </c>
      <c r="B488" s="6" t="s">
        <v>244</v>
      </c>
      <c r="C488">
        <v>3</v>
      </c>
      <c r="D488">
        <v>4</v>
      </c>
      <c r="E488">
        <v>1</v>
      </c>
      <c r="F488" s="6" t="s">
        <v>245</v>
      </c>
      <c r="G488" s="20" t="s">
        <v>246</v>
      </c>
      <c r="H488" s="2">
        <v>0</v>
      </c>
      <c r="I488" s="2" t="s">
        <v>103</v>
      </c>
      <c r="J488" s="2">
        <f t="shared" si="297"/>
        <v>6</v>
      </c>
      <c r="K488" s="2">
        <f t="shared" si="298"/>
        <v>1.3</v>
      </c>
      <c r="L488" s="2">
        <f t="shared" si="299"/>
        <v>1.9000000000000001</v>
      </c>
      <c r="M488" s="2">
        <v>10</v>
      </c>
      <c r="N488" s="2">
        <f t="shared" si="300"/>
        <v>99.84</v>
      </c>
      <c r="O488" s="2">
        <f t="shared" si="301"/>
        <v>9.98</v>
      </c>
      <c r="P488" s="2">
        <f t="shared" si="302"/>
        <v>960</v>
      </c>
      <c r="Q488" s="2">
        <f t="shared" si="303"/>
        <v>96</v>
      </c>
      <c r="R488" s="2">
        <f t="shared" si="304"/>
        <v>9.98</v>
      </c>
      <c r="S488" s="2">
        <f t="shared" si="305"/>
        <v>1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5">
        <v>114031</v>
      </c>
      <c r="Z488" s="26" t="s">
        <v>710</v>
      </c>
      <c r="AA488" s="4">
        <v>1</v>
      </c>
      <c r="AB488" s="4">
        <v>0</v>
      </c>
      <c r="AC488" s="4"/>
      <c r="AD488" s="4">
        <f t="shared" si="321"/>
        <v>2809.1192123076917</v>
      </c>
      <c r="AF488" s="1" t="str">
        <f t="shared" si="322"/>
        <v>3</v>
      </c>
      <c r="AG488">
        <v>3</v>
      </c>
      <c r="AH488">
        <f t="shared" si="306"/>
        <v>99.84</v>
      </c>
      <c r="AI488">
        <f t="shared" si="307"/>
        <v>9.9840000000000018</v>
      </c>
      <c r="AJ488">
        <f t="shared" si="308"/>
        <v>960</v>
      </c>
      <c r="AK488">
        <f t="shared" si="309"/>
        <v>96</v>
      </c>
      <c r="AL488">
        <f t="shared" si="310"/>
        <v>9.984</v>
      </c>
      <c r="AM488">
        <f t="shared" si="311"/>
        <v>0.99840000000000007</v>
      </c>
      <c r="AN488">
        <f t="shared" si="312"/>
        <v>1.3</v>
      </c>
      <c r="AO488">
        <f t="shared" si="313"/>
        <v>1.9</v>
      </c>
      <c r="AP488">
        <f t="shared" si="314"/>
        <v>6</v>
      </c>
      <c r="AQ488">
        <v>403</v>
      </c>
      <c r="AR488">
        <v>1</v>
      </c>
      <c r="BO488" t="s">
        <v>165</v>
      </c>
      <c r="BP488" t="str">
        <f>RIGHT(BO488,1)</f>
        <v>2</v>
      </c>
    </row>
    <row r="489" spans="1:68" x14ac:dyDescent="0.15">
      <c r="A489">
        <f t="shared" si="320"/>
        <v>1205031</v>
      </c>
      <c r="B489" s="6" t="s">
        <v>247</v>
      </c>
      <c r="C489">
        <v>3</v>
      </c>
      <c r="D489">
        <v>2</v>
      </c>
      <c r="E489">
        <v>1</v>
      </c>
      <c r="F489" s="22" t="s">
        <v>734</v>
      </c>
      <c r="G489" s="29" t="s">
        <v>735</v>
      </c>
      <c r="H489">
        <v>0</v>
      </c>
      <c r="I489" s="2">
        <v>0</v>
      </c>
      <c r="J489" s="2">
        <f t="shared" si="297"/>
        <v>3</v>
      </c>
      <c r="K489" s="2">
        <f t="shared" si="298"/>
        <v>1.8</v>
      </c>
      <c r="L489" s="2">
        <f t="shared" si="299"/>
        <v>2</v>
      </c>
      <c r="M489" s="2">
        <v>10</v>
      </c>
      <c r="N489" s="2">
        <f t="shared" si="300"/>
        <v>103.68</v>
      </c>
      <c r="O489" s="2">
        <f t="shared" si="301"/>
        <v>10.37</v>
      </c>
      <c r="P489" s="2">
        <f t="shared" si="302"/>
        <v>1280</v>
      </c>
      <c r="Q489" s="2">
        <f t="shared" si="303"/>
        <v>128</v>
      </c>
      <c r="R489" s="2">
        <f t="shared" si="304"/>
        <v>20.74</v>
      </c>
      <c r="S489" s="2">
        <f t="shared" si="305"/>
        <v>2.0699999999999998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5">
        <v>122051</v>
      </c>
      <c r="Z489" s="26" t="s">
        <v>710</v>
      </c>
      <c r="AA489" s="4">
        <v>1</v>
      </c>
      <c r="AB489" s="4">
        <v>0</v>
      </c>
      <c r="AC489" s="4"/>
      <c r="AD489" s="4">
        <f t="shared" si="321"/>
        <v>2810.6355199999994</v>
      </c>
      <c r="AF489" s="1" t="str">
        <f t="shared" si="322"/>
        <v>5</v>
      </c>
      <c r="AG489">
        <v>3</v>
      </c>
      <c r="AH489">
        <f t="shared" si="306"/>
        <v>103.68</v>
      </c>
      <c r="AI489">
        <f t="shared" si="307"/>
        <v>10.368000000000002</v>
      </c>
      <c r="AJ489">
        <f t="shared" si="308"/>
        <v>1280</v>
      </c>
      <c r="AK489">
        <f t="shared" si="309"/>
        <v>128</v>
      </c>
      <c r="AL489">
        <f t="shared" si="310"/>
        <v>20.736000000000001</v>
      </c>
      <c r="AM489">
        <f t="shared" si="311"/>
        <v>2.0736000000000003</v>
      </c>
      <c r="AN489">
        <f t="shared" si="312"/>
        <v>1.8</v>
      </c>
      <c r="AO489">
        <f t="shared" si="313"/>
        <v>2</v>
      </c>
      <c r="AP489">
        <f t="shared" si="314"/>
        <v>3</v>
      </c>
      <c r="AQ489">
        <v>205</v>
      </c>
      <c r="AR489">
        <v>1</v>
      </c>
    </row>
    <row r="490" spans="1:68" x14ac:dyDescent="0.15">
      <c r="A490">
        <f t="shared" si="320"/>
        <v>1405031</v>
      </c>
      <c r="B490" s="6" t="s">
        <v>250</v>
      </c>
      <c r="C490">
        <v>3</v>
      </c>
      <c r="D490">
        <v>4</v>
      </c>
      <c r="E490">
        <v>1</v>
      </c>
      <c r="F490" s="22" t="s">
        <v>736</v>
      </c>
      <c r="G490" s="22" t="s">
        <v>737</v>
      </c>
      <c r="H490">
        <v>0</v>
      </c>
      <c r="I490" s="2" t="s">
        <v>103</v>
      </c>
      <c r="J490" s="2">
        <f t="shared" si="297"/>
        <v>6</v>
      </c>
      <c r="K490" s="2">
        <f t="shared" si="298"/>
        <v>1.5</v>
      </c>
      <c r="L490" s="2">
        <f t="shared" si="299"/>
        <v>1.5</v>
      </c>
      <c r="M490" s="2">
        <v>10</v>
      </c>
      <c r="N490" s="2">
        <f t="shared" si="300"/>
        <v>120</v>
      </c>
      <c r="O490" s="2">
        <f t="shared" si="301"/>
        <v>12</v>
      </c>
      <c r="P490" s="2">
        <f t="shared" si="302"/>
        <v>921.6</v>
      </c>
      <c r="Q490" s="2">
        <f t="shared" si="303"/>
        <v>92.16</v>
      </c>
      <c r="R490" s="2">
        <f t="shared" si="304"/>
        <v>12</v>
      </c>
      <c r="S490" s="2">
        <f t="shared" si="305"/>
        <v>1.2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5">
        <v>124051</v>
      </c>
      <c r="Z490" s="26" t="s">
        <v>710</v>
      </c>
      <c r="AA490" s="4">
        <v>1</v>
      </c>
      <c r="AB490" s="4">
        <v>0</v>
      </c>
      <c r="AC490" s="4"/>
      <c r="AD490" s="4">
        <f t="shared" si="321"/>
        <v>2810.1427199999998</v>
      </c>
      <c r="AF490" s="1" t="str">
        <f t="shared" si="322"/>
        <v>5</v>
      </c>
      <c r="AG490">
        <v>3</v>
      </c>
      <c r="AH490">
        <f t="shared" si="306"/>
        <v>120</v>
      </c>
      <c r="AI490">
        <f t="shared" si="307"/>
        <v>12</v>
      </c>
      <c r="AJ490">
        <f t="shared" si="308"/>
        <v>921.59999999999991</v>
      </c>
      <c r="AK490">
        <f t="shared" si="309"/>
        <v>92.16</v>
      </c>
      <c r="AL490">
        <f t="shared" si="310"/>
        <v>12</v>
      </c>
      <c r="AM490">
        <f t="shared" si="311"/>
        <v>1.2000000000000002</v>
      </c>
      <c r="AN490">
        <f t="shared" si="312"/>
        <v>1.5</v>
      </c>
      <c r="AO490">
        <f t="shared" si="313"/>
        <v>1.5</v>
      </c>
      <c r="AP490">
        <f t="shared" si="314"/>
        <v>6</v>
      </c>
      <c r="AQ490">
        <v>405</v>
      </c>
      <c r="AR490">
        <v>1</v>
      </c>
      <c r="BO490" t="s">
        <v>184</v>
      </c>
      <c r="BP490" t="str">
        <f>RIGHT(BO490,1)</f>
        <v>0</v>
      </c>
    </row>
    <row r="491" spans="1:68" x14ac:dyDescent="0.15">
      <c r="A491">
        <f t="shared" si="320"/>
        <v>1303031</v>
      </c>
      <c r="B491" s="6" t="s">
        <v>253</v>
      </c>
      <c r="C491">
        <v>3</v>
      </c>
      <c r="D491">
        <v>3</v>
      </c>
      <c r="E491">
        <v>1</v>
      </c>
      <c r="F491" s="22" t="s">
        <v>730</v>
      </c>
      <c r="G491" s="22" t="s">
        <v>731</v>
      </c>
      <c r="H491" s="2">
        <v>0</v>
      </c>
      <c r="I491" s="2">
        <v>0</v>
      </c>
      <c r="J491" s="2">
        <f t="shared" si="297"/>
        <v>3</v>
      </c>
      <c r="K491" s="2">
        <f t="shared" si="298"/>
        <v>1.3</v>
      </c>
      <c r="L491" s="2">
        <f t="shared" si="299"/>
        <v>1.4000000000000001</v>
      </c>
      <c r="M491" s="2">
        <v>10</v>
      </c>
      <c r="N491" s="2">
        <f t="shared" si="300"/>
        <v>91.52</v>
      </c>
      <c r="O491" s="2">
        <f t="shared" si="301"/>
        <v>9.15</v>
      </c>
      <c r="P491" s="2">
        <f t="shared" si="302"/>
        <v>1047.27</v>
      </c>
      <c r="Q491" s="2">
        <f t="shared" si="303"/>
        <v>104.73</v>
      </c>
      <c r="R491" s="2">
        <f t="shared" si="304"/>
        <v>11.44</v>
      </c>
      <c r="S491" s="2">
        <f t="shared" si="305"/>
        <v>1.1399999999999999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5">
        <v>133031</v>
      </c>
      <c r="Z491" s="26" t="s">
        <v>710</v>
      </c>
      <c r="AA491" s="4">
        <v>1</v>
      </c>
      <c r="AB491" s="4">
        <v>0</v>
      </c>
      <c r="AC491" s="4"/>
      <c r="AD491" s="4">
        <f t="shared" si="321"/>
        <v>2809.6502927123074</v>
      </c>
      <c r="AF491" s="1" t="str">
        <f t="shared" si="322"/>
        <v>3</v>
      </c>
      <c r="AG491">
        <v>3</v>
      </c>
      <c r="AH491">
        <f t="shared" si="306"/>
        <v>91.52000000000001</v>
      </c>
      <c r="AI491">
        <f t="shared" si="307"/>
        <v>9.152000000000001</v>
      </c>
      <c r="AJ491">
        <f t="shared" si="308"/>
        <v>1047.2727272727273</v>
      </c>
      <c r="AK491">
        <f t="shared" si="309"/>
        <v>104.72727272727273</v>
      </c>
      <c r="AL491">
        <f t="shared" si="310"/>
        <v>11.440000000000001</v>
      </c>
      <c r="AM491">
        <f t="shared" si="311"/>
        <v>1.1440000000000001</v>
      </c>
      <c r="AN491">
        <f t="shared" si="312"/>
        <v>1.3</v>
      </c>
      <c r="AO491">
        <f t="shared" si="313"/>
        <v>1.4</v>
      </c>
      <c r="AP491">
        <f t="shared" si="314"/>
        <v>3</v>
      </c>
      <c r="AQ491">
        <v>303</v>
      </c>
      <c r="AR491">
        <v>1</v>
      </c>
      <c r="BO491" t="s">
        <v>169</v>
      </c>
      <c r="BP491" t="str">
        <f>RIGHT(BO491,1)</f>
        <v>0</v>
      </c>
    </row>
    <row r="492" spans="1:68" x14ac:dyDescent="0.15">
      <c r="A492">
        <f t="shared" si="320"/>
        <v>1504031</v>
      </c>
      <c r="B492" s="6" t="s">
        <v>256</v>
      </c>
      <c r="C492">
        <v>3</v>
      </c>
      <c r="D492">
        <v>5</v>
      </c>
      <c r="E492">
        <v>1</v>
      </c>
      <c r="F492" s="22" t="s">
        <v>732</v>
      </c>
      <c r="G492" s="22" t="s">
        <v>733</v>
      </c>
      <c r="H492">
        <v>0</v>
      </c>
      <c r="I492" s="2">
        <v>0</v>
      </c>
      <c r="J492" s="2">
        <f t="shared" si="297"/>
        <v>3</v>
      </c>
      <c r="K492" s="2">
        <f t="shared" si="298"/>
        <v>1.8</v>
      </c>
      <c r="L492" s="2">
        <f t="shared" si="299"/>
        <v>1.5</v>
      </c>
      <c r="M492" s="2">
        <v>10</v>
      </c>
      <c r="N492" s="2">
        <f t="shared" si="300"/>
        <v>126.72</v>
      </c>
      <c r="O492" s="2">
        <f t="shared" si="301"/>
        <v>12.67</v>
      </c>
      <c r="P492" s="2">
        <f t="shared" si="302"/>
        <v>1047.27</v>
      </c>
      <c r="Q492" s="2">
        <f t="shared" si="303"/>
        <v>104.73</v>
      </c>
      <c r="R492" s="2">
        <f t="shared" si="304"/>
        <v>21.12</v>
      </c>
      <c r="S492" s="2">
        <f t="shared" si="305"/>
        <v>2.11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5">
        <v>135041</v>
      </c>
      <c r="Z492" s="26" t="s">
        <v>710</v>
      </c>
      <c r="AA492" s="4">
        <v>1</v>
      </c>
      <c r="AB492" s="4">
        <v>0.5</v>
      </c>
      <c r="AC492" s="4"/>
      <c r="AD492" s="4">
        <f t="shared" si="321"/>
        <v>2809.80537327</v>
      </c>
      <c r="AF492" s="1" t="str">
        <f t="shared" si="322"/>
        <v>4</v>
      </c>
      <c r="AG492">
        <v>3</v>
      </c>
      <c r="AH492">
        <f t="shared" si="306"/>
        <v>126.72</v>
      </c>
      <c r="AI492">
        <f t="shared" si="307"/>
        <v>12.672000000000001</v>
      </c>
      <c r="AJ492">
        <f t="shared" si="308"/>
        <v>1047.2727272727273</v>
      </c>
      <c r="AK492">
        <f t="shared" si="309"/>
        <v>104.72727272727273</v>
      </c>
      <c r="AL492">
        <f t="shared" si="310"/>
        <v>21.12</v>
      </c>
      <c r="AM492">
        <f t="shared" si="311"/>
        <v>2.1120000000000001</v>
      </c>
      <c r="AN492">
        <f t="shared" si="312"/>
        <v>1.8</v>
      </c>
      <c r="AO492">
        <f t="shared" si="313"/>
        <v>1.5</v>
      </c>
      <c r="AP492">
        <f t="shared" si="314"/>
        <v>3</v>
      </c>
      <c r="AQ492">
        <v>504</v>
      </c>
      <c r="AR492">
        <v>1</v>
      </c>
    </row>
    <row r="493" spans="1:68" x14ac:dyDescent="0.15">
      <c r="A493">
        <f t="shared" si="320"/>
        <v>1206031</v>
      </c>
      <c r="B493" s="21" t="s">
        <v>259</v>
      </c>
      <c r="C493">
        <v>3</v>
      </c>
      <c r="D493">
        <v>2</v>
      </c>
      <c r="E493">
        <v>1</v>
      </c>
      <c r="F493" s="6" t="s">
        <v>260</v>
      </c>
      <c r="G493" s="6" t="s">
        <v>261</v>
      </c>
      <c r="H493" s="2">
        <v>0</v>
      </c>
      <c r="I493" s="2">
        <v>0</v>
      </c>
      <c r="J493" s="2">
        <f t="shared" si="297"/>
        <v>3</v>
      </c>
      <c r="K493" s="2">
        <f t="shared" si="298"/>
        <v>1.6</v>
      </c>
      <c r="L493" s="2">
        <f t="shared" si="299"/>
        <v>2</v>
      </c>
      <c r="M493" s="2">
        <v>10</v>
      </c>
      <c r="N493" s="2">
        <f t="shared" si="300"/>
        <v>92.16</v>
      </c>
      <c r="O493" s="2">
        <f t="shared" si="301"/>
        <v>9.2200000000000006</v>
      </c>
      <c r="P493" s="2">
        <f t="shared" si="302"/>
        <v>1280</v>
      </c>
      <c r="Q493" s="2">
        <f t="shared" si="303"/>
        <v>128</v>
      </c>
      <c r="R493" s="2">
        <f t="shared" si="304"/>
        <v>18.43</v>
      </c>
      <c r="S493" s="2">
        <f t="shared" si="305"/>
        <v>1.84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5">
        <v>212061</v>
      </c>
      <c r="Z493" s="26" t="s">
        <v>710</v>
      </c>
      <c r="AA493" s="4">
        <v>1</v>
      </c>
      <c r="AB493" s="4">
        <v>0</v>
      </c>
      <c r="AC493" s="4"/>
      <c r="AD493" s="4">
        <f t="shared" si="321"/>
        <v>2811.2515199999993</v>
      </c>
      <c r="AF493" s="1" t="str">
        <f t="shared" si="322"/>
        <v>6</v>
      </c>
      <c r="AG493">
        <v>3</v>
      </c>
      <c r="AH493">
        <f t="shared" si="306"/>
        <v>92.160000000000011</v>
      </c>
      <c r="AI493">
        <f t="shared" si="307"/>
        <v>9.2160000000000011</v>
      </c>
      <c r="AJ493">
        <f t="shared" si="308"/>
        <v>1280</v>
      </c>
      <c r="AK493">
        <f t="shared" si="309"/>
        <v>128</v>
      </c>
      <c r="AL493">
        <f t="shared" si="310"/>
        <v>18.432000000000002</v>
      </c>
      <c r="AM493">
        <f t="shared" si="311"/>
        <v>1.8432000000000004</v>
      </c>
      <c r="AN493">
        <f t="shared" si="312"/>
        <v>1.6</v>
      </c>
      <c r="AO493">
        <f t="shared" si="313"/>
        <v>2</v>
      </c>
      <c r="AP493">
        <f t="shared" si="314"/>
        <v>3</v>
      </c>
      <c r="AQ493">
        <v>206</v>
      </c>
      <c r="AR493">
        <v>1</v>
      </c>
      <c r="BO493" t="s">
        <v>182</v>
      </c>
      <c r="BP493" t="str">
        <f>RIGHT(BO493,1)</f>
        <v>2</v>
      </c>
    </row>
    <row r="494" spans="1:68" x14ac:dyDescent="0.15">
      <c r="A494">
        <f t="shared" si="320"/>
        <v>1406031</v>
      </c>
      <c r="B494" s="21" t="s">
        <v>262</v>
      </c>
      <c r="C494">
        <v>3</v>
      </c>
      <c r="D494">
        <v>4</v>
      </c>
      <c r="E494">
        <v>1</v>
      </c>
      <c r="F494" s="6" t="s">
        <v>263</v>
      </c>
      <c r="G494" s="6" t="s">
        <v>264</v>
      </c>
      <c r="H494" s="2">
        <v>0</v>
      </c>
      <c r="I494" s="2" t="s">
        <v>103</v>
      </c>
      <c r="J494" s="2">
        <f t="shared" si="297"/>
        <v>6</v>
      </c>
      <c r="K494" s="2">
        <f t="shared" si="298"/>
        <v>1.4000000000000001</v>
      </c>
      <c r="L494" s="2">
        <f t="shared" si="299"/>
        <v>1.2</v>
      </c>
      <c r="M494" s="2">
        <v>10</v>
      </c>
      <c r="N494" s="2">
        <f t="shared" si="300"/>
        <v>116.48</v>
      </c>
      <c r="O494" s="2">
        <f t="shared" si="301"/>
        <v>11.65</v>
      </c>
      <c r="P494" s="2">
        <f t="shared" si="302"/>
        <v>886.15</v>
      </c>
      <c r="Q494" s="2">
        <f t="shared" si="303"/>
        <v>88.62</v>
      </c>
      <c r="R494" s="2">
        <f t="shared" si="304"/>
        <v>11.65</v>
      </c>
      <c r="S494" s="2">
        <f t="shared" si="305"/>
        <v>1.1599999999999999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5">
        <v>214061</v>
      </c>
      <c r="Z494" s="26" t="s">
        <v>710</v>
      </c>
      <c r="AA494" s="4">
        <v>1</v>
      </c>
      <c r="AB494" s="4">
        <v>0</v>
      </c>
      <c r="AC494" s="4"/>
      <c r="AD494" s="4">
        <f t="shared" si="321"/>
        <v>2810.7133339499992</v>
      </c>
      <c r="AF494" s="1" t="str">
        <f t="shared" si="322"/>
        <v>6</v>
      </c>
      <c r="AG494">
        <v>3</v>
      </c>
      <c r="AH494">
        <f t="shared" si="306"/>
        <v>116.47999999999998</v>
      </c>
      <c r="AI494">
        <f t="shared" si="307"/>
        <v>11.647999999999998</v>
      </c>
      <c r="AJ494">
        <f t="shared" si="308"/>
        <v>886.15384615384596</v>
      </c>
      <c r="AK494">
        <f t="shared" si="309"/>
        <v>88.615384615384599</v>
      </c>
      <c r="AL494">
        <f t="shared" si="310"/>
        <v>11.647999999999998</v>
      </c>
      <c r="AM494">
        <f t="shared" si="311"/>
        <v>1.1647999999999998</v>
      </c>
      <c r="AN494">
        <f t="shared" si="312"/>
        <v>1.4</v>
      </c>
      <c r="AO494">
        <f t="shared" si="313"/>
        <v>1.2</v>
      </c>
      <c r="AP494">
        <f t="shared" si="314"/>
        <v>6</v>
      </c>
      <c r="AQ494">
        <v>406</v>
      </c>
      <c r="AR494">
        <v>1</v>
      </c>
      <c r="BO494" t="s">
        <v>178</v>
      </c>
      <c r="BP494" t="str">
        <f>RIGHT(BO494,1)</f>
        <v>2</v>
      </c>
    </row>
    <row r="495" spans="1:68" x14ac:dyDescent="0.15">
      <c r="A495">
        <f t="shared" si="320"/>
        <v>1204031</v>
      </c>
      <c r="B495" s="21" t="s">
        <v>265</v>
      </c>
      <c r="C495">
        <v>3</v>
      </c>
      <c r="D495">
        <v>2</v>
      </c>
      <c r="E495">
        <v>1</v>
      </c>
      <c r="F495" s="22" t="s">
        <v>738</v>
      </c>
      <c r="G495" s="22" t="s">
        <v>739</v>
      </c>
      <c r="H495" s="2">
        <v>0</v>
      </c>
      <c r="I495" s="2">
        <v>0</v>
      </c>
      <c r="J495" s="2">
        <f t="shared" si="297"/>
        <v>3</v>
      </c>
      <c r="K495" s="2">
        <f t="shared" si="298"/>
        <v>1.4000000000000001</v>
      </c>
      <c r="L495" s="2">
        <f t="shared" si="299"/>
        <v>1.2</v>
      </c>
      <c r="M495" s="2">
        <v>10</v>
      </c>
      <c r="N495" s="2">
        <f t="shared" si="300"/>
        <v>80.64</v>
      </c>
      <c r="O495" s="2">
        <f t="shared" si="301"/>
        <v>8.06</v>
      </c>
      <c r="P495" s="2">
        <f t="shared" si="302"/>
        <v>1280</v>
      </c>
      <c r="Q495" s="2">
        <f t="shared" si="303"/>
        <v>128</v>
      </c>
      <c r="R495" s="2">
        <f t="shared" si="304"/>
        <v>16.13</v>
      </c>
      <c r="S495" s="2">
        <f t="shared" si="305"/>
        <v>1.61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5">
        <v>222041</v>
      </c>
      <c r="Z495" s="26" t="s">
        <v>710</v>
      </c>
      <c r="AA495" s="4">
        <v>1</v>
      </c>
      <c r="AB495" s="4">
        <v>0</v>
      </c>
      <c r="AC495" s="4"/>
      <c r="AD495" s="4">
        <f t="shared" si="321"/>
        <v>2808.8755199999996</v>
      </c>
      <c r="AF495" s="1" t="str">
        <f t="shared" si="322"/>
        <v>4</v>
      </c>
      <c r="AG495">
        <v>3</v>
      </c>
      <c r="AH495">
        <f t="shared" si="306"/>
        <v>80.64</v>
      </c>
      <c r="AI495">
        <f t="shared" si="307"/>
        <v>8.0640000000000001</v>
      </c>
      <c r="AJ495">
        <f t="shared" si="308"/>
        <v>1280</v>
      </c>
      <c r="AK495">
        <f t="shared" si="309"/>
        <v>128</v>
      </c>
      <c r="AL495">
        <f t="shared" si="310"/>
        <v>16.128</v>
      </c>
      <c r="AM495">
        <f t="shared" si="311"/>
        <v>1.6128</v>
      </c>
      <c r="AN495">
        <f t="shared" si="312"/>
        <v>1.4</v>
      </c>
      <c r="AO495">
        <f t="shared" si="313"/>
        <v>1.2</v>
      </c>
      <c r="AP495">
        <f t="shared" si="314"/>
        <v>3</v>
      </c>
      <c r="AQ495">
        <v>204</v>
      </c>
      <c r="AR495">
        <v>1</v>
      </c>
      <c r="BO495" t="s">
        <v>178</v>
      </c>
      <c r="BP495" t="str">
        <f>RIGHT(BO495,1)</f>
        <v>2</v>
      </c>
    </row>
    <row r="496" spans="1:68" x14ac:dyDescent="0.15">
      <c r="A496">
        <f t="shared" si="320"/>
        <v>1404031</v>
      </c>
      <c r="B496" s="21" t="s">
        <v>268</v>
      </c>
      <c r="C496">
        <v>3</v>
      </c>
      <c r="D496">
        <v>4</v>
      </c>
      <c r="E496">
        <v>1</v>
      </c>
      <c r="F496" s="22" t="s">
        <v>740</v>
      </c>
      <c r="G496" s="22" t="s">
        <v>741</v>
      </c>
      <c r="H496" s="2">
        <v>0</v>
      </c>
      <c r="I496" s="2" t="s">
        <v>103</v>
      </c>
      <c r="J496" s="2">
        <f t="shared" si="297"/>
        <v>6</v>
      </c>
      <c r="K496" s="2">
        <f t="shared" si="298"/>
        <v>1.6</v>
      </c>
      <c r="L496" s="2">
        <f t="shared" si="299"/>
        <v>1.9000000000000001</v>
      </c>
      <c r="M496" s="2">
        <v>10</v>
      </c>
      <c r="N496" s="2">
        <f t="shared" si="300"/>
        <v>133.12</v>
      </c>
      <c r="O496" s="2">
        <f t="shared" si="301"/>
        <v>13.31</v>
      </c>
      <c r="P496" s="2">
        <f t="shared" si="302"/>
        <v>886.15</v>
      </c>
      <c r="Q496" s="2">
        <f t="shared" si="303"/>
        <v>88.62</v>
      </c>
      <c r="R496" s="2">
        <f t="shared" si="304"/>
        <v>13.31</v>
      </c>
      <c r="S496" s="2">
        <f t="shared" si="305"/>
        <v>1.33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5">
        <v>224041</v>
      </c>
      <c r="Z496" s="26" t="s">
        <v>710</v>
      </c>
      <c r="AA496" s="4">
        <v>1</v>
      </c>
      <c r="AB496" s="4">
        <v>0</v>
      </c>
      <c r="AC496" s="4"/>
      <c r="AD496" s="4">
        <f t="shared" si="321"/>
        <v>2809.8908337937496</v>
      </c>
      <c r="AF496" s="1" t="str">
        <f t="shared" si="322"/>
        <v>4</v>
      </c>
      <c r="AG496">
        <v>3</v>
      </c>
      <c r="AH496">
        <f t="shared" si="306"/>
        <v>133.12</v>
      </c>
      <c r="AI496">
        <f t="shared" si="307"/>
        <v>13.312000000000001</v>
      </c>
      <c r="AJ496">
        <f t="shared" si="308"/>
        <v>886.15384615384596</v>
      </c>
      <c r="AK496">
        <f t="shared" si="309"/>
        <v>88.615384615384599</v>
      </c>
      <c r="AL496">
        <f t="shared" si="310"/>
        <v>13.312000000000001</v>
      </c>
      <c r="AM496">
        <f t="shared" si="311"/>
        <v>1.3312000000000002</v>
      </c>
      <c r="AN496">
        <f t="shared" si="312"/>
        <v>1.6</v>
      </c>
      <c r="AO496">
        <f t="shared" si="313"/>
        <v>1.9</v>
      </c>
      <c r="AP496">
        <f t="shared" si="314"/>
        <v>6</v>
      </c>
      <c r="AQ496">
        <v>404</v>
      </c>
      <c r="AR496">
        <v>1</v>
      </c>
      <c r="BO496" t="s">
        <v>188</v>
      </c>
      <c r="BP496" t="str">
        <f t="shared" ref="BP496:BP497" si="325">RIGHT(BO496,1)</f>
        <v>0</v>
      </c>
    </row>
    <row r="497" spans="1:68" x14ac:dyDescent="0.15">
      <c r="A497">
        <f t="shared" si="320"/>
        <v>1503031</v>
      </c>
      <c r="B497" s="21" t="s">
        <v>271</v>
      </c>
      <c r="C497">
        <v>3</v>
      </c>
      <c r="D497">
        <v>5</v>
      </c>
      <c r="E497">
        <v>1</v>
      </c>
      <c r="F497" s="22" t="s">
        <v>742</v>
      </c>
      <c r="G497" s="22" t="s">
        <v>745</v>
      </c>
      <c r="H497" s="2">
        <v>0</v>
      </c>
      <c r="I497" s="2">
        <v>0</v>
      </c>
      <c r="J497" s="2">
        <f t="shared" si="297"/>
        <v>3</v>
      </c>
      <c r="K497" s="2">
        <f t="shared" si="298"/>
        <v>1.6</v>
      </c>
      <c r="L497" s="2">
        <f t="shared" si="299"/>
        <v>1.5</v>
      </c>
      <c r="M497" s="2">
        <v>10</v>
      </c>
      <c r="N497" s="2">
        <f t="shared" si="300"/>
        <v>122.88</v>
      </c>
      <c r="O497" s="2">
        <f t="shared" si="301"/>
        <v>12.29</v>
      </c>
      <c r="P497" s="2">
        <f t="shared" si="302"/>
        <v>960</v>
      </c>
      <c r="Q497" s="2">
        <f t="shared" si="303"/>
        <v>96</v>
      </c>
      <c r="R497" s="2">
        <f t="shared" si="304"/>
        <v>20.48</v>
      </c>
      <c r="S497" s="2">
        <f t="shared" si="305"/>
        <v>2.0499999999999998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5">
        <v>235031</v>
      </c>
      <c r="Z497" s="26" t="s">
        <v>710</v>
      </c>
      <c r="AA497" s="4">
        <v>1</v>
      </c>
      <c r="AB497" s="4">
        <v>0</v>
      </c>
      <c r="AC497" s="4"/>
      <c r="AD497" s="4">
        <f t="shared" si="321"/>
        <v>2810.5585199999996</v>
      </c>
      <c r="AF497" s="1" t="str">
        <f t="shared" si="322"/>
        <v>3</v>
      </c>
      <c r="AG497">
        <v>3</v>
      </c>
      <c r="AH497">
        <f t="shared" si="306"/>
        <v>122.88</v>
      </c>
      <c r="AI497">
        <f t="shared" si="307"/>
        <v>12.288</v>
      </c>
      <c r="AJ497">
        <f t="shared" si="308"/>
        <v>960</v>
      </c>
      <c r="AK497">
        <f t="shared" si="309"/>
        <v>96</v>
      </c>
      <c r="AL497">
        <f t="shared" si="310"/>
        <v>20.48</v>
      </c>
      <c r="AM497">
        <f t="shared" si="311"/>
        <v>2.048</v>
      </c>
      <c r="AN497">
        <f t="shared" si="312"/>
        <v>1.6</v>
      </c>
      <c r="AO497">
        <f t="shared" si="313"/>
        <v>1.5</v>
      </c>
      <c r="AP497">
        <f t="shared" si="314"/>
        <v>3</v>
      </c>
      <c r="AQ497">
        <v>503</v>
      </c>
      <c r="AR497">
        <v>1</v>
      </c>
      <c r="BO497" t="s">
        <v>171</v>
      </c>
      <c r="BP497" t="str">
        <f t="shared" si="325"/>
        <v>1</v>
      </c>
    </row>
    <row r="498" spans="1:68" x14ac:dyDescent="0.15">
      <c r="A498">
        <f t="shared" si="320"/>
        <v>1304031</v>
      </c>
      <c r="B498" s="21" t="s">
        <v>274</v>
      </c>
      <c r="C498">
        <v>3</v>
      </c>
      <c r="D498">
        <v>3</v>
      </c>
      <c r="E498">
        <v>1</v>
      </c>
      <c r="F498" s="22" t="s">
        <v>743</v>
      </c>
      <c r="G498" s="22" t="s">
        <v>744</v>
      </c>
      <c r="H498">
        <v>0</v>
      </c>
      <c r="I498" s="2">
        <v>0</v>
      </c>
      <c r="J498" s="2">
        <f t="shared" si="297"/>
        <v>3</v>
      </c>
      <c r="K498" s="2">
        <f t="shared" si="298"/>
        <v>1.4000000000000001</v>
      </c>
      <c r="L498" s="2">
        <f t="shared" si="299"/>
        <v>2</v>
      </c>
      <c r="M498" s="2">
        <v>10</v>
      </c>
      <c r="N498" s="2">
        <f t="shared" si="300"/>
        <v>103.04</v>
      </c>
      <c r="O498" s="2">
        <f t="shared" si="301"/>
        <v>10.3</v>
      </c>
      <c r="P498" s="2">
        <f t="shared" si="302"/>
        <v>1001.74</v>
      </c>
      <c r="Q498" s="2">
        <f t="shared" si="303"/>
        <v>100.17</v>
      </c>
      <c r="R498" s="2">
        <f t="shared" si="304"/>
        <v>12.88</v>
      </c>
      <c r="S498" s="2">
        <f t="shared" si="305"/>
        <v>1.29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5">
        <v>233041</v>
      </c>
      <c r="Z498" s="26" t="s">
        <v>710</v>
      </c>
      <c r="AA498" s="4">
        <v>1</v>
      </c>
      <c r="AB498" s="4">
        <v>0</v>
      </c>
      <c r="AC498" s="4"/>
      <c r="AD498" s="4">
        <f t="shared" si="321"/>
        <v>2809.0514631599995</v>
      </c>
      <c r="AF498" s="1" t="str">
        <f t="shared" si="322"/>
        <v>4</v>
      </c>
      <c r="AG498">
        <v>3</v>
      </c>
      <c r="AH498">
        <f t="shared" si="306"/>
        <v>103.03999999999999</v>
      </c>
      <c r="AI498">
        <f t="shared" si="307"/>
        <v>10.304</v>
      </c>
      <c r="AJ498">
        <f t="shared" si="308"/>
        <v>1001.7391304347826</v>
      </c>
      <c r="AK498">
        <f t="shared" si="309"/>
        <v>100.17391304347827</v>
      </c>
      <c r="AL498">
        <f t="shared" si="310"/>
        <v>12.879999999999999</v>
      </c>
      <c r="AM498">
        <f t="shared" si="311"/>
        <v>1.288</v>
      </c>
      <c r="AN498">
        <f t="shared" si="312"/>
        <v>1.4</v>
      </c>
      <c r="AO498">
        <f t="shared" si="313"/>
        <v>2</v>
      </c>
      <c r="AP498">
        <f t="shared" si="314"/>
        <v>3</v>
      </c>
      <c r="AQ498">
        <v>304</v>
      </c>
      <c r="AR498">
        <v>1</v>
      </c>
      <c r="BO498" t="s">
        <v>136</v>
      </c>
      <c r="BP498" t="str">
        <f t="shared" ref="BP498" si="326">RIGHT(BO498,1)</f>
        <v>1</v>
      </c>
    </row>
    <row r="499" spans="1:68" x14ac:dyDescent="0.15">
      <c r="A499">
        <f t="shared" si="320"/>
        <v>1203032</v>
      </c>
      <c r="B499" s="6" t="s">
        <v>241</v>
      </c>
      <c r="C499">
        <v>3</v>
      </c>
      <c r="D499">
        <v>2</v>
      </c>
      <c r="E499">
        <v>2</v>
      </c>
      <c r="F499" s="6" t="s">
        <v>242</v>
      </c>
      <c r="G499" s="20" t="s">
        <v>243</v>
      </c>
      <c r="H499">
        <v>0</v>
      </c>
      <c r="I499" s="2">
        <v>0</v>
      </c>
      <c r="J499" s="2">
        <f t="shared" si="297"/>
        <v>3</v>
      </c>
      <c r="K499" s="2">
        <f t="shared" si="298"/>
        <v>1.3</v>
      </c>
      <c r="L499" s="2">
        <f t="shared" si="299"/>
        <v>1.9000000000000001</v>
      </c>
      <c r="M499" s="2">
        <v>10</v>
      </c>
      <c r="N499" s="2">
        <f t="shared" si="300"/>
        <v>74.88</v>
      </c>
      <c r="O499" s="2">
        <f t="shared" si="301"/>
        <v>7.49</v>
      </c>
      <c r="P499" s="2">
        <f t="shared" si="302"/>
        <v>1280</v>
      </c>
      <c r="Q499" s="2">
        <f t="shared" si="303"/>
        <v>128</v>
      </c>
      <c r="R499" s="2">
        <f t="shared" si="304"/>
        <v>14.98</v>
      </c>
      <c r="S499" s="2">
        <f t="shared" si="305"/>
        <v>1.5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5">
        <v>112031</v>
      </c>
      <c r="Z499" s="26" t="s">
        <v>710</v>
      </c>
      <c r="AA499" s="4">
        <v>1</v>
      </c>
      <c r="AB499" s="4">
        <v>0</v>
      </c>
      <c r="AC499" s="4"/>
      <c r="AD499" s="4">
        <f t="shared" si="321"/>
        <v>2810.825058461538</v>
      </c>
      <c r="AF499" s="1" t="str">
        <f t="shared" si="322"/>
        <v>3</v>
      </c>
      <c r="AG499">
        <v>3</v>
      </c>
      <c r="AH499">
        <f t="shared" si="306"/>
        <v>74.88000000000001</v>
      </c>
      <c r="AI499">
        <f t="shared" si="307"/>
        <v>7.4880000000000013</v>
      </c>
      <c r="AJ499">
        <f t="shared" si="308"/>
        <v>1280</v>
      </c>
      <c r="AK499">
        <f t="shared" si="309"/>
        <v>128</v>
      </c>
      <c r="AL499">
        <f t="shared" si="310"/>
        <v>14.976000000000003</v>
      </c>
      <c r="AM499">
        <f t="shared" si="311"/>
        <v>1.4976000000000003</v>
      </c>
      <c r="AN499">
        <f t="shared" si="312"/>
        <v>1.3</v>
      </c>
      <c r="AO499">
        <f t="shared" si="313"/>
        <v>1.9</v>
      </c>
      <c r="AP499">
        <f t="shared" si="314"/>
        <v>3</v>
      </c>
      <c r="AQ499">
        <v>203</v>
      </c>
      <c r="AR499">
        <v>1</v>
      </c>
    </row>
    <row r="500" spans="1:68" x14ac:dyDescent="0.15">
      <c r="A500">
        <f t="shared" si="320"/>
        <v>1403032</v>
      </c>
      <c r="B500" s="6" t="s">
        <v>244</v>
      </c>
      <c r="C500">
        <v>3</v>
      </c>
      <c r="D500">
        <v>4</v>
      </c>
      <c r="E500">
        <v>2</v>
      </c>
      <c r="F500" s="6" t="s">
        <v>245</v>
      </c>
      <c r="G500" s="20" t="s">
        <v>246</v>
      </c>
      <c r="H500" s="2">
        <v>0</v>
      </c>
      <c r="I500" s="2" t="s">
        <v>106</v>
      </c>
      <c r="J500" s="2">
        <f t="shared" si="297"/>
        <v>6</v>
      </c>
      <c r="K500" s="2">
        <f t="shared" si="298"/>
        <v>1.3</v>
      </c>
      <c r="L500" s="2">
        <f t="shared" si="299"/>
        <v>1.9000000000000001</v>
      </c>
      <c r="M500" s="2">
        <v>10</v>
      </c>
      <c r="N500" s="2">
        <f t="shared" si="300"/>
        <v>99.84</v>
      </c>
      <c r="O500" s="2">
        <f t="shared" si="301"/>
        <v>9.98</v>
      </c>
      <c r="P500" s="2">
        <f t="shared" si="302"/>
        <v>960</v>
      </c>
      <c r="Q500" s="2">
        <f t="shared" si="303"/>
        <v>96</v>
      </c>
      <c r="R500" s="2">
        <f t="shared" si="304"/>
        <v>9.98</v>
      </c>
      <c r="S500" s="2">
        <f t="shared" si="305"/>
        <v>1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5">
        <v>114031</v>
      </c>
      <c r="Z500" s="26" t="s">
        <v>710</v>
      </c>
      <c r="AA500" s="4">
        <v>1</v>
      </c>
      <c r="AB500" s="4">
        <v>0</v>
      </c>
      <c r="AC500" s="4"/>
      <c r="AD500" s="4">
        <f t="shared" si="321"/>
        <v>2809.1192123076917</v>
      </c>
      <c r="AF500" s="1" t="str">
        <f t="shared" si="322"/>
        <v>3</v>
      </c>
      <c r="AG500">
        <v>3</v>
      </c>
      <c r="AH500">
        <f t="shared" si="306"/>
        <v>99.84</v>
      </c>
      <c r="AI500">
        <f t="shared" si="307"/>
        <v>9.9840000000000018</v>
      </c>
      <c r="AJ500">
        <f t="shared" si="308"/>
        <v>960</v>
      </c>
      <c r="AK500">
        <f t="shared" si="309"/>
        <v>96</v>
      </c>
      <c r="AL500">
        <f t="shared" si="310"/>
        <v>9.984</v>
      </c>
      <c r="AM500">
        <f t="shared" si="311"/>
        <v>0.99840000000000007</v>
      </c>
      <c r="AN500">
        <f t="shared" si="312"/>
        <v>1.3</v>
      </c>
      <c r="AO500">
        <f t="shared" si="313"/>
        <v>1.9</v>
      </c>
      <c r="AP500">
        <f t="shared" si="314"/>
        <v>6</v>
      </c>
      <c r="AQ500">
        <v>403</v>
      </c>
      <c r="AR500">
        <v>1</v>
      </c>
      <c r="BO500" t="s">
        <v>186</v>
      </c>
      <c r="BP500" t="str">
        <f>RIGHT(BO500,1)</f>
        <v>0</v>
      </c>
    </row>
    <row r="501" spans="1:68" x14ac:dyDescent="0.15">
      <c r="A501">
        <f t="shared" si="320"/>
        <v>1205032</v>
      </c>
      <c r="B501" s="6" t="s">
        <v>247</v>
      </c>
      <c r="C501">
        <v>3</v>
      </c>
      <c r="D501">
        <v>2</v>
      </c>
      <c r="E501">
        <v>2</v>
      </c>
      <c r="F501" s="22" t="s">
        <v>734</v>
      </c>
      <c r="G501" s="29" t="s">
        <v>735</v>
      </c>
      <c r="H501">
        <v>0</v>
      </c>
      <c r="I501" s="2">
        <v>0</v>
      </c>
      <c r="J501" s="2">
        <f t="shared" si="297"/>
        <v>3</v>
      </c>
      <c r="K501" s="2">
        <f t="shared" si="298"/>
        <v>1.8</v>
      </c>
      <c r="L501" s="2">
        <f t="shared" si="299"/>
        <v>2</v>
      </c>
      <c r="M501" s="2">
        <v>10</v>
      </c>
      <c r="N501" s="2">
        <f t="shared" si="300"/>
        <v>103.68</v>
      </c>
      <c r="O501" s="2">
        <f t="shared" si="301"/>
        <v>10.37</v>
      </c>
      <c r="P501" s="2">
        <f t="shared" si="302"/>
        <v>1280</v>
      </c>
      <c r="Q501" s="2">
        <f t="shared" si="303"/>
        <v>128</v>
      </c>
      <c r="R501" s="2">
        <f t="shared" si="304"/>
        <v>20.74</v>
      </c>
      <c r="S501" s="2">
        <f t="shared" si="305"/>
        <v>2.0699999999999998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5">
        <v>122051</v>
      </c>
      <c r="Z501" s="26" t="s">
        <v>710</v>
      </c>
      <c r="AA501" s="4">
        <v>1</v>
      </c>
      <c r="AB501" s="4">
        <v>0</v>
      </c>
      <c r="AC501" s="4"/>
      <c r="AD501" s="4">
        <f t="shared" si="321"/>
        <v>2810.6355199999994</v>
      </c>
      <c r="AF501" s="1" t="str">
        <f t="shared" si="322"/>
        <v>5</v>
      </c>
      <c r="AG501">
        <v>3</v>
      </c>
      <c r="AH501">
        <f t="shared" si="306"/>
        <v>103.68</v>
      </c>
      <c r="AI501">
        <f t="shared" si="307"/>
        <v>10.368000000000002</v>
      </c>
      <c r="AJ501">
        <f t="shared" si="308"/>
        <v>1280</v>
      </c>
      <c r="AK501">
        <f t="shared" si="309"/>
        <v>128</v>
      </c>
      <c r="AL501">
        <f t="shared" si="310"/>
        <v>20.736000000000001</v>
      </c>
      <c r="AM501">
        <f t="shared" si="311"/>
        <v>2.0736000000000003</v>
      </c>
      <c r="AN501">
        <f t="shared" si="312"/>
        <v>1.8</v>
      </c>
      <c r="AO501">
        <f t="shared" si="313"/>
        <v>2</v>
      </c>
      <c r="AP501">
        <f t="shared" si="314"/>
        <v>3</v>
      </c>
      <c r="AQ501">
        <v>205</v>
      </c>
      <c r="AR501">
        <v>1</v>
      </c>
      <c r="BO501" t="s">
        <v>176</v>
      </c>
      <c r="BP501" t="str">
        <f>RIGHT(BO501,1)</f>
        <v>2</v>
      </c>
    </row>
    <row r="502" spans="1:68" x14ac:dyDescent="0.15">
      <c r="A502">
        <f t="shared" si="320"/>
        <v>1405032</v>
      </c>
      <c r="B502" s="6" t="s">
        <v>250</v>
      </c>
      <c r="C502">
        <v>3</v>
      </c>
      <c r="D502">
        <v>4</v>
      </c>
      <c r="E502">
        <v>2</v>
      </c>
      <c r="F502" s="22" t="s">
        <v>736</v>
      </c>
      <c r="G502" s="22" t="s">
        <v>737</v>
      </c>
      <c r="H502">
        <v>0</v>
      </c>
      <c r="I502" s="2" t="s">
        <v>106</v>
      </c>
      <c r="J502" s="2">
        <f t="shared" si="297"/>
        <v>6</v>
      </c>
      <c r="K502" s="2">
        <f t="shared" si="298"/>
        <v>1.5</v>
      </c>
      <c r="L502" s="2">
        <f t="shared" si="299"/>
        <v>1.5</v>
      </c>
      <c r="M502" s="2">
        <v>10</v>
      </c>
      <c r="N502" s="2">
        <f t="shared" si="300"/>
        <v>120</v>
      </c>
      <c r="O502" s="2">
        <f t="shared" si="301"/>
        <v>12</v>
      </c>
      <c r="P502" s="2">
        <f t="shared" si="302"/>
        <v>921.6</v>
      </c>
      <c r="Q502" s="2">
        <f t="shared" si="303"/>
        <v>92.16</v>
      </c>
      <c r="R502" s="2">
        <f t="shared" si="304"/>
        <v>12</v>
      </c>
      <c r="S502" s="2">
        <f t="shared" si="305"/>
        <v>1.2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5">
        <v>124051</v>
      </c>
      <c r="Z502" s="26" t="s">
        <v>710</v>
      </c>
      <c r="AA502" s="4">
        <v>1</v>
      </c>
      <c r="AB502" s="4">
        <v>0</v>
      </c>
      <c r="AC502" s="4"/>
      <c r="AD502" s="4">
        <f t="shared" si="321"/>
        <v>2810.1427199999998</v>
      </c>
      <c r="AF502" s="1" t="str">
        <f t="shared" si="322"/>
        <v>5</v>
      </c>
      <c r="AG502">
        <v>3</v>
      </c>
      <c r="AH502">
        <f t="shared" si="306"/>
        <v>120</v>
      </c>
      <c r="AI502">
        <f t="shared" si="307"/>
        <v>12</v>
      </c>
      <c r="AJ502">
        <f t="shared" si="308"/>
        <v>921.59999999999991</v>
      </c>
      <c r="AK502">
        <f t="shared" si="309"/>
        <v>92.16</v>
      </c>
      <c r="AL502">
        <f t="shared" si="310"/>
        <v>12</v>
      </c>
      <c r="AM502">
        <f t="shared" si="311"/>
        <v>1.2000000000000002</v>
      </c>
      <c r="AN502">
        <f t="shared" si="312"/>
        <v>1.5</v>
      </c>
      <c r="AO502">
        <f t="shared" si="313"/>
        <v>1.5</v>
      </c>
      <c r="AP502">
        <f t="shared" si="314"/>
        <v>6</v>
      </c>
      <c r="AQ502">
        <v>405</v>
      </c>
      <c r="AR502">
        <v>1</v>
      </c>
      <c r="BO502" t="s">
        <v>165</v>
      </c>
      <c r="BP502" t="str">
        <f>RIGHT(BO502,1)</f>
        <v>2</v>
      </c>
    </row>
    <row r="503" spans="1:68" x14ac:dyDescent="0.15">
      <c r="A503">
        <f t="shared" si="320"/>
        <v>1303032</v>
      </c>
      <c r="B503" s="6" t="s">
        <v>253</v>
      </c>
      <c r="C503">
        <v>3</v>
      </c>
      <c r="D503">
        <v>3</v>
      </c>
      <c r="E503">
        <v>2</v>
      </c>
      <c r="F503" s="22" t="s">
        <v>730</v>
      </c>
      <c r="G503" s="22" t="s">
        <v>731</v>
      </c>
      <c r="H503" s="2">
        <v>0</v>
      </c>
      <c r="I503" s="2">
        <v>0</v>
      </c>
      <c r="J503" s="2">
        <f t="shared" si="297"/>
        <v>3</v>
      </c>
      <c r="K503" s="2">
        <f t="shared" si="298"/>
        <v>1.3</v>
      </c>
      <c r="L503" s="2">
        <f t="shared" si="299"/>
        <v>1.4000000000000001</v>
      </c>
      <c r="M503" s="2">
        <v>10</v>
      </c>
      <c r="N503" s="2">
        <f t="shared" si="300"/>
        <v>91.52</v>
      </c>
      <c r="O503" s="2">
        <f t="shared" si="301"/>
        <v>9.15</v>
      </c>
      <c r="P503" s="2">
        <f t="shared" si="302"/>
        <v>1047.27</v>
      </c>
      <c r="Q503" s="2">
        <f t="shared" si="303"/>
        <v>104.73</v>
      </c>
      <c r="R503" s="2">
        <f t="shared" si="304"/>
        <v>11.44</v>
      </c>
      <c r="S503" s="2">
        <f t="shared" si="305"/>
        <v>1.1399999999999999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5">
        <v>133031</v>
      </c>
      <c r="Z503" s="26" t="s">
        <v>710</v>
      </c>
      <c r="AA503" s="4">
        <v>1</v>
      </c>
      <c r="AB503" s="4">
        <v>0</v>
      </c>
      <c r="AC503" s="4"/>
      <c r="AD503" s="4">
        <f t="shared" si="321"/>
        <v>2809.6502927123074</v>
      </c>
      <c r="AF503" s="1" t="str">
        <f t="shared" si="322"/>
        <v>3</v>
      </c>
      <c r="AG503">
        <v>3</v>
      </c>
      <c r="AH503">
        <f t="shared" si="306"/>
        <v>91.52000000000001</v>
      </c>
      <c r="AI503">
        <f t="shared" si="307"/>
        <v>9.152000000000001</v>
      </c>
      <c r="AJ503">
        <f t="shared" si="308"/>
        <v>1047.2727272727273</v>
      </c>
      <c r="AK503">
        <f t="shared" si="309"/>
        <v>104.72727272727273</v>
      </c>
      <c r="AL503">
        <f t="shared" si="310"/>
        <v>11.440000000000001</v>
      </c>
      <c r="AM503">
        <f t="shared" si="311"/>
        <v>1.1440000000000001</v>
      </c>
      <c r="AN503">
        <f t="shared" si="312"/>
        <v>1.3</v>
      </c>
      <c r="AO503">
        <f t="shared" si="313"/>
        <v>1.4</v>
      </c>
      <c r="AP503">
        <f t="shared" si="314"/>
        <v>3</v>
      </c>
      <c r="AQ503">
        <v>303</v>
      </c>
      <c r="AR503">
        <v>1</v>
      </c>
    </row>
    <row r="504" spans="1:68" x14ac:dyDescent="0.15">
      <c r="A504">
        <f t="shared" si="320"/>
        <v>1504032</v>
      </c>
      <c r="B504" s="6" t="s">
        <v>256</v>
      </c>
      <c r="C504">
        <v>3</v>
      </c>
      <c r="D504">
        <v>5</v>
      </c>
      <c r="E504">
        <v>2</v>
      </c>
      <c r="F504" s="22" t="s">
        <v>732</v>
      </c>
      <c r="G504" s="22" t="s">
        <v>733</v>
      </c>
      <c r="H504">
        <v>0</v>
      </c>
      <c r="I504" s="2">
        <v>0</v>
      </c>
      <c r="J504" s="2">
        <f t="shared" si="297"/>
        <v>3</v>
      </c>
      <c r="K504" s="2">
        <f t="shared" si="298"/>
        <v>1.8</v>
      </c>
      <c r="L504" s="2">
        <f t="shared" si="299"/>
        <v>1.5</v>
      </c>
      <c r="M504" s="2">
        <v>10</v>
      </c>
      <c r="N504" s="2">
        <f t="shared" si="300"/>
        <v>126.72</v>
      </c>
      <c r="O504" s="2">
        <f t="shared" si="301"/>
        <v>12.67</v>
      </c>
      <c r="P504" s="2">
        <f t="shared" si="302"/>
        <v>1047.27</v>
      </c>
      <c r="Q504" s="2">
        <f t="shared" si="303"/>
        <v>104.73</v>
      </c>
      <c r="R504" s="2">
        <f t="shared" si="304"/>
        <v>21.12</v>
      </c>
      <c r="S504" s="2">
        <f t="shared" si="305"/>
        <v>2.11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5">
        <v>135041</v>
      </c>
      <c r="Z504" s="26" t="s">
        <v>710</v>
      </c>
      <c r="AA504" s="4">
        <v>1</v>
      </c>
      <c r="AB504" s="4">
        <v>0.5</v>
      </c>
      <c r="AC504" s="4"/>
      <c r="AD504" s="4">
        <f t="shared" si="321"/>
        <v>2809.80537327</v>
      </c>
      <c r="AF504" s="1" t="str">
        <f t="shared" si="322"/>
        <v>4</v>
      </c>
      <c r="AG504">
        <v>3</v>
      </c>
      <c r="AH504">
        <f t="shared" si="306"/>
        <v>126.72</v>
      </c>
      <c r="AI504">
        <f t="shared" si="307"/>
        <v>12.672000000000001</v>
      </c>
      <c r="AJ504">
        <f t="shared" si="308"/>
        <v>1047.2727272727273</v>
      </c>
      <c r="AK504">
        <f t="shared" si="309"/>
        <v>104.72727272727273</v>
      </c>
      <c r="AL504">
        <f t="shared" si="310"/>
        <v>21.12</v>
      </c>
      <c r="AM504">
        <f t="shared" si="311"/>
        <v>2.1120000000000001</v>
      </c>
      <c r="AN504">
        <f t="shared" si="312"/>
        <v>1.8</v>
      </c>
      <c r="AO504">
        <f t="shared" si="313"/>
        <v>1.5</v>
      </c>
      <c r="AP504">
        <f t="shared" si="314"/>
        <v>3</v>
      </c>
      <c r="AQ504">
        <v>504</v>
      </c>
      <c r="AR504">
        <v>1</v>
      </c>
    </row>
    <row r="505" spans="1:68" x14ac:dyDescent="0.15">
      <c r="A505">
        <f t="shared" si="320"/>
        <v>1206032</v>
      </c>
      <c r="B505" s="21" t="s">
        <v>259</v>
      </c>
      <c r="C505">
        <v>3</v>
      </c>
      <c r="D505">
        <v>2</v>
      </c>
      <c r="E505">
        <v>2</v>
      </c>
      <c r="F505" s="6" t="s">
        <v>260</v>
      </c>
      <c r="G505" s="6" t="s">
        <v>261</v>
      </c>
      <c r="H505" s="2">
        <v>0</v>
      </c>
      <c r="I505" s="2">
        <v>0</v>
      </c>
      <c r="J505" s="2">
        <f t="shared" si="297"/>
        <v>3</v>
      </c>
      <c r="K505" s="2">
        <f t="shared" si="298"/>
        <v>1.6</v>
      </c>
      <c r="L505" s="2">
        <f t="shared" si="299"/>
        <v>2</v>
      </c>
      <c r="M505" s="2">
        <v>10</v>
      </c>
      <c r="N505" s="2">
        <f t="shared" si="300"/>
        <v>92.16</v>
      </c>
      <c r="O505" s="2">
        <f t="shared" si="301"/>
        <v>9.2200000000000006</v>
      </c>
      <c r="P505" s="2">
        <f t="shared" si="302"/>
        <v>1280</v>
      </c>
      <c r="Q505" s="2">
        <f t="shared" si="303"/>
        <v>128</v>
      </c>
      <c r="R505" s="2">
        <f t="shared" si="304"/>
        <v>18.43</v>
      </c>
      <c r="S505" s="2">
        <f t="shared" si="305"/>
        <v>1.84</v>
      </c>
      <c r="T505" s="2">
        <v>0</v>
      </c>
      <c r="U505" s="2">
        <v>0</v>
      </c>
      <c r="V505" s="2">
        <v>0</v>
      </c>
      <c r="W505" s="2">
        <v>0</v>
      </c>
      <c r="X505" s="2">
        <v>0</v>
      </c>
      <c r="Y505" s="25">
        <v>212061</v>
      </c>
      <c r="Z505" s="26" t="s">
        <v>710</v>
      </c>
      <c r="AA505" s="4">
        <v>1</v>
      </c>
      <c r="AB505" s="4">
        <v>0</v>
      </c>
      <c r="AC505" s="4"/>
      <c r="AD505" s="4">
        <f t="shared" si="321"/>
        <v>2811.2515199999993</v>
      </c>
      <c r="AF505" s="1" t="str">
        <f t="shared" si="322"/>
        <v>6</v>
      </c>
      <c r="AG505">
        <v>3</v>
      </c>
      <c r="AH505">
        <f t="shared" si="306"/>
        <v>92.160000000000011</v>
      </c>
      <c r="AI505">
        <f t="shared" si="307"/>
        <v>9.2160000000000011</v>
      </c>
      <c r="AJ505">
        <f t="shared" si="308"/>
        <v>1280</v>
      </c>
      <c r="AK505">
        <f t="shared" si="309"/>
        <v>128</v>
      </c>
      <c r="AL505">
        <f t="shared" si="310"/>
        <v>18.432000000000002</v>
      </c>
      <c r="AM505">
        <f t="shared" si="311"/>
        <v>1.8432000000000004</v>
      </c>
      <c r="AN505">
        <f t="shared" si="312"/>
        <v>1.6</v>
      </c>
      <c r="AO505">
        <f t="shared" si="313"/>
        <v>2</v>
      </c>
      <c r="AP505">
        <f t="shared" si="314"/>
        <v>3</v>
      </c>
      <c r="AQ505">
        <v>206</v>
      </c>
      <c r="AR505">
        <v>1</v>
      </c>
    </row>
    <row r="506" spans="1:68" x14ac:dyDescent="0.15">
      <c r="A506">
        <f t="shared" si="320"/>
        <v>1406032</v>
      </c>
      <c r="B506" s="21" t="s">
        <v>262</v>
      </c>
      <c r="C506">
        <v>3</v>
      </c>
      <c r="D506">
        <v>4</v>
      </c>
      <c r="E506">
        <v>2</v>
      </c>
      <c r="F506" s="6" t="s">
        <v>263</v>
      </c>
      <c r="G506" s="6" t="s">
        <v>264</v>
      </c>
      <c r="H506" s="2">
        <v>0</v>
      </c>
      <c r="I506" s="2" t="s">
        <v>106</v>
      </c>
      <c r="J506" s="2">
        <f t="shared" si="297"/>
        <v>6</v>
      </c>
      <c r="K506" s="2">
        <f t="shared" si="298"/>
        <v>1.4000000000000001</v>
      </c>
      <c r="L506" s="2">
        <f t="shared" si="299"/>
        <v>1.2</v>
      </c>
      <c r="M506" s="2">
        <v>10</v>
      </c>
      <c r="N506" s="2">
        <f t="shared" si="300"/>
        <v>116.48</v>
      </c>
      <c r="O506" s="2">
        <f t="shared" si="301"/>
        <v>11.65</v>
      </c>
      <c r="P506" s="2">
        <f t="shared" si="302"/>
        <v>886.15</v>
      </c>
      <c r="Q506" s="2">
        <f t="shared" si="303"/>
        <v>88.62</v>
      </c>
      <c r="R506" s="2">
        <f t="shared" si="304"/>
        <v>11.65</v>
      </c>
      <c r="S506" s="2">
        <f t="shared" si="305"/>
        <v>1.1599999999999999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5">
        <v>214061</v>
      </c>
      <c r="Z506" s="26" t="s">
        <v>710</v>
      </c>
      <c r="AA506" s="4">
        <v>1</v>
      </c>
      <c r="AB506" s="4">
        <v>0</v>
      </c>
      <c r="AC506" s="4"/>
      <c r="AD506" s="4">
        <f t="shared" si="321"/>
        <v>2810.7133339499992</v>
      </c>
      <c r="AF506" s="1" t="str">
        <f t="shared" si="322"/>
        <v>6</v>
      </c>
      <c r="AG506">
        <v>3</v>
      </c>
      <c r="AH506">
        <f t="shared" si="306"/>
        <v>116.47999999999998</v>
      </c>
      <c r="AI506">
        <f t="shared" si="307"/>
        <v>11.647999999999998</v>
      </c>
      <c r="AJ506">
        <f t="shared" si="308"/>
        <v>886.15384615384596</v>
      </c>
      <c r="AK506">
        <f t="shared" si="309"/>
        <v>88.615384615384599</v>
      </c>
      <c r="AL506">
        <f t="shared" si="310"/>
        <v>11.647999999999998</v>
      </c>
      <c r="AM506">
        <f t="shared" si="311"/>
        <v>1.1647999999999998</v>
      </c>
      <c r="AN506">
        <f t="shared" si="312"/>
        <v>1.4</v>
      </c>
      <c r="AO506">
        <f t="shared" si="313"/>
        <v>1.2</v>
      </c>
      <c r="AP506">
        <f t="shared" si="314"/>
        <v>6</v>
      </c>
      <c r="AQ506">
        <v>406</v>
      </c>
      <c r="AR506">
        <v>1</v>
      </c>
    </row>
    <row r="507" spans="1:68" x14ac:dyDescent="0.15">
      <c r="A507">
        <f t="shared" si="320"/>
        <v>1204032</v>
      </c>
      <c r="B507" s="21" t="s">
        <v>265</v>
      </c>
      <c r="C507">
        <v>3</v>
      </c>
      <c r="D507">
        <v>2</v>
      </c>
      <c r="E507">
        <v>2</v>
      </c>
      <c r="F507" s="22" t="s">
        <v>738</v>
      </c>
      <c r="G507" s="22" t="s">
        <v>739</v>
      </c>
      <c r="H507" s="2">
        <v>0</v>
      </c>
      <c r="I507" s="2">
        <v>0</v>
      </c>
      <c r="J507" s="2">
        <f t="shared" si="297"/>
        <v>3</v>
      </c>
      <c r="K507" s="2">
        <f t="shared" si="298"/>
        <v>1.4000000000000001</v>
      </c>
      <c r="L507" s="2">
        <f t="shared" si="299"/>
        <v>1.2</v>
      </c>
      <c r="M507" s="2">
        <v>10</v>
      </c>
      <c r="N507" s="2">
        <f t="shared" si="300"/>
        <v>80.64</v>
      </c>
      <c r="O507" s="2">
        <f t="shared" si="301"/>
        <v>8.06</v>
      </c>
      <c r="P507" s="2">
        <f t="shared" si="302"/>
        <v>1280</v>
      </c>
      <c r="Q507" s="2">
        <f t="shared" si="303"/>
        <v>128</v>
      </c>
      <c r="R507" s="2">
        <f t="shared" si="304"/>
        <v>16.13</v>
      </c>
      <c r="S507" s="2">
        <f t="shared" si="305"/>
        <v>1.61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5">
        <v>222041</v>
      </c>
      <c r="Z507" s="26" t="s">
        <v>710</v>
      </c>
      <c r="AA507" s="4">
        <v>1</v>
      </c>
      <c r="AB507" s="4">
        <v>0</v>
      </c>
      <c r="AC507" s="4"/>
      <c r="AD507" s="4">
        <f t="shared" si="321"/>
        <v>2808.8755199999996</v>
      </c>
      <c r="AF507" s="1" t="str">
        <f t="shared" si="322"/>
        <v>4</v>
      </c>
      <c r="AG507">
        <v>3</v>
      </c>
      <c r="AH507">
        <f t="shared" si="306"/>
        <v>80.64</v>
      </c>
      <c r="AI507">
        <f t="shared" si="307"/>
        <v>8.0640000000000001</v>
      </c>
      <c r="AJ507">
        <f t="shared" si="308"/>
        <v>1280</v>
      </c>
      <c r="AK507">
        <f t="shared" si="309"/>
        <v>128</v>
      </c>
      <c r="AL507">
        <f t="shared" si="310"/>
        <v>16.128</v>
      </c>
      <c r="AM507">
        <f t="shared" si="311"/>
        <v>1.6128</v>
      </c>
      <c r="AN507">
        <f t="shared" si="312"/>
        <v>1.4</v>
      </c>
      <c r="AO507">
        <f t="shared" si="313"/>
        <v>1.2</v>
      </c>
      <c r="AP507">
        <f t="shared" si="314"/>
        <v>3</v>
      </c>
      <c r="AQ507">
        <v>204</v>
      </c>
      <c r="AR507">
        <v>1</v>
      </c>
    </row>
    <row r="508" spans="1:68" x14ac:dyDescent="0.15">
      <c r="A508">
        <f t="shared" si="320"/>
        <v>1404032</v>
      </c>
      <c r="B508" s="21" t="s">
        <v>268</v>
      </c>
      <c r="C508">
        <v>3</v>
      </c>
      <c r="D508">
        <v>4</v>
      </c>
      <c r="E508">
        <v>2</v>
      </c>
      <c r="F508" s="22" t="s">
        <v>740</v>
      </c>
      <c r="G508" s="22" t="s">
        <v>741</v>
      </c>
      <c r="H508" s="2">
        <v>0</v>
      </c>
      <c r="I508" s="2" t="s">
        <v>106</v>
      </c>
      <c r="J508" s="2">
        <f t="shared" si="297"/>
        <v>6</v>
      </c>
      <c r="K508" s="2">
        <f t="shared" si="298"/>
        <v>1.6</v>
      </c>
      <c r="L508" s="2">
        <f t="shared" si="299"/>
        <v>1.9000000000000001</v>
      </c>
      <c r="M508" s="2">
        <v>10</v>
      </c>
      <c r="N508" s="2">
        <f t="shared" si="300"/>
        <v>133.12</v>
      </c>
      <c r="O508" s="2">
        <f t="shared" si="301"/>
        <v>13.31</v>
      </c>
      <c r="P508" s="2">
        <f t="shared" si="302"/>
        <v>886.15</v>
      </c>
      <c r="Q508" s="2">
        <f t="shared" si="303"/>
        <v>88.62</v>
      </c>
      <c r="R508" s="2">
        <f t="shared" si="304"/>
        <v>13.31</v>
      </c>
      <c r="S508" s="2">
        <f t="shared" si="305"/>
        <v>1.33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5">
        <v>224041</v>
      </c>
      <c r="Z508" s="26" t="s">
        <v>710</v>
      </c>
      <c r="AA508" s="4">
        <v>1</v>
      </c>
      <c r="AB508" s="4">
        <v>0</v>
      </c>
      <c r="AC508" s="4"/>
      <c r="AD508" s="4">
        <f t="shared" si="321"/>
        <v>2809.8908337937496</v>
      </c>
      <c r="AF508" s="1" t="str">
        <f t="shared" si="322"/>
        <v>4</v>
      </c>
      <c r="AG508">
        <v>3</v>
      </c>
      <c r="AH508">
        <f t="shared" si="306"/>
        <v>133.12</v>
      </c>
      <c r="AI508">
        <f t="shared" si="307"/>
        <v>13.312000000000001</v>
      </c>
      <c r="AJ508">
        <f t="shared" si="308"/>
        <v>886.15384615384596</v>
      </c>
      <c r="AK508">
        <f t="shared" si="309"/>
        <v>88.615384615384599</v>
      </c>
      <c r="AL508">
        <f t="shared" si="310"/>
        <v>13.312000000000001</v>
      </c>
      <c r="AM508">
        <f t="shared" si="311"/>
        <v>1.3312000000000002</v>
      </c>
      <c r="AN508">
        <f t="shared" si="312"/>
        <v>1.6</v>
      </c>
      <c r="AO508">
        <f t="shared" si="313"/>
        <v>1.9</v>
      </c>
      <c r="AP508">
        <f t="shared" si="314"/>
        <v>6</v>
      </c>
      <c r="AQ508">
        <v>404</v>
      </c>
      <c r="AR508">
        <v>1</v>
      </c>
    </row>
    <row r="509" spans="1:68" x14ac:dyDescent="0.15">
      <c r="A509">
        <f t="shared" si="320"/>
        <v>1503032</v>
      </c>
      <c r="B509" s="21" t="s">
        <v>271</v>
      </c>
      <c r="C509">
        <v>3</v>
      </c>
      <c r="D509">
        <v>5</v>
      </c>
      <c r="E509">
        <v>2</v>
      </c>
      <c r="F509" s="22" t="s">
        <v>742</v>
      </c>
      <c r="G509" s="22" t="s">
        <v>745</v>
      </c>
      <c r="H509" s="2">
        <v>0</v>
      </c>
      <c r="I509" s="2">
        <v>0</v>
      </c>
      <c r="J509" s="2">
        <f t="shared" si="297"/>
        <v>3</v>
      </c>
      <c r="K509" s="2">
        <f t="shared" si="298"/>
        <v>1.6</v>
      </c>
      <c r="L509" s="2">
        <f t="shared" si="299"/>
        <v>1.5</v>
      </c>
      <c r="M509" s="2">
        <v>10</v>
      </c>
      <c r="N509" s="2">
        <f t="shared" si="300"/>
        <v>122.88</v>
      </c>
      <c r="O509" s="2">
        <f t="shared" si="301"/>
        <v>12.29</v>
      </c>
      <c r="P509" s="2">
        <f t="shared" si="302"/>
        <v>960</v>
      </c>
      <c r="Q509" s="2">
        <f t="shared" si="303"/>
        <v>96</v>
      </c>
      <c r="R509" s="2">
        <f t="shared" si="304"/>
        <v>20.48</v>
      </c>
      <c r="S509" s="2">
        <f t="shared" si="305"/>
        <v>2.0499999999999998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5">
        <v>235031</v>
      </c>
      <c r="Z509" s="26" t="s">
        <v>710</v>
      </c>
      <c r="AA509" s="4">
        <v>1</v>
      </c>
      <c r="AB509" s="4">
        <v>0</v>
      </c>
      <c r="AC509" s="4"/>
      <c r="AD509" s="4">
        <f t="shared" si="321"/>
        <v>2810.5585199999996</v>
      </c>
      <c r="AF509" s="1" t="str">
        <f t="shared" si="322"/>
        <v>3</v>
      </c>
      <c r="AG509">
        <v>3</v>
      </c>
      <c r="AH509">
        <f t="shared" si="306"/>
        <v>122.88</v>
      </c>
      <c r="AI509">
        <f t="shared" si="307"/>
        <v>12.288</v>
      </c>
      <c r="AJ509">
        <f t="shared" si="308"/>
        <v>960</v>
      </c>
      <c r="AK509">
        <f t="shared" si="309"/>
        <v>96</v>
      </c>
      <c r="AL509">
        <f t="shared" si="310"/>
        <v>20.48</v>
      </c>
      <c r="AM509">
        <f t="shared" si="311"/>
        <v>2.048</v>
      </c>
      <c r="AN509">
        <f t="shared" si="312"/>
        <v>1.6</v>
      </c>
      <c r="AO509">
        <f t="shared" si="313"/>
        <v>1.5</v>
      </c>
      <c r="AP509">
        <f t="shared" si="314"/>
        <v>3</v>
      </c>
      <c r="AQ509">
        <v>503</v>
      </c>
      <c r="AR509">
        <v>1</v>
      </c>
    </row>
    <row r="510" spans="1:68" x14ac:dyDescent="0.15">
      <c r="A510">
        <f t="shared" si="320"/>
        <v>1304032</v>
      </c>
      <c r="B510" s="21" t="s">
        <v>274</v>
      </c>
      <c r="C510">
        <v>3</v>
      </c>
      <c r="D510">
        <v>3</v>
      </c>
      <c r="E510">
        <v>2</v>
      </c>
      <c r="F510" s="22" t="s">
        <v>743</v>
      </c>
      <c r="G510" s="22" t="s">
        <v>744</v>
      </c>
      <c r="H510">
        <v>0</v>
      </c>
      <c r="I510" s="2">
        <v>0</v>
      </c>
      <c r="J510" s="2">
        <f t="shared" si="297"/>
        <v>3</v>
      </c>
      <c r="K510" s="2">
        <f t="shared" si="298"/>
        <v>1.4000000000000001</v>
      </c>
      <c r="L510" s="2">
        <f t="shared" si="299"/>
        <v>2</v>
      </c>
      <c r="M510" s="2">
        <v>10</v>
      </c>
      <c r="N510" s="2">
        <f t="shared" si="300"/>
        <v>103.04</v>
      </c>
      <c r="O510" s="2">
        <f t="shared" si="301"/>
        <v>10.3</v>
      </c>
      <c r="P510" s="2">
        <f t="shared" si="302"/>
        <v>1001.74</v>
      </c>
      <c r="Q510" s="2">
        <f t="shared" si="303"/>
        <v>100.17</v>
      </c>
      <c r="R510" s="2">
        <f t="shared" si="304"/>
        <v>12.88</v>
      </c>
      <c r="S510" s="2">
        <f t="shared" si="305"/>
        <v>1.29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5">
        <v>233041</v>
      </c>
      <c r="Z510" s="26" t="s">
        <v>710</v>
      </c>
      <c r="AA510" s="4">
        <v>1</v>
      </c>
      <c r="AB510" s="4">
        <v>0</v>
      </c>
      <c r="AC510" s="4"/>
      <c r="AD510" s="4">
        <f t="shared" si="321"/>
        <v>2809.0514631599995</v>
      </c>
      <c r="AF510" s="1" t="str">
        <f t="shared" si="322"/>
        <v>4</v>
      </c>
      <c r="AG510">
        <v>3</v>
      </c>
      <c r="AH510">
        <f t="shared" si="306"/>
        <v>103.03999999999999</v>
      </c>
      <c r="AI510">
        <f t="shared" si="307"/>
        <v>10.304</v>
      </c>
      <c r="AJ510">
        <f t="shared" si="308"/>
        <v>1001.7391304347826</v>
      </c>
      <c r="AK510">
        <f t="shared" si="309"/>
        <v>100.17391304347827</v>
      </c>
      <c r="AL510">
        <f t="shared" si="310"/>
        <v>12.879999999999999</v>
      </c>
      <c r="AM510">
        <f t="shared" si="311"/>
        <v>1.288</v>
      </c>
      <c r="AN510">
        <f t="shared" si="312"/>
        <v>1.4</v>
      </c>
      <c r="AO510">
        <f t="shared" si="313"/>
        <v>2</v>
      </c>
      <c r="AP510">
        <f t="shared" si="314"/>
        <v>3</v>
      </c>
      <c r="AQ510">
        <v>304</v>
      </c>
      <c r="AR510">
        <v>1</v>
      </c>
    </row>
    <row r="511" spans="1:68" x14ac:dyDescent="0.15">
      <c r="A511">
        <f t="shared" si="320"/>
        <v>1203033</v>
      </c>
      <c r="B511" s="6" t="s">
        <v>241</v>
      </c>
      <c r="C511">
        <v>3</v>
      </c>
      <c r="D511">
        <v>2</v>
      </c>
      <c r="E511">
        <v>3</v>
      </c>
      <c r="F511" s="6" t="s">
        <v>242</v>
      </c>
      <c r="G511" s="20" t="s">
        <v>243</v>
      </c>
      <c r="H511">
        <v>0</v>
      </c>
      <c r="I511" s="2">
        <v>0</v>
      </c>
      <c r="J511" s="2">
        <f t="shared" si="297"/>
        <v>3</v>
      </c>
      <c r="K511" s="2">
        <f t="shared" si="298"/>
        <v>1.3</v>
      </c>
      <c r="L511" s="2">
        <f t="shared" si="299"/>
        <v>1.9000000000000001</v>
      </c>
      <c r="M511" s="2">
        <v>10</v>
      </c>
      <c r="N511" s="2">
        <f t="shared" si="300"/>
        <v>74.88</v>
      </c>
      <c r="O511" s="2">
        <f t="shared" si="301"/>
        <v>7.49</v>
      </c>
      <c r="P511" s="2">
        <f t="shared" si="302"/>
        <v>1280</v>
      </c>
      <c r="Q511" s="2">
        <f t="shared" si="303"/>
        <v>128</v>
      </c>
      <c r="R511" s="2">
        <f t="shared" si="304"/>
        <v>14.98</v>
      </c>
      <c r="S511" s="2">
        <f t="shared" si="305"/>
        <v>1.5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5">
        <v>112031</v>
      </c>
      <c r="Z511" s="26" t="s">
        <v>710</v>
      </c>
      <c r="AA511" s="4">
        <v>1</v>
      </c>
      <c r="AB511" s="4">
        <v>0</v>
      </c>
      <c r="AC511" s="4"/>
      <c r="AD511" s="4">
        <f t="shared" si="321"/>
        <v>2810.825058461538</v>
      </c>
      <c r="AF511" s="1" t="str">
        <f t="shared" si="322"/>
        <v>3</v>
      </c>
      <c r="AG511">
        <v>3</v>
      </c>
      <c r="AH511">
        <f t="shared" si="306"/>
        <v>74.88000000000001</v>
      </c>
      <c r="AI511">
        <f t="shared" si="307"/>
        <v>7.4880000000000013</v>
      </c>
      <c r="AJ511">
        <f t="shared" si="308"/>
        <v>1280</v>
      </c>
      <c r="AK511">
        <f t="shared" si="309"/>
        <v>128</v>
      </c>
      <c r="AL511">
        <f t="shared" si="310"/>
        <v>14.976000000000003</v>
      </c>
      <c r="AM511">
        <f t="shared" si="311"/>
        <v>1.4976000000000003</v>
      </c>
      <c r="AN511">
        <f t="shared" si="312"/>
        <v>1.3</v>
      </c>
      <c r="AO511">
        <f t="shared" si="313"/>
        <v>1.9</v>
      </c>
      <c r="AP511">
        <f t="shared" si="314"/>
        <v>3</v>
      </c>
      <c r="AQ511">
        <v>203</v>
      </c>
      <c r="AR511">
        <v>1</v>
      </c>
    </row>
    <row r="512" spans="1:68" x14ac:dyDescent="0.15">
      <c r="A512">
        <f t="shared" si="320"/>
        <v>1403033</v>
      </c>
      <c r="B512" s="6" t="s">
        <v>244</v>
      </c>
      <c r="C512">
        <v>3</v>
      </c>
      <c r="D512">
        <v>4</v>
      </c>
      <c r="E512">
        <v>3</v>
      </c>
      <c r="F512" s="6" t="s">
        <v>245</v>
      </c>
      <c r="G512" s="20" t="s">
        <v>246</v>
      </c>
      <c r="H512" s="2">
        <v>0</v>
      </c>
      <c r="I512" s="2" t="s">
        <v>103</v>
      </c>
      <c r="J512" s="2">
        <f t="shared" si="297"/>
        <v>6</v>
      </c>
      <c r="K512" s="2">
        <f t="shared" si="298"/>
        <v>1.3</v>
      </c>
      <c r="L512" s="2">
        <f t="shared" si="299"/>
        <v>1.9000000000000001</v>
      </c>
      <c r="M512" s="2">
        <v>10</v>
      </c>
      <c r="N512" s="2">
        <f t="shared" si="300"/>
        <v>99.84</v>
      </c>
      <c r="O512" s="2">
        <f t="shared" si="301"/>
        <v>9.98</v>
      </c>
      <c r="P512" s="2">
        <f t="shared" si="302"/>
        <v>960</v>
      </c>
      <c r="Q512" s="2">
        <f t="shared" si="303"/>
        <v>96</v>
      </c>
      <c r="R512" s="2">
        <f t="shared" si="304"/>
        <v>9.98</v>
      </c>
      <c r="S512" s="2">
        <f t="shared" si="305"/>
        <v>1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5">
        <v>114031</v>
      </c>
      <c r="Z512" s="26" t="s">
        <v>710</v>
      </c>
      <c r="AA512" s="4">
        <v>1</v>
      </c>
      <c r="AB512" s="4">
        <v>0</v>
      </c>
      <c r="AC512" s="4"/>
      <c r="AD512" s="4">
        <f t="shared" si="321"/>
        <v>2809.1192123076917</v>
      </c>
      <c r="AF512" s="1" t="str">
        <f t="shared" si="322"/>
        <v>3</v>
      </c>
      <c r="AG512">
        <v>3</v>
      </c>
      <c r="AH512">
        <f t="shared" si="306"/>
        <v>99.84</v>
      </c>
      <c r="AI512">
        <f t="shared" si="307"/>
        <v>9.9840000000000018</v>
      </c>
      <c r="AJ512">
        <f t="shared" si="308"/>
        <v>960</v>
      </c>
      <c r="AK512">
        <f t="shared" si="309"/>
        <v>96</v>
      </c>
      <c r="AL512">
        <f t="shared" si="310"/>
        <v>9.984</v>
      </c>
      <c r="AM512">
        <f t="shared" si="311"/>
        <v>0.99840000000000007</v>
      </c>
      <c r="AN512">
        <f t="shared" si="312"/>
        <v>1.3</v>
      </c>
      <c r="AO512">
        <f t="shared" si="313"/>
        <v>1.9</v>
      </c>
      <c r="AP512">
        <f t="shared" si="314"/>
        <v>6</v>
      </c>
      <c r="AQ512">
        <v>403</v>
      </c>
      <c r="AR512">
        <v>1</v>
      </c>
    </row>
    <row r="513" spans="1:44" x14ac:dyDescent="0.15">
      <c r="A513">
        <f t="shared" si="320"/>
        <v>1205033</v>
      </c>
      <c r="B513" s="6" t="s">
        <v>247</v>
      </c>
      <c r="C513">
        <v>3</v>
      </c>
      <c r="D513">
        <v>2</v>
      </c>
      <c r="E513">
        <v>3</v>
      </c>
      <c r="F513" s="22" t="s">
        <v>734</v>
      </c>
      <c r="G513" s="29" t="s">
        <v>735</v>
      </c>
      <c r="H513">
        <v>0</v>
      </c>
      <c r="I513" s="2">
        <v>0</v>
      </c>
      <c r="J513" s="2">
        <f t="shared" si="297"/>
        <v>3</v>
      </c>
      <c r="K513" s="2">
        <f t="shared" si="298"/>
        <v>1.8</v>
      </c>
      <c r="L513" s="2">
        <f t="shared" si="299"/>
        <v>2</v>
      </c>
      <c r="M513" s="2">
        <v>10</v>
      </c>
      <c r="N513" s="2">
        <f t="shared" si="300"/>
        <v>103.68</v>
      </c>
      <c r="O513" s="2">
        <f t="shared" si="301"/>
        <v>10.37</v>
      </c>
      <c r="P513" s="2">
        <f t="shared" si="302"/>
        <v>1280</v>
      </c>
      <c r="Q513" s="2">
        <f t="shared" si="303"/>
        <v>128</v>
      </c>
      <c r="R513" s="2">
        <f t="shared" si="304"/>
        <v>20.74</v>
      </c>
      <c r="S513" s="2">
        <f t="shared" si="305"/>
        <v>2.0699999999999998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5">
        <v>122051</v>
      </c>
      <c r="Z513" s="26" t="s">
        <v>710</v>
      </c>
      <c r="AA513" s="4">
        <v>1</v>
      </c>
      <c r="AB513" s="4">
        <v>0</v>
      </c>
      <c r="AC513" s="4"/>
      <c r="AD513" s="4">
        <f t="shared" si="321"/>
        <v>2810.6355199999994</v>
      </c>
      <c r="AF513" s="1" t="str">
        <f t="shared" si="322"/>
        <v>5</v>
      </c>
      <c r="AG513">
        <v>3</v>
      </c>
      <c r="AH513">
        <f t="shared" si="306"/>
        <v>103.68</v>
      </c>
      <c r="AI513">
        <f t="shared" si="307"/>
        <v>10.368000000000002</v>
      </c>
      <c r="AJ513">
        <f t="shared" si="308"/>
        <v>1280</v>
      </c>
      <c r="AK513">
        <f t="shared" si="309"/>
        <v>128</v>
      </c>
      <c r="AL513">
        <f t="shared" si="310"/>
        <v>20.736000000000001</v>
      </c>
      <c r="AM513">
        <f t="shared" si="311"/>
        <v>2.0736000000000003</v>
      </c>
      <c r="AN513">
        <f t="shared" si="312"/>
        <v>1.8</v>
      </c>
      <c r="AO513">
        <f t="shared" si="313"/>
        <v>2</v>
      </c>
      <c r="AP513">
        <f t="shared" si="314"/>
        <v>3</v>
      </c>
      <c r="AQ513">
        <v>205</v>
      </c>
      <c r="AR513">
        <v>1</v>
      </c>
    </row>
    <row r="514" spans="1:44" x14ac:dyDescent="0.15">
      <c r="A514">
        <f t="shared" si="320"/>
        <v>1405033</v>
      </c>
      <c r="B514" s="6" t="s">
        <v>250</v>
      </c>
      <c r="C514">
        <v>3</v>
      </c>
      <c r="D514">
        <v>4</v>
      </c>
      <c r="E514">
        <v>3</v>
      </c>
      <c r="F514" s="22" t="s">
        <v>736</v>
      </c>
      <c r="G514" s="22" t="s">
        <v>737</v>
      </c>
      <c r="H514">
        <v>0</v>
      </c>
      <c r="I514" s="2" t="s">
        <v>103</v>
      </c>
      <c r="J514" s="2">
        <f t="shared" si="297"/>
        <v>6</v>
      </c>
      <c r="K514" s="2">
        <f t="shared" si="298"/>
        <v>1.5</v>
      </c>
      <c r="L514" s="2">
        <f t="shared" si="299"/>
        <v>1.5</v>
      </c>
      <c r="M514" s="2">
        <v>10</v>
      </c>
      <c r="N514" s="2">
        <f t="shared" si="300"/>
        <v>120</v>
      </c>
      <c r="O514" s="2">
        <f t="shared" si="301"/>
        <v>12</v>
      </c>
      <c r="P514" s="2">
        <f t="shared" si="302"/>
        <v>921.6</v>
      </c>
      <c r="Q514" s="2">
        <f t="shared" si="303"/>
        <v>92.16</v>
      </c>
      <c r="R514" s="2">
        <f t="shared" si="304"/>
        <v>12</v>
      </c>
      <c r="S514" s="2">
        <f t="shared" si="305"/>
        <v>1.2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5">
        <v>124051</v>
      </c>
      <c r="Z514" s="26" t="s">
        <v>710</v>
      </c>
      <c r="AA514" s="4">
        <v>1</v>
      </c>
      <c r="AB514" s="4">
        <v>0</v>
      </c>
      <c r="AC514" s="4"/>
      <c r="AD514" s="4">
        <f t="shared" si="321"/>
        <v>2810.1427199999998</v>
      </c>
      <c r="AF514" s="1" t="str">
        <f t="shared" si="322"/>
        <v>5</v>
      </c>
      <c r="AG514">
        <v>3</v>
      </c>
      <c r="AH514">
        <f t="shared" si="306"/>
        <v>120</v>
      </c>
      <c r="AI514">
        <f t="shared" si="307"/>
        <v>12</v>
      </c>
      <c r="AJ514">
        <f t="shared" si="308"/>
        <v>921.59999999999991</v>
      </c>
      <c r="AK514">
        <f t="shared" si="309"/>
        <v>92.16</v>
      </c>
      <c r="AL514">
        <f t="shared" si="310"/>
        <v>12</v>
      </c>
      <c r="AM514">
        <f t="shared" si="311"/>
        <v>1.2000000000000002</v>
      </c>
      <c r="AN514">
        <f t="shared" si="312"/>
        <v>1.5</v>
      </c>
      <c r="AO514">
        <f t="shared" si="313"/>
        <v>1.5</v>
      </c>
      <c r="AP514">
        <f t="shared" si="314"/>
        <v>6</v>
      </c>
      <c r="AQ514">
        <v>405</v>
      </c>
      <c r="AR514">
        <v>1</v>
      </c>
    </row>
    <row r="515" spans="1:44" x14ac:dyDescent="0.15">
      <c r="A515">
        <f t="shared" si="320"/>
        <v>1303033</v>
      </c>
      <c r="B515" s="6" t="s">
        <v>253</v>
      </c>
      <c r="C515">
        <v>3</v>
      </c>
      <c r="D515">
        <v>3</v>
      </c>
      <c r="E515">
        <v>3</v>
      </c>
      <c r="F515" s="22" t="s">
        <v>730</v>
      </c>
      <c r="G515" s="22" t="s">
        <v>731</v>
      </c>
      <c r="H515" s="2">
        <v>0</v>
      </c>
      <c r="I515" s="2">
        <v>0</v>
      </c>
      <c r="J515" s="2">
        <f t="shared" si="297"/>
        <v>3</v>
      </c>
      <c r="K515" s="2">
        <f t="shared" si="298"/>
        <v>1.3</v>
      </c>
      <c r="L515" s="2">
        <f t="shared" si="299"/>
        <v>1.4000000000000001</v>
      </c>
      <c r="M515" s="2">
        <v>10</v>
      </c>
      <c r="N515" s="2">
        <f t="shared" si="300"/>
        <v>91.52</v>
      </c>
      <c r="O515" s="2">
        <f t="shared" si="301"/>
        <v>9.15</v>
      </c>
      <c r="P515" s="2">
        <f t="shared" si="302"/>
        <v>1047.27</v>
      </c>
      <c r="Q515" s="2">
        <f t="shared" si="303"/>
        <v>104.73</v>
      </c>
      <c r="R515" s="2">
        <f t="shared" si="304"/>
        <v>11.44</v>
      </c>
      <c r="S515" s="2">
        <f t="shared" si="305"/>
        <v>1.1399999999999999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5">
        <v>133031</v>
      </c>
      <c r="Z515" s="26" t="s">
        <v>710</v>
      </c>
      <c r="AA515" s="4">
        <v>1</v>
      </c>
      <c r="AB515" s="4">
        <v>0</v>
      </c>
      <c r="AC515" s="4"/>
      <c r="AD515" s="4">
        <f t="shared" si="321"/>
        <v>2809.6502927123074</v>
      </c>
      <c r="AF515" s="1" t="str">
        <f t="shared" si="322"/>
        <v>3</v>
      </c>
      <c r="AG515">
        <v>3</v>
      </c>
      <c r="AH515">
        <f t="shared" si="306"/>
        <v>91.52000000000001</v>
      </c>
      <c r="AI515">
        <f t="shared" si="307"/>
        <v>9.152000000000001</v>
      </c>
      <c r="AJ515">
        <f t="shared" si="308"/>
        <v>1047.2727272727273</v>
      </c>
      <c r="AK515">
        <f t="shared" si="309"/>
        <v>104.72727272727273</v>
      </c>
      <c r="AL515">
        <f t="shared" si="310"/>
        <v>11.440000000000001</v>
      </c>
      <c r="AM515">
        <f t="shared" si="311"/>
        <v>1.1440000000000001</v>
      </c>
      <c r="AN515">
        <f t="shared" si="312"/>
        <v>1.3</v>
      </c>
      <c r="AO515">
        <f t="shared" si="313"/>
        <v>1.4</v>
      </c>
      <c r="AP515">
        <f t="shared" si="314"/>
        <v>3</v>
      </c>
      <c r="AQ515">
        <v>303</v>
      </c>
      <c r="AR515">
        <v>1</v>
      </c>
    </row>
    <row r="516" spans="1:44" x14ac:dyDescent="0.15">
      <c r="A516">
        <f t="shared" si="320"/>
        <v>1504033</v>
      </c>
      <c r="B516" s="6" t="s">
        <v>256</v>
      </c>
      <c r="C516">
        <v>3</v>
      </c>
      <c r="D516">
        <v>5</v>
      </c>
      <c r="E516">
        <v>3</v>
      </c>
      <c r="F516" s="22" t="s">
        <v>732</v>
      </c>
      <c r="G516" s="22" t="s">
        <v>733</v>
      </c>
      <c r="H516">
        <v>0</v>
      </c>
      <c r="I516" s="2">
        <v>0</v>
      </c>
      <c r="J516" s="2">
        <f t="shared" si="297"/>
        <v>3</v>
      </c>
      <c r="K516" s="2">
        <f t="shared" si="298"/>
        <v>1.8</v>
      </c>
      <c r="L516" s="2">
        <f t="shared" si="299"/>
        <v>1.5</v>
      </c>
      <c r="M516" s="2">
        <v>10</v>
      </c>
      <c r="N516" s="2">
        <f t="shared" si="300"/>
        <v>126.72</v>
      </c>
      <c r="O516" s="2">
        <f t="shared" si="301"/>
        <v>12.67</v>
      </c>
      <c r="P516" s="2">
        <f t="shared" si="302"/>
        <v>1047.27</v>
      </c>
      <c r="Q516" s="2">
        <f t="shared" si="303"/>
        <v>104.73</v>
      </c>
      <c r="R516" s="2">
        <f t="shared" si="304"/>
        <v>21.12</v>
      </c>
      <c r="S516" s="2">
        <f t="shared" si="305"/>
        <v>2.11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5">
        <v>135041</v>
      </c>
      <c r="Z516" s="26" t="s">
        <v>710</v>
      </c>
      <c r="AA516" s="4">
        <v>1</v>
      </c>
      <c r="AB516" s="4">
        <v>0.5</v>
      </c>
      <c r="AC516" s="4"/>
      <c r="AD516" s="4">
        <f t="shared" si="321"/>
        <v>2809.80537327</v>
      </c>
      <c r="AF516" s="1" t="str">
        <f t="shared" si="322"/>
        <v>4</v>
      </c>
      <c r="AG516">
        <v>3</v>
      </c>
      <c r="AH516">
        <f t="shared" si="306"/>
        <v>126.72</v>
      </c>
      <c r="AI516">
        <f t="shared" si="307"/>
        <v>12.672000000000001</v>
      </c>
      <c r="AJ516">
        <f t="shared" si="308"/>
        <v>1047.2727272727273</v>
      </c>
      <c r="AK516">
        <f t="shared" si="309"/>
        <v>104.72727272727273</v>
      </c>
      <c r="AL516">
        <f t="shared" si="310"/>
        <v>21.12</v>
      </c>
      <c r="AM516">
        <f t="shared" si="311"/>
        <v>2.1120000000000001</v>
      </c>
      <c r="AN516">
        <f t="shared" si="312"/>
        <v>1.8</v>
      </c>
      <c r="AO516">
        <f t="shared" si="313"/>
        <v>1.5</v>
      </c>
      <c r="AP516">
        <f t="shared" si="314"/>
        <v>3</v>
      </c>
      <c r="AQ516">
        <v>504</v>
      </c>
      <c r="AR516">
        <v>1</v>
      </c>
    </row>
    <row r="517" spans="1:44" x14ac:dyDescent="0.15">
      <c r="A517">
        <f t="shared" si="320"/>
        <v>1206033</v>
      </c>
      <c r="B517" s="21" t="s">
        <v>259</v>
      </c>
      <c r="C517">
        <v>3</v>
      </c>
      <c r="D517">
        <v>2</v>
      </c>
      <c r="E517">
        <v>3</v>
      </c>
      <c r="F517" s="6" t="s">
        <v>260</v>
      </c>
      <c r="G517" s="6" t="s">
        <v>261</v>
      </c>
      <c r="H517" s="2">
        <v>0</v>
      </c>
      <c r="I517" s="2">
        <v>0</v>
      </c>
      <c r="J517" s="2">
        <f t="shared" si="297"/>
        <v>3</v>
      </c>
      <c r="K517" s="2">
        <f t="shared" si="298"/>
        <v>1.6</v>
      </c>
      <c r="L517" s="2">
        <f t="shared" si="299"/>
        <v>2</v>
      </c>
      <c r="M517" s="2">
        <v>10</v>
      </c>
      <c r="N517" s="2">
        <f t="shared" si="300"/>
        <v>92.16</v>
      </c>
      <c r="O517" s="2">
        <f t="shared" si="301"/>
        <v>9.2200000000000006</v>
      </c>
      <c r="P517" s="2">
        <f t="shared" si="302"/>
        <v>1280</v>
      </c>
      <c r="Q517" s="2">
        <f t="shared" si="303"/>
        <v>128</v>
      </c>
      <c r="R517" s="2">
        <f t="shared" si="304"/>
        <v>18.43</v>
      </c>
      <c r="S517" s="2">
        <f t="shared" si="305"/>
        <v>1.84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5">
        <v>212061</v>
      </c>
      <c r="Z517" s="26" t="s">
        <v>710</v>
      </c>
      <c r="AA517" s="4">
        <v>1</v>
      </c>
      <c r="AB517" s="4">
        <v>0</v>
      </c>
      <c r="AC517" s="4"/>
      <c r="AD517" s="4">
        <f t="shared" si="321"/>
        <v>2811.2515199999993</v>
      </c>
      <c r="AF517" s="1" t="str">
        <f t="shared" si="322"/>
        <v>6</v>
      </c>
      <c r="AG517">
        <v>3</v>
      </c>
      <c r="AH517">
        <f t="shared" si="306"/>
        <v>92.160000000000011</v>
      </c>
      <c r="AI517">
        <f t="shared" si="307"/>
        <v>9.2160000000000011</v>
      </c>
      <c r="AJ517">
        <f t="shared" si="308"/>
        <v>1280</v>
      </c>
      <c r="AK517">
        <f t="shared" si="309"/>
        <v>128</v>
      </c>
      <c r="AL517">
        <f t="shared" si="310"/>
        <v>18.432000000000002</v>
      </c>
      <c r="AM517">
        <f t="shared" si="311"/>
        <v>1.8432000000000004</v>
      </c>
      <c r="AN517">
        <f t="shared" si="312"/>
        <v>1.6</v>
      </c>
      <c r="AO517">
        <f t="shared" si="313"/>
        <v>2</v>
      </c>
      <c r="AP517">
        <f t="shared" si="314"/>
        <v>3</v>
      </c>
      <c r="AQ517">
        <v>206</v>
      </c>
      <c r="AR517">
        <v>1</v>
      </c>
    </row>
    <row r="518" spans="1:44" x14ac:dyDescent="0.15">
      <c r="A518">
        <f t="shared" si="320"/>
        <v>1406033</v>
      </c>
      <c r="B518" s="21" t="s">
        <v>262</v>
      </c>
      <c r="C518">
        <v>3</v>
      </c>
      <c r="D518">
        <v>4</v>
      </c>
      <c r="E518">
        <v>3</v>
      </c>
      <c r="F518" s="6" t="s">
        <v>263</v>
      </c>
      <c r="G518" s="6" t="s">
        <v>264</v>
      </c>
      <c r="H518" s="2">
        <v>0</v>
      </c>
      <c r="I518" s="2" t="s">
        <v>103</v>
      </c>
      <c r="J518" s="2">
        <f t="shared" si="297"/>
        <v>6</v>
      </c>
      <c r="K518" s="2">
        <f t="shared" si="298"/>
        <v>1.4000000000000001</v>
      </c>
      <c r="L518" s="2">
        <f t="shared" si="299"/>
        <v>1.2</v>
      </c>
      <c r="M518" s="2">
        <v>10</v>
      </c>
      <c r="N518" s="2">
        <f t="shared" si="300"/>
        <v>116.48</v>
      </c>
      <c r="O518" s="2">
        <f t="shared" si="301"/>
        <v>11.65</v>
      </c>
      <c r="P518" s="2">
        <f t="shared" si="302"/>
        <v>886.15</v>
      </c>
      <c r="Q518" s="2">
        <f t="shared" si="303"/>
        <v>88.62</v>
      </c>
      <c r="R518" s="2">
        <f t="shared" si="304"/>
        <v>11.65</v>
      </c>
      <c r="S518" s="2">
        <f t="shared" si="305"/>
        <v>1.1599999999999999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5">
        <v>214061</v>
      </c>
      <c r="Z518" s="26" t="s">
        <v>710</v>
      </c>
      <c r="AA518" s="4">
        <v>1</v>
      </c>
      <c r="AB518" s="4">
        <v>0</v>
      </c>
      <c r="AC518" s="4"/>
      <c r="AD518" s="4">
        <f t="shared" si="321"/>
        <v>2810.7133339499992</v>
      </c>
      <c r="AF518" s="1" t="str">
        <f t="shared" si="322"/>
        <v>6</v>
      </c>
      <c r="AG518">
        <v>3</v>
      </c>
      <c r="AH518">
        <f t="shared" si="306"/>
        <v>116.47999999999998</v>
      </c>
      <c r="AI518">
        <f t="shared" si="307"/>
        <v>11.647999999999998</v>
      </c>
      <c r="AJ518">
        <f t="shared" si="308"/>
        <v>886.15384615384596</v>
      </c>
      <c r="AK518">
        <f t="shared" si="309"/>
        <v>88.615384615384599</v>
      </c>
      <c r="AL518">
        <f t="shared" si="310"/>
        <v>11.647999999999998</v>
      </c>
      <c r="AM518">
        <f t="shared" si="311"/>
        <v>1.1647999999999998</v>
      </c>
      <c r="AN518">
        <f t="shared" si="312"/>
        <v>1.4</v>
      </c>
      <c r="AO518">
        <f t="shared" si="313"/>
        <v>1.2</v>
      </c>
      <c r="AP518">
        <f t="shared" si="314"/>
        <v>6</v>
      </c>
      <c r="AQ518">
        <v>406</v>
      </c>
      <c r="AR518">
        <v>1</v>
      </c>
    </row>
    <row r="519" spans="1:44" x14ac:dyDescent="0.15">
      <c r="A519">
        <f t="shared" si="320"/>
        <v>1204033</v>
      </c>
      <c r="B519" s="21" t="s">
        <v>265</v>
      </c>
      <c r="C519">
        <v>3</v>
      </c>
      <c r="D519">
        <v>2</v>
      </c>
      <c r="E519">
        <v>3</v>
      </c>
      <c r="F519" s="22" t="s">
        <v>738</v>
      </c>
      <c r="G519" s="22" t="s">
        <v>739</v>
      </c>
      <c r="H519" s="2">
        <v>0</v>
      </c>
      <c r="I519" s="2">
        <v>0</v>
      </c>
      <c r="J519" s="2">
        <f t="shared" si="297"/>
        <v>3</v>
      </c>
      <c r="K519" s="2">
        <f t="shared" si="298"/>
        <v>1.4000000000000001</v>
      </c>
      <c r="L519" s="2">
        <f t="shared" si="299"/>
        <v>1.2</v>
      </c>
      <c r="M519" s="2">
        <v>10</v>
      </c>
      <c r="N519" s="2">
        <f t="shared" si="300"/>
        <v>80.64</v>
      </c>
      <c r="O519" s="2">
        <f t="shared" si="301"/>
        <v>8.06</v>
      </c>
      <c r="P519" s="2">
        <f t="shared" si="302"/>
        <v>1280</v>
      </c>
      <c r="Q519" s="2">
        <f t="shared" si="303"/>
        <v>128</v>
      </c>
      <c r="R519" s="2">
        <f t="shared" si="304"/>
        <v>16.13</v>
      </c>
      <c r="S519" s="2">
        <f t="shared" si="305"/>
        <v>1.61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5">
        <v>222041</v>
      </c>
      <c r="Z519" s="26" t="s">
        <v>710</v>
      </c>
      <c r="AA519" s="4">
        <v>1</v>
      </c>
      <c r="AB519" s="4">
        <v>0</v>
      </c>
      <c r="AC519" s="4"/>
      <c r="AD519" s="4">
        <f t="shared" si="321"/>
        <v>2808.8755199999996</v>
      </c>
      <c r="AF519" s="1" t="str">
        <f t="shared" si="322"/>
        <v>4</v>
      </c>
      <c r="AG519">
        <v>3</v>
      </c>
      <c r="AH519">
        <f t="shared" si="306"/>
        <v>80.64</v>
      </c>
      <c r="AI519">
        <f t="shared" si="307"/>
        <v>8.0640000000000001</v>
      </c>
      <c r="AJ519">
        <f t="shared" si="308"/>
        <v>1280</v>
      </c>
      <c r="AK519">
        <f t="shared" si="309"/>
        <v>128</v>
      </c>
      <c r="AL519">
        <f t="shared" si="310"/>
        <v>16.128</v>
      </c>
      <c r="AM519">
        <f t="shared" si="311"/>
        <v>1.6128</v>
      </c>
      <c r="AN519">
        <f t="shared" si="312"/>
        <v>1.4</v>
      </c>
      <c r="AO519">
        <f t="shared" si="313"/>
        <v>1.2</v>
      </c>
      <c r="AP519">
        <f t="shared" si="314"/>
        <v>3</v>
      </c>
      <c r="AQ519">
        <v>204</v>
      </c>
      <c r="AR519">
        <v>1</v>
      </c>
    </row>
    <row r="520" spans="1:44" x14ac:dyDescent="0.15">
      <c r="A520">
        <f t="shared" si="320"/>
        <v>1404033</v>
      </c>
      <c r="B520" s="21" t="s">
        <v>268</v>
      </c>
      <c r="C520">
        <v>3</v>
      </c>
      <c r="D520">
        <v>4</v>
      </c>
      <c r="E520">
        <v>3</v>
      </c>
      <c r="F520" s="22" t="s">
        <v>740</v>
      </c>
      <c r="G520" s="22" t="s">
        <v>741</v>
      </c>
      <c r="H520" s="2">
        <v>0</v>
      </c>
      <c r="I520" s="2" t="s">
        <v>103</v>
      </c>
      <c r="J520" s="2">
        <f t="shared" si="297"/>
        <v>6</v>
      </c>
      <c r="K520" s="2">
        <f t="shared" si="298"/>
        <v>1.6</v>
      </c>
      <c r="L520" s="2">
        <f t="shared" si="299"/>
        <v>1.9000000000000001</v>
      </c>
      <c r="M520" s="2">
        <v>10</v>
      </c>
      <c r="N520" s="2">
        <f t="shared" si="300"/>
        <v>133.12</v>
      </c>
      <c r="O520" s="2">
        <f t="shared" si="301"/>
        <v>13.31</v>
      </c>
      <c r="P520" s="2">
        <f t="shared" si="302"/>
        <v>886.15</v>
      </c>
      <c r="Q520" s="2">
        <f t="shared" si="303"/>
        <v>88.62</v>
      </c>
      <c r="R520" s="2">
        <f t="shared" si="304"/>
        <v>13.31</v>
      </c>
      <c r="S520" s="2">
        <f t="shared" si="305"/>
        <v>1.33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5">
        <v>224041</v>
      </c>
      <c r="Z520" s="26" t="s">
        <v>710</v>
      </c>
      <c r="AA520" s="4">
        <v>1</v>
      </c>
      <c r="AB520" s="4">
        <v>0</v>
      </c>
      <c r="AC520" s="4"/>
      <c r="AD520" s="4">
        <f t="shared" si="321"/>
        <v>2809.8908337937496</v>
      </c>
      <c r="AF520" s="1" t="str">
        <f t="shared" si="322"/>
        <v>4</v>
      </c>
      <c r="AG520">
        <v>3</v>
      </c>
      <c r="AH520">
        <f t="shared" si="306"/>
        <v>133.12</v>
      </c>
      <c r="AI520">
        <f t="shared" si="307"/>
        <v>13.312000000000001</v>
      </c>
      <c r="AJ520">
        <f t="shared" si="308"/>
        <v>886.15384615384596</v>
      </c>
      <c r="AK520">
        <f t="shared" si="309"/>
        <v>88.615384615384599</v>
      </c>
      <c r="AL520">
        <f t="shared" si="310"/>
        <v>13.312000000000001</v>
      </c>
      <c r="AM520">
        <f t="shared" si="311"/>
        <v>1.3312000000000002</v>
      </c>
      <c r="AN520">
        <f t="shared" si="312"/>
        <v>1.6</v>
      </c>
      <c r="AO520">
        <f t="shared" si="313"/>
        <v>1.9</v>
      </c>
      <c r="AP520">
        <f t="shared" si="314"/>
        <v>6</v>
      </c>
      <c r="AQ520">
        <v>404</v>
      </c>
      <c r="AR520">
        <v>1</v>
      </c>
    </row>
    <row r="521" spans="1:44" x14ac:dyDescent="0.15">
      <c r="A521">
        <f t="shared" si="320"/>
        <v>1503033</v>
      </c>
      <c r="B521" s="21" t="s">
        <v>271</v>
      </c>
      <c r="C521">
        <v>3</v>
      </c>
      <c r="D521">
        <v>5</v>
      </c>
      <c r="E521">
        <v>3</v>
      </c>
      <c r="F521" s="22" t="s">
        <v>742</v>
      </c>
      <c r="G521" s="22" t="s">
        <v>745</v>
      </c>
      <c r="H521" s="2">
        <v>0</v>
      </c>
      <c r="I521" s="2">
        <v>0</v>
      </c>
      <c r="J521" s="2">
        <f t="shared" si="297"/>
        <v>3</v>
      </c>
      <c r="K521" s="2">
        <f t="shared" si="298"/>
        <v>1.6</v>
      </c>
      <c r="L521" s="2">
        <f t="shared" si="299"/>
        <v>1.5</v>
      </c>
      <c r="M521" s="2">
        <v>10</v>
      </c>
      <c r="N521" s="2">
        <f t="shared" si="300"/>
        <v>122.88</v>
      </c>
      <c r="O521" s="2">
        <f t="shared" si="301"/>
        <v>12.29</v>
      </c>
      <c r="P521" s="2">
        <f t="shared" si="302"/>
        <v>960</v>
      </c>
      <c r="Q521" s="2">
        <f t="shared" si="303"/>
        <v>96</v>
      </c>
      <c r="R521" s="2">
        <f t="shared" si="304"/>
        <v>20.48</v>
      </c>
      <c r="S521" s="2">
        <f t="shared" si="305"/>
        <v>2.0499999999999998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5">
        <v>235031</v>
      </c>
      <c r="Z521" s="26" t="s">
        <v>710</v>
      </c>
      <c r="AA521" s="4">
        <v>1</v>
      </c>
      <c r="AB521" s="4">
        <v>0</v>
      </c>
      <c r="AC521" s="4"/>
      <c r="AD521" s="4">
        <f t="shared" si="321"/>
        <v>2810.5585199999996</v>
      </c>
      <c r="AF521" s="1" t="str">
        <f t="shared" si="322"/>
        <v>3</v>
      </c>
      <c r="AG521">
        <v>3</v>
      </c>
      <c r="AH521">
        <f t="shared" si="306"/>
        <v>122.88</v>
      </c>
      <c r="AI521">
        <f t="shared" si="307"/>
        <v>12.288</v>
      </c>
      <c r="AJ521">
        <f t="shared" si="308"/>
        <v>960</v>
      </c>
      <c r="AK521">
        <f t="shared" si="309"/>
        <v>96</v>
      </c>
      <c r="AL521">
        <f t="shared" si="310"/>
        <v>20.48</v>
      </c>
      <c r="AM521">
        <f t="shared" si="311"/>
        <v>2.048</v>
      </c>
      <c r="AN521">
        <f t="shared" si="312"/>
        <v>1.6</v>
      </c>
      <c r="AO521">
        <f t="shared" si="313"/>
        <v>1.5</v>
      </c>
      <c r="AP521">
        <f t="shared" si="314"/>
        <v>3</v>
      </c>
      <c r="AQ521">
        <v>503</v>
      </c>
      <c r="AR521">
        <v>1</v>
      </c>
    </row>
    <row r="522" spans="1:44" x14ac:dyDescent="0.15">
      <c r="A522">
        <f t="shared" si="320"/>
        <v>1304033</v>
      </c>
      <c r="B522" s="21" t="s">
        <v>274</v>
      </c>
      <c r="C522">
        <v>3</v>
      </c>
      <c r="D522">
        <v>3</v>
      </c>
      <c r="E522">
        <v>3</v>
      </c>
      <c r="F522" s="22" t="s">
        <v>743</v>
      </c>
      <c r="G522" s="22" t="s">
        <v>744</v>
      </c>
      <c r="H522">
        <v>0</v>
      </c>
      <c r="I522" s="2">
        <v>0</v>
      </c>
      <c r="J522" s="2">
        <f t="shared" si="297"/>
        <v>3</v>
      </c>
      <c r="K522" s="2">
        <f t="shared" si="298"/>
        <v>1.4000000000000001</v>
      </c>
      <c r="L522" s="2">
        <f t="shared" si="299"/>
        <v>2</v>
      </c>
      <c r="M522" s="2">
        <v>10</v>
      </c>
      <c r="N522" s="2">
        <f t="shared" si="300"/>
        <v>103.04</v>
      </c>
      <c r="O522" s="2">
        <f t="shared" si="301"/>
        <v>10.3</v>
      </c>
      <c r="P522" s="2">
        <f t="shared" si="302"/>
        <v>1001.74</v>
      </c>
      <c r="Q522" s="2">
        <f t="shared" si="303"/>
        <v>100.17</v>
      </c>
      <c r="R522" s="2">
        <f t="shared" si="304"/>
        <v>12.88</v>
      </c>
      <c r="S522" s="2">
        <f t="shared" si="305"/>
        <v>1.29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5">
        <v>233041</v>
      </c>
      <c r="Z522" s="26" t="s">
        <v>710</v>
      </c>
      <c r="AA522" s="4">
        <v>1</v>
      </c>
      <c r="AB522" s="4">
        <v>0</v>
      </c>
      <c r="AC522" s="4"/>
      <c r="AD522" s="4">
        <f t="shared" si="321"/>
        <v>2809.0514631599995</v>
      </c>
      <c r="AF522" s="1" t="str">
        <f t="shared" si="322"/>
        <v>4</v>
      </c>
      <c r="AG522">
        <v>3</v>
      </c>
      <c r="AH522">
        <f t="shared" si="306"/>
        <v>103.03999999999999</v>
      </c>
      <c r="AI522">
        <f t="shared" si="307"/>
        <v>10.304</v>
      </c>
      <c r="AJ522">
        <f t="shared" si="308"/>
        <v>1001.7391304347826</v>
      </c>
      <c r="AK522">
        <f t="shared" si="309"/>
        <v>100.17391304347827</v>
      </c>
      <c r="AL522">
        <f t="shared" si="310"/>
        <v>12.879999999999999</v>
      </c>
      <c r="AM522">
        <f t="shared" si="311"/>
        <v>1.288</v>
      </c>
      <c r="AN522">
        <f t="shared" si="312"/>
        <v>1.4</v>
      </c>
      <c r="AO522">
        <f t="shared" si="313"/>
        <v>2</v>
      </c>
      <c r="AP522">
        <f t="shared" si="314"/>
        <v>3</v>
      </c>
      <c r="AQ522">
        <v>304</v>
      </c>
      <c r="AR522">
        <v>1</v>
      </c>
    </row>
    <row r="523" spans="1:44" x14ac:dyDescent="0.15">
      <c r="A523">
        <f t="shared" si="320"/>
        <v>1203034</v>
      </c>
      <c r="B523" s="6" t="s">
        <v>241</v>
      </c>
      <c r="C523">
        <v>3</v>
      </c>
      <c r="D523">
        <v>2</v>
      </c>
      <c r="E523">
        <v>4</v>
      </c>
      <c r="F523" s="6" t="s">
        <v>242</v>
      </c>
      <c r="G523" s="20" t="s">
        <v>243</v>
      </c>
      <c r="H523">
        <v>0</v>
      </c>
      <c r="I523" s="2">
        <v>0</v>
      </c>
      <c r="J523" s="2">
        <f t="shared" si="297"/>
        <v>3</v>
      </c>
      <c r="K523" s="2">
        <f t="shared" si="298"/>
        <v>1.3</v>
      </c>
      <c r="L523" s="2">
        <f t="shared" si="299"/>
        <v>1.9000000000000001</v>
      </c>
      <c r="M523" s="2">
        <v>10</v>
      </c>
      <c r="N523" s="2">
        <f t="shared" si="300"/>
        <v>74.88</v>
      </c>
      <c r="O523" s="2">
        <f t="shared" si="301"/>
        <v>7.49</v>
      </c>
      <c r="P523" s="2">
        <f t="shared" si="302"/>
        <v>1280</v>
      </c>
      <c r="Q523" s="2">
        <f t="shared" si="303"/>
        <v>128</v>
      </c>
      <c r="R523" s="2">
        <f t="shared" si="304"/>
        <v>14.98</v>
      </c>
      <c r="S523" s="2">
        <f t="shared" si="305"/>
        <v>1.5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5">
        <v>112031</v>
      </c>
      <c r="Z523" s="26" t="s">
        <v>710</v>
      </c>
      <c r="AA523" s="4">
        <v>1</v>
      </c>
      <c r="AB523" s="4">
        <v>0</v>
      </c>
      <c r="AC523" s="4"/>
      <c r="AD523" s="4">
        <f t="shared" si="321"/>
        <v>2810.825058461538</v>
      </c>
      <c r="AF523" s="1" t="str">
        <f t="shared" si="322"/>
        <v>3</v>
      </c>
      <c r="AG523">
        <v>3</v>
      </c>
      <c r="AH523">
        <f t="shared" si="306"/>
        <v>74.88000000000001</v>
      </c>
      <c r="AI523">
        <f t="shared" si="307"/>
        <v>7.4880000000000013</v>
      </c>
      <c r="AJ523">
        <f t="shared" si="308"/>
        <v>1280</v>
      </c>
      <c r="AK523">
        <f t="shared" si="309"/>
        <v>128</v>
      </c>
      <c r="AL523">
        <f t="shared" si="310"/>
        <v>14.976000000000003</v>
      </c>
      <c r="AM523">
        <f t="shared" si="311"/>
        <v>1.4976000000000003</v>
      </c>
      <c r="AN523">
        <f t="shared" si="312"/>
        <v>1.3</v>
      </c>
      <c r="AO523">
        <f t="shared" si="313"/>
        <v>1.9</v>
      </c>
      <c r="AP523">
        <f t="shared" si="314"/>
        <v>3</v>
      </c>
      <c r="AQ523">
        <v>203</v>
      </c>
      <c r="AR523">
        <v>1</v>
      </c>
    </row>
    <row r="524" spans="1:44" x14ac:dyDescent="0.15">
      <c r="A524">
        <f t="shared" si="320"/>
        <v>1403034</v>
      </c>
      <c r="B524" s="6" t="s">
        <v>244</v>
      </c>
      <c r="C524">
        <v>3</v>
      </c>
      <c r="D524">
        <v>4</v>
      </c>
      <c r="E524">
        <v>4</v>
      </c>
      <c r="F524" s="6" t="s">
        <v>245</v>
      </c>
      <c r="G524" s="20" t="s">
        <v>246</v>
      </c>
      <c r="H524" s="2">
        <v>0</v>
      </c>
      <c r="I524" s="2" t="s">
        <v>106</v>
      </c>
      <c r="J524" s="2">
        <f t="shared" si="297"/>
        <v>6</v>
      </c>
      <c r="K524" s="2">
        <f t="shared" si="298"/>
        <v>1.3</v>
      </c>
      <c r="L524" s="2">
        <f t="shared" si="299"/>
        <v>1.9000000000000001</v>
      </c>
      <c r="M524" s="2">
        <v>10</v>
      </c>
      <c r="N524" s="2">
        <f t="shared" si="300"/>
        <v>99.84</v>
      </c>
      <c r="O524" s="2">
        <f t="shared" si="301"/>
        <v>9.98</v>
      </c>
      <c r="P524" s="2">
        <f t="shared" si="302"/>
        <v>960</v>
      </c>
      <c r="Q524" s="2">
        <f t="shared" si="303"/>
        <v>96</v>
      </c>
      <c r="R524" s="2">
        <f t="shared" si="304"/>
        <v>9.98</v>
      </c>
      <c r="S524" s="2">
        <f t="shared" si="305"/>
        <v>1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25">
        <v>114031</v>
      </c>
      <c r="Z524" s="26" t="s">
        <v>710</v>
      </c>
      <c r="AA524" s="4">
        <v>1</v>
      </c>
      <c r="AB524" s="4">
        <v>0</v>
      </c>
      <c r="AC524" s="4"/>
      <c r="AD524" s="4">
        <f t="shared" si="321"/>
        <v>2809.1192123076917</v>
      </c>
      <c r="AF524" s="1" t="str">
        <f t="shared" si="322"/>
        <v>3</v>
      </c>
      <c r="AG524">
        <v>3</v>
      </c>
      <c r="AH524">
        <f t="shared" si="306"/>
        <v>99.84</v>
      </c>
      <c r="AI524">
        <f t="shared" si="307"/>
        <v>9.9840000000000018</v>
      </c>
      <c r="AJ524">
        <f t="shared" si="308"/>
        <v>960</v>
      </c>
      <c r="AK524">
        <f t="shared" si="309"/>
        <v>96</v>
      </c>
      <c r="AL524">
        <f t="shared" si="310"/>
        <v>9.984</v>
      </c>
      <c r="AM524">
        <f t="shared" si="311"/>
        <v>0.99840000000000007</v>
      </c>
      <c r="AN524">
        <f t="shared" si="312"/>
        <v>1.3</v>
      </c>
      <c r="AO524">
        <f t="shared" si="313"/>
        <v>1.9</v>
      </c>
      <c r="AP524">
        <f t="shared" si="314"/>
        <v>6</v>
      </c>
      <c r="AQ524">
        <v>403</v>
      </c>
      <c r="AR524">
        <v>1</v>
      </c>
    </row>
    <row r="525" spans="1:44" x14ac:dyDescent="0.15">
      <c r="A525">
        <f t="shared" si="320"/>
        <v>1205034</v>
      </c>
      <c r="B525" s="6" t="s">
        <v>247</v>
      </c>
      <c r="C525">
        <v>3</v>
      </c>
      <c r="D525">
        <v>2</v>
      </c>
      <c r="E525">
        <v>4</v>
      </c>
      <c r="F525" s="22" t="s">
        <v>734</v>
      </c>
      <c r="G525" s="29" t="s">
        <v>735</v>
      </c>
      <c r="H525">
        <v>0</v>
      </c>
      <c r="I525" s="2">
        <v>0</v>
      </c>
      <c r="J525" s="2">
        <f t="shared" si="297"/>
        <v>3</v>
      </c>
      <c r="K525" s="2">
        <f t="shared" si="298"/>
        <v>1.8</v>
      </c>
      <c r="L525" s="2">
        <f t="shared" si="299"/>
        <v>2</v>
      </c>
      <c r="M525" s="2">
        <v>10</v>
      </c>
      <c r="N525" s="2">
        <f t="shared" si="300"/>
        <v>103.68</v>
      </c>
      <c r="O525" s="2">
        <f t="shared" si="301"/>
        <v>10.37</v>
      </c>
      <c r="P525" s="2">
        <f t="shared" si="302"/>
        <v>1280</v>
      </c>
      <c r="Q525" s="2">
        <f t="shared" si="303"/>
        <v>128</v>
      </c>
      <c r="R525" s="2">
        <f t="shared" si="304"/>
        <v>20.74</v>
      </c>
      <c r="S525" s="2">
        <f t="shared" si="305"/>
        <v>2.0699999999999998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25">
        <v>122051</v>
      </c>
      <c r="Z525" s="26" t="s">
        <v>710</v>
      </c>
      <c r="AA525" s="4">
        <v>1</v>
      </c>
      <c r="AB525" s="4">
        <v>0</v>
      </c>
      <c r="AC525" s="4"/>
      <c r="AD525" s="4">
        <f t="shared" si="321"/>
        <v>2810.6355199999994</v>
      </c>
      <c r="AF525" s="1" t="str">
        <f t="shared" si="322"/>
        <v>5</v>
      </c>
      <c r="AG525">
        <v>3</v>
      </c>
      <c r="AH525">
        <f t="shared" si="306"/>
        <v>103.68</v>
      </c>
      <c r="AI525">
        <f t="shared" si="307"/>
        <v>10.368000000000002</v>
      </c>
      <c r="AJ525">
        <f t="shared" si="308"/>
        <v>1280</v>
      </c>
      <c r="AK525">
        <f t="shared" si="309"/>
        <v>128</v>
      </c>
      <c r="AL525">
        <f t="shared" si="310"/>
        <v>20.736000000000001</v>
      </c>
      <c r="AM525">
        <f t="shared" si="311"/>
        <v>2.0736000000000003</v>
      </c>
      <c r="AN525">
        <f t="shared" si="312"/>
        <v>1.8</v>
      </c>
      <c r="AO525">
        <f t="shared" si="313"/>
        <v>2</v>
      </c>
      <c r="AP525">
        <f t="shared" si="314"/>
        <v>3</v>
      </c>
      <c r="AQ525">
        <v>205</v>
      </c>
      <c r="AR525">
        <v>1</v>
      </c>
    </row>
    <row r="526" spans="1:44" x14ac:dyDescent="0.15">
      <c r="A526">
        <f t="shared" si="320"/>
        <v>1405034</v>
      </c>
      <c r="B526" s="6" t="s">
        <v>250</v>
      </c>
      <c r="C526">
        <v>3</v>
      </c>
      <c r="D526">
        <v>4</v>
      </c>
      <c r="E526">
        <v>4</v>
      </c>
      <c r="F526" s="22" t="s">
        <v>736</v>
      </c>
      <c r="G526" s="22" t="s">
        <v>737</v>
      </c>
      <c r="H526">
        <v>0</v>
      </c>
      <c r="I526" s="2" t="s">
        <v>106</v>
      </c>
      <c r="J526" s="2">
        <f t="shared" ref="J526:J589" si="327">AP526</f>
        <v>6</v>
      </c>
      <c r="K526" s="2">
        <f t="shared" ref="K526:K589" si="328">FLOOR(AN526/1,0.01)</f>
        <v>1.5</v>
      </c>
      <c r="L526" s="2">
        <f t="shared" ref="L526:L589" si="329">FLOOR(AO526/1,0.01)</f>
        <v>1.5</v>
      </c>
      <c r="M526" s="2">
        <v>10</v>
      </c>
      <c r="N526" s="2">
        <f t="shared" ref="N526:N589" si="330">ROUND(AH526,2)</f>
        <v>120</v>
      </c>
      <c r="O526" s="2">
        <f t="shared" ref="O526:O589" si="331">ROUND(AI526,2)</f>
        <v>12</v>
      </c>
      <c r="P526" s="2">
        <f t="shared" ref="P526:P589" si="332">ROUND(AJ526,2)</f>
        <v>921.6</v>
      </c>
      <c r="Q526" s="2">
        <f t="shared" ref="Q526:Q589" si="333">ROUND(AK526,2)</f>
        <v>92.16</v>
      </c>
      <c r="R526" s="2">
        <f t="shared" ref="R526:R589" si="334">ROUND(AL526,2)</f>
        <v>12</v>
      </c>
      <c r="S526" s="2">
        <f t="shared" ref="S526:S589" si="335">ROUND(AM526,2)</f>
        <v>1.2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25">
        <v>124051</v>
      </c>
      <c r="Z526" s="26" t="s">
        <v>710</v>
      </c>
      <c r="AA526" s="4">
        <v>1</v>
      </c>
      <c r="AB526" s="4">
        <v>0</v>
      </c>
      <c r="AC526" s="4"/>
      <c r="AD526" s="4">
        <f t="shared" si="321"/>
        <v>2810.1427199999998</v>
      </c>
      <c r="AF526" s="1" t="str">
        <f t="shared" si="322"/>
        <v>5</v>
      </c>
      <c r="AG526">
        <v>3</v>
      </c>
      <c r="AH526">
        <f t="shared" ref="AH526:AH589" si="336">INDEX($AV$5:$AV$50,MATCH($AQ526,$AT$5:$AT$50))*$AN526/1.5*$AZ$4*INDEX($AV$87:$BI$87,MATCH($AG526,$AV$86:$BI$86))</f>
        <v>120</v>
      </c>
      <c r="AI526">
        <f t="shared" ref="AI526:AI589" si="337">(INDEX($AV$5:$AV$50,MATCH($AQ526,$AT$5:$AT$50))*$AN526/1.5*$AZ$4*INDEX($AV$87:$BI$87,MATCH($AG526,$AV$86:$BI$86)))*0.1</f>
        <v>12</v>
      </c>
      <c r="AJ526">
        <f t="shared" ref="AJ526:AJ589" si="338">INDEX($AW$5:$AW$50,MATCH($AQ526,$AT$5:$AT$50))*$BA$4*INDEX($AV$87:$BI$87,MATCH($AG526,$AV$86:$BI$86))</f>
        <v>921.59999999999991</v>
      </c>
      <c r="AK526">
        <f t="shared" ref="AK526:AK589" si="339">(INDEX($AW$5:$AW$50,MATCH($AQ526,$AT$5:$AT$50))*$BA$4*INDEX($AV$87:$BI$87,MATCH($AG526,$AV$86:$BI$86)))*0.1</f>
        <v>92.16</v>
      </c>
      <c r="AL526">
        <f t="shared" ref="AL526:AL589" si="340">$AH526/INDEX($AX$5:$AX$50,MATCH($AQ526,$AT$5:$AT$50))</f>
        <v>12</v>
      </c>
      <c r="AM526">
        <f t="shared" ref="AM526:AM589" si="341">AL526*0.1</f>
        <v>1.2000000000000002</v>
      </c>
      <c r="AN526">
        <f t="shared" ref="AN526:AN589" si="342">INDEX($AY$5:$AY$50,MATCH($AQ526,$AT$5:$AT$50,0))</f>
        <v>1.5</v>
      </c>
      <c r="AO526">
        <f t="shared" ref="AO526:AO589" si="343">ROUND(IF(INDEX($BG$5:$BG$50,MATCH($AQ526,$AT$5:$AT$50,0))&lt;2,INDEX($BG$5:$BG$49,MATCH($AQ526,$AT$5:$AT$49,0))+0.2,2),1)</f>
        <v>1.5</v>
      </c>
      <c r="AP526">
        <f t="shared" ref="AP526:AP589" si="344">INDEX($BC$5:$BC$50,MATCH($AQ526,$AT$5:$AT$50,0))</f>
        <v>6</v>
      </c>
      <c r="AQ526">
        <v>405</v>
      </c>
      <c r="AR526">
        <v>1</v>
      </c>
    </row>
    <row r="527" spans="1:44" x14ac:dyDescent="0.15">
      <c r="A527">
        <f t="shared" si="320"/>
        <v>1303034</v>
      </c>
      <c r="B527" s="6" t="s">
        <v>253</v>
      </c>
      <c r="C527">
        <v>3</v>
      </c>
      <c r="D527">
        <v>3</v>
      </c>
      <c r="E527">
        <v>4</v>
      </c>
      <c r="F527" s="22" t="s">
        <v>730</v>
      </c>
      <c r="G527" s="22" t="s">
        <v>731</v>
      </c>
      <c r="H527" s="2">
        <v>0</v>
      </c>
      <c r="I527" s="2">
        <v>0</v>
      </c>
      <c r="J527" s="2">
        <f t="shared" si="327"/>
        <v>3</v>
      </c>
      <c r="K527" s="2">
        <f t="shared" si="328"/>
        <v>1.3</v>
      </c>
      <c r="L527" s="2">
        <f t="shared" si="329"/>
        <v>1.4000000000000001</v>
      </c>
      <c r="M527" s="2">
        <v>10</v>
      </c>
      <c r="N527" s="2">
        <f t="shared" si="330"/>
        <v>91.52</v>
      </c>
      <c r="O527" s="2">
        <f t="shared" si="331"/>
        <v>9.15</v>
      </c>
      <c r="P527" s="2">
        <f t="shared" si="332"/>
        <v>1047.27</v>
      </c>
      <c r="Q527" s="2">
        <f t="shared" si="333"/>
        <v>104.73</v>
      </c>
      <c r="R527" s="2">
        <f t="shared" si="334"/>
        <v>11.44</v>
      </c>
      <c r="S527" s="2">
        <f t="shared" si="335"/>
        <v>1.1399999999999999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5">
        <v>133031</v>
      </c>
      <c r="Z527" s="26" t="s">
        <v>710</v>
      </c>
      <c r="AA527" s="4">
        <v>1</v>
      </c>
      <c r="AB527" s="4">
        <v>0</v>
      </c>
      <c r="AC527" s="4"/>
      <c r="AD527" s="4">
        <f t="shared" si="321"/>
        <v>2809.6502927123074</v>
      </c>
      <c r="AF527" s="1" t="str">
        <f t="shared" si="322"/>
        <v>3</v>
      </c>
      <c r="AG527">
        <v>3</v>
      </c>
      <c r="AH527">
        <f t="shared" si="336"/>
        <v>91.52000000000001</v>
      </c>
      <c r="AI527">
        <f t="shared" si="337"/>
        <v>9.152000000000001</v>
      </c>
      <c r="AJ527">
        <f t="shared" si="338"/>
        <v>1047.2727272727273</v>
      </c>
      <c r="AK527">
        <f t="shared" si="339"/>
        <v>104.72727272727273</v>
      </c>
      <c r="AL527">
        <f t="shared" si="340"/>
        <v>11.440000000000001</v>
      </c>
      <c r="AM527">
        <f t="shared" si="341"/>
        <v>1.1440000000000001</v>
      </c>
      <c r="AN527">
        <f t="shared" si="342"/>
        <v>1.3</v>
      </c>
      <c r="AO527">
        <f t="shared" si="343"/>
        <v>1.4</v>
      </c>
      <c r="AP527">
        <f t="shared" si="344"/>
        <v>3</v>
      </c>
      <c r="AQ527">
        <v>303</v>
      </c>
      <c r="AR527">
        <v>1</v>
      </c>
    </row>
    <row r="528" spans="1:44" x14ac:dyDescent="0.15">
      <c r="A528">
        <f t="shared" si="320"/>
        <v>1504034</v>
      </c>
      <c r="B528" s="6" t="s">
        <v>256</v>
      </c>
      <c r="C528">
        <v>3</v>
      </c>
      <c r="D528">
        <v>5</v>
      </c>
      <c r="E528">
        <v>4</v>
      </c>
      <c r="F528" s="22" t="s">
        <v>732</v>
      </c>
      <c r="G528" s="22" t="s">
        <v>733</v>
      </c>
      <c r="H528">
        <v>0</v>
      </c>
      <c r="I528" s="2">
        <v>0</v>
      </c>
      <c r="J528" s="2">
        <f t="shared" si="327"/>
        <v>3</v>
      </c>
      <c r="K528" s="2">
        <f t="shared" si="328"/>
        <v>1.8</v>
      </c>
      <c r="L528" s="2">
        <f t="shared" si="329"/>
        <v>1.5</v>
      </c>
      <c r="M528" s="2">
        <v>10</v>
      </c>
      <c r="N528" s="2">
        <f t="shared" si="330"/>
        <v>126.72</v>
      </c>
      <c r="O528" s="2">
        <f t="shared" si="331"/>
        <v>12.67</v>
      </c>
      <c r="P528" s="2">
        <f t="shared" si="332"/>
        <v>1047.27</v>
      </c>
      <c r="Q528" s="2">
        <f t="shared" si="333"/>
        <v>104.73</v>
      </c>
      <c r="R528" s="2">
        <f t="shared" si="334"/>
        <v>21.12</v>
      </c>
      <c r="S528" s="2">
        <f t="shared" si="335"/>
        <v>2.11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25">
        <v>135041</v>
      </c>
      <c r="Z528" s="26" t="s">
        <v>710</v>
      </c>
      <c r="AA528" s="4">
        <v>1</v>
      </c>
      <c r="AB528" s="4">
        <v>0.5</v>
      </c>
      <c r="AC528" s="4"/>
      <c r="AD528" s="4">
        <f t="shared" si="321"/>
        <v>2809.80537327</v>
      </c>
      <c r="AF528" s="1" t="str">
        <f t="shared" si="322"/>
        <v>4</v>
      </c>
      <c r="AG528">
        <v>3</v>
      </c>
      <c r="AH528">
        <f t="shared" si="336"/>
        <v>126.72</v>
      </c>
      <c r="AI528">
        <f t="shared" si="337"/>
        <v>12.672000000000001</v>
      </c>
      <c r="AJ528">
        <f t="shared" si="338"/>
        <v>1047.2727272727273</v>
      </c>
      <c r="AK528">
        <f t="shared" si="339"/>
        <v>104.72727272727273</v>
      </c>
      <c r="AL528">
        <f t="shared" si="340"/>
        <v>21.12</v>
      </c>
      <c r="AM528">
        <f t="shared" si="341"/>
        <v>2.1120000000000001</v>
      </c>
      <c r="AN528">
        <f t="shared" si="342"/>
        <v>1.8</v>
      </c>
      <c r="AO528">
        <f t="shared" si="343"/>
        <v>1.5</v>
      </c>
      <c r="AP528">
        <f t="shared" si="344"/>
        <v>3</v>
      </c>
      <c r="AQ528">
        <v>504</v>
      </c>
      <c r="AR528">
        <v>1</v>
      </c>
    </row>
    <row r="529" spans="1:44" x14ac:dyDescent="0.15">
      <c r="A529">
        <f t="shared" si="320"/>
        <v>1206034</v>
      </c>
      <c r="B529" s="21" t="s">
        <v>259</v>
      </c>
      <c r="C529">
        <v>3</v>
      </c>
      <c r="D529">
        <v>2</v>
      </c>
      <c r="E529">
        <v>4</v>
      </c>
      <c r="F529" s="6" t="s">
        <v>260</v>
      </c>
      <c r="G529" s="6" t="s">
        <v>261</v>
      </c>
      <c r="H529" s="2">
        <v>0</v>
      </c>
      <c r="I529" s="2">
        <v>0</v>
      </c>
      <c r="J529" s="2">
        <f t="shared" si="327"/>
        <v>3</v>
      </c>
      <c r="K529" s="2">
        <f t="shared" si="328"/>
        <v>1.6</v>
      </c>
      <c r="L529" s="2">
        <f t="shared" si="329"/>
        <v>2</v>
      </c>
      <c r="M529" s="2">
        <v>10</v>
      </c>
      <c r="N529" s="2">
        <f t="shared" si="330"/>
        <v>92.16</v>
      </c>
      <c r="O529" s="2">
        <f t="shared" si="331"/>
        <v>9.2200000000000006</v>
      </c>
      <c r="P529" s="2">
        <f t="shared" si="332"/>
        <v>1280</v>
      </c>
      <c r="Q529" s="2">
        <f t="shared" si="333"/>
        <v>128</v>
      </c>
      <c r="R529" s="2">
        <f t="shared" si="334"/>
        <v>18.43</v>
      </c>
      <c r="S529" s="2">
        <f t="shared" si="335"/>
        <v>1.84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5">
        <v>212061</v>
      </c>
      <c r="Z529" s="26" t="s">
        <v>710</v>
      </c>
      <c r="AA529" s="4">
        <v>1</v>
      </c>
      <c r="AB529" s="4">
        <v>0</v>
      </c>
      <c r="AC529" s="4"/>
      <c r="AD529" s="4">
        <f t="shared" si="321"/>
        <v>2811.2515199999993</v>
      </c>
      <c r="AF529" s="1" t="str">
        <f t="shared" si="322"/>
        <v>6</v>
      </c>
      <c r="AG529">
        <v>3</v>
      </c>
      <c r="AH529">
        <f t="shared" si="336"/>
        <v>92.160000000000011</v>
      </c>
      <c r="AI529">
        <f t="shared" si="337"/>
        <v>9.2160000000000011</v>
      </c>
      <c r="AJ529">
        <f t="shared" si="338"/>
        <v>1280</v>
      </c>
      <c r="AK529">
        <f t="shared" si="339"/>
        <v>128</v>
      </c>
      <c r="AL529">
        <f t="shared" si="340"/>
        <v>18.432000000000002</v>
      </c>
      <c r="AM529">
        <f t="shared" si="341"/>
        <v>1.8432000000000004</v>
      </c>
      <c r="AN529">
        <f t="shared" si="342"/>
        <v>1.6</v>
      </c>
      <c r="AO529">
        <f t="shared" si="343"/>
        <v>2</v>
      </c>
      <c r="AP529">
        <f t="shared" si="344"/>
        <v>3</v>
      </c>
      <c r="AQ529">
        <v>206</v>
      </c>
      <c r="AR529">
        <v>1</v>
      </c>
    </row>
    <row r="530" spans="1:44" x14ac:dyDescent="0.15">
      <c r="A530">
        <f t="shared" si="320"/>
        <v>1406034</v>
      </c>
      <c r="B530" s="21" t="s">
        <v>262</v>
      </c>
      <c r="C530">
        <v>3</v>
      </c>
      <c r="D530">
        <v>4</v>
      </c>
      <c r="E530">
        <v>4</v>
      </c>
      <c r="F530" s="6" t="s">
        <v>263</v>
      </c>
      <c r="G530" s="6" t="s">
        <v>264</v>
      </c>
      <c r="H530" s="2">
        <v>0</v>
      </c>
      <c r="I530" s="2" t="s">
        <v>106</v>
      </c>
      <c r="J530" s="2">
        <f t="shared" si="327"/>
        <v>6</v>
      </c>
      <c r="K530" s="2">
        <f t="shared" si="328"/>
        <v>1.4000000000000001</v>
      </c>
      <c r="L530" s="2">
        <f t="shared" si="329"/>
        <v>1.2</v>
      </c>
      <c r="M530" s="2">
        <v>10</v>
      </c>
      <c r="N530" s="2">
        <f t="shared" si="330"/>
        <v>116.48</v>
      </c>
      <c r="O530" s="2">
        <f t="shared" si="331"/>
        <v>11.65</v>
      </c>
      <c r="P530" s="2">
        <f t="shared" si="332"/>
        <v>886.15</v>
      </c>
      <c r="Q530" s="2">
        <f t="shared" si="333"/>
        <v>88.62</v>
      </c>
      <c r="R530" s="2">
        <f t="shared" si="334"/>
        <v>11.65</v>
      </c>
      <c r="S530" s="2">
        <f t="shared" si="335"/>
        <v>1.1599999999999999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25">
        <v>214061</v>
      </c>
      <c r="Z530" s="26" t="s">
        <v>710</v>
      </c>
      <c r="AA530" s="4">
        <v>1</v>
      </c>
      <c r="AB530" s="4">
        <v>0</v>
      </c>
      <c r="AC530" s="4"/>
      <c r="AD530" s="4">
        <f t="shared" si="321"/>
        <v>2810.7133339499992</v>
      </c>
      <c r="AF530" s="1" t="str">
        <f t="shared" si="322"/>
        <v>6</v>
      </c>
      <c r="AG530">
        <v>3</v>
      </c>
      <c r="AH530">
        <f t="shared" si="336"/>
        <v>116.47999999999998</v>
      </c>
      <c r="AI530">
        <f t="shared" si="337"/>
        <v>11.647999999999998</v>
      </c>
      <c r="AJ530">
        <f t="shared" si="338"/>
        <v>886.15384615384596</v>
      </c>
      <c r="AK530">
        <f t="shared" si="339"/>
        <v>88.615384615384599</v>
      </c>
      <c r="AL530">
        <f t="shared" si="340"/>
        <v>11.647999999999998</v>
      </c>
      <c r="AM530">
        <f t="shared" si="341"/>
        <v>1.1647999999999998</v>
      </c>
      <c r="AN530">
        <f t="shared" si="342"/>
        <v>1.4</v>
      </c>
      <c r="AO530">
        <f t="shared" si="343"/>
        <v>1.2</v>
      </c>
      <c r="AP530">
        <f t="shared" si="344"/>
        <v>6</v>
      </c>
      <c r="AQ530">
        <v>406</v>
      </c>
      <c r="AR530">
        <v>1</v>
      </c>
    </row>
    <row r="531" spans="1:44" x14ac:dyDescent="0.15">
      <c r="A531">
        <f t="shared" si="320"/>
        <v>1204034</v>
      </c>
      <c r="B531" s="21" t="s">
        <v>265</v>
      </c>
      <c r="C531">
        <v>3</v>
      </c>
      <c r="D531">
        <v>2</v>
      </c>
      <c r="E531">
        <v>4</v>
      </c>
      <c r="F531" s="22" t="s">
        <v>738</v>
      </c>
      <c r="G531" s="22" t="s">
        <v>739</v>
      </c>
      <c r="H531" s="2">
        <v>0</v>
      </c>
      <c r="I531" s="2">
        <v>0</v>
      </c>
      <c r="J531" s="2">
        <f t="shared" si="327"/>
        <v>3</v>
      </c>
      <c r="K531" s="2">
        <f t="shared" si="328"/>
        <v>1.4000000000000001</v>
      </c>
      <c r="L531" s="2">
        <f t="shared" si="329"/>
        <v>1.2</v>
      </c>
      <c r="M531" s="2">
        <v>10</v>
      </c>
      <c r="N531" s="2">
        <f t="shared" si="330"/>
        <v>80.64</v>
      </c>
      <c r="O531" s="2">
        <f t="shared" si="331"/>
        <v>8.06</v>
      </c>
      <c r="P531" s="2">
        <f t="shared" si="332"/>
        <v>1280</v>
      </c>
      <c r="Q531" s="2">
        <f t="shared" si="333"/>
        <v>128</v>
      </c>
      <c r="R531" s="2">
        <f t="shared" si="334"/>
        <v>16.13</v>
      </c>
      <c r="S531" s="2">
        <f t="shared" si="335"/>
        <v>1.61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25">
        <v>222041</v>
      </c>
      <c r="Z531" s="26" t="s">
        <v>710</v>
      </c>
      <c r="AA531" s="4">
        <v>1</v>
      </c>
      <c r="AB531" s="4">
        <v>0</v>
      </c>
      <c r="AC531" s="4"/>
      <c r="AD531" s="4">
        <f t="shared" si="321"/>
        <v>2808.8755199999996</v>
      </c>
      <c r="AF531" s="1" t="str">
        <f t="shared" si="322"/>
        <v>4</v>
      </c>
      <c r="AG531">
        <v>3</v>
      </c>
      <c r="AH531">
        <f t="shared" si="336"/>
        <v>80.64</v>
      </c>
      <c r="AI531">
        <f t="shared" si="337"/>
        <v>8.0640000000000001</v>
      </c>
      <c r="AJ531">
        <f t="shared" si="338"/>
        <v>1280</v>
      </c>
      <c r="AK531">
        <f t="shared" si="339"/>
        <v>128</v>
      </c>
      <c r="AL531">
        <f t="shared" si="340"/>
        <v>16.128</v>
      </c>
      <c r="AM531">
        <f t="shared" si="341"/>
        <v>1.6128</v>
      </c>
      <c r="AN531">
        <f t="shared" si="342"/>
        <v>1.4</v>
      </c>
      <c r="AO531">
        <f t="shared" si="343"/>
        <v>1.2</v>
      </c>
      <c r="AP531">
        <f t="shared" si="344"/>
        <v>3</v>
      </c>
      <c r="AQ531">
        <v>204</v>
      </c>
      <c r="AR531">
        <v>1</v>
      </c>
    </row>
    <row r="532" spans="1:44" x14ac:dyDescent="0.15">
      <c r="A532">
        <f t="shared" si="320"/>
        <v>1404034</v>
      </c>
      <c r="B532" s="21" t="s">
        <v>268</v>
      </c>
      <c r="C532">
        <v>3</v>
      </c>
      <c r="D532">
        <v>4</v>
      </c>
      <c r="E532">
        <v>4</v>
      </c>
      <c r="F532" s="22" t="s">
        <v>740</v>
      </c>
      <c r="G532" s="22" t="s">
        <v>741</v>
      </c>
      <c r="H532" s="2">
        <v>0</v>
      </c>
      <c r="I532" s="2" t="s">
        <v>106</v>
      </c>
      <c r="J532" s="2">
        <f t="shared" si="327"/>
        <v>6</v>
      </c>
      <c r="K532" s="2">
        <f t="shared" si="328"/>
        <v>1.6</v>
      </c>
      <c r="L532" s="2">
        <f t="shared" si="329"/>
        <v>1.9000000000000001</v>
      </c>
      <c r="M532" s="2">
        <v>10</v>
      </c>
      <c r="N532" s="2">
        <f t="shared" si="330"/>
        <v>133.12</v>
      </c>
      <c r="O532" s="2">
        <f t="shared" si="331"/>
        <v>13.31</v>
      </c>
      <c r="P532" s="2">
        <f t="shared" si="332"/>
        <v>886.15</v>
      </c>
      <c r="Q532" s="2">
        <f t="shared" si="333"/>
        <v>88.62</v>
      </c>
      <c r="R532" s="2">
        <f t="shared" si="334"/>
        <v>13.31</v>
      </c>
      <c r="S532" s="2">
        <f t="shared" si="335"/>
        <v>1.33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25">
        <v>224041</v>
      </c>
      <c r="Z532" s="26" t="s">
        <v>710</v>
      </c>
      <c r="AA532" s="4">
        <v>1</v>
      </c>
      <c r="AB532" s="4">
        <v>0</v>
      </c>
      <c r="AC532" s="4"/>
      <c r="AD532" s="4">
        <f t="shared" si="321"/>
        <v>2809.8908337937496</v>
      </c>
      <c r="AF532" s="1" t="str">
        <f t="shared" si="322"/>
        <v>4</v>
      </c>
      <c r="AG532">
        <v>3</v>
      </c>
      <c r="AH532">
        <f t="shared" si="336"/>
        <v>133.12</v>
      </c>
      <c r="AI532">
        <f t="shared" si="337"/>
        <v>13.312000000000001</v>
      </c>
      <c r="AJ532">
        <f t="shared" si="338"/>
        <v>886.15384615384596</v>
      </c>
      <c r="AK532">
        <f t="shared" si="339"/>
        <v>88.615384615384599</v>
      </c>
      <c r="AL532">
        <f t="shared" si="340"/>
        <v>13.312000000000001</v>
      </c>
      <c r="AM532">
        <f t="shared" si="341"/>
        <v>1.3312000000000002</v>
      </c>
      <c r="AN532">
        <f t="shared" si="342"/>
        <v>1.6</v>
      </c>
      <c r="AO532">
        <f t="shared" si="343"/>
        <v>1.9</v>
      </c>
      <c r="AP532">
        <f t="shared" si="344"/>
        <v>6</v>
      </c>
      <c r="AQ532">
        <v>404</v>
      </c>
      <c r="AR532">
        <v>1</v>
      </c>
    </row>
    <row r="533" spans="1:44" x14ac:dyDescent="0.15">
      <c r="A533">
        <f t="shared" si="320"/>
        <v>1503034</v>
      </c>
      <c r="B533" s="21" t="s">
        <v>271</v>
      </c>
      <c r="C533">
        <v>3</v>
      </c>
      <c r="D533">
        <v>5</v>
      </c>
      <c r="E533">
        <v>4</v>
      </c>
      <c r="F533" s="22" t="s">
        <v>742</v>
      </c>
      <c r="G533" s="22" t="s">
        <v>745</v>
      </c>
      <c r="H533" s="2">
        <v>0</v>
      </c>
      <c r="I533" s="2">
        <v>0</v>
      </c>
      <c r="J533" s="2">
        <f t="shared" si="327"/>
        <v>3</v>
      </c>
      <c r="K533" s="2">
        <f t="shared" si="328"/>
        <v>1.6</v>
      </c>
      <c r="L533" s="2">
        <f t="shared" si="329"/>
        <v>1.5</v>
      </c>
      <c r="M533" s="2">
        <v>10</v>
      </c>
      <c r="N533" s="2">
        <f t="shared" si="330"/>
        <v>122.88</v>
      </c>
      <c r="O533" s="2">
        <f t="shared" si="331"/>
        <v>12.29</v>
      </c>
      <c r="P533" s="2">
        <f t="shared" si="332"/>
        <v>960</v>
      </c>
      <c r="Q533" s="2">
        <f t="shared" si="333"/>
        <v>96</v>
      </c>
      <c r="R533" s="2">
        <f t="shared" si="334"/>
        <v>20.48</v>
      </c>
      <c r="S533" s="2">
        <f t="shared" si="335"/>
        <v>2.0499999999999998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25">
        <v>235031</v>
      </c>
      <c r="Z533" s="26" t="s">
        <v>710</v>
      </c>
      <c r="AA533" s="4">
        <v>1</v>
      </c>
      <c r="AB533" s="4">
        <v>0</v>
      </c>
      <c r="AC533" s="4"/>
      <c r="AD533" s="4">
        <f t="shared" si="321"/>
        <v>2810.5585199999996</v>
      </c>
      <c r="AF533" s="1" t="str">
        <f t="shared" si="322"/>
        <v>3</v>
      </c>
      <c r="AG533">
        <v>3</v>
      </c>
      <c r="AH533">
        <f t="shared" si="336"/>
        <v>122.88</v>
      </c>
      <c r="AI533">
        <f t="shared" si="337"/>
        <v>12.288</v>
      </c>
      <c r="AJ533">
        <f t="shared" si="338"/>
        <v>960</v>
      </c>
      <c r="AK533">
        <f t="shared" si="339"/>
        <v>96</v>
      </c>
      <c r="AL533">
        <f t="shared" si="340"/>
        <v>20.48</v>
      </c>
      <c r="AM533">
        <f t="shared" si="341"/>
        <v>2.048</v>
      </c>
      <c r="AN533">
        <f t="shared" si="342"/>
        <v>1.6</v>
      </c>
      <c r="AO533">
        <f t="shared" si="343"/>
        <v>1.5</v>
      </c>
      <c r="AP533">
        <f t="shared" si="344"/>
        <v>3</v>
      </c>
      <c r="AQ533">
        <v>503</v>
      </c>
      <c r="AR533">
        <v>1</v>
      </c>
    </row>
    <row r="534" spans="1:44" x14ac:dyDescent="0.15">
      <c r="A534">
        <f t="shared" si="320"/>
        <v>1304034</v>
      </c>
      <c r="B534" s="21" t="s">
        <v>274</v>
      </c>
      <c r="C534">
        <v>3</v>
      </c>
      <c r="D534">
        <v>3</v>
      </c>
      <c r="E534">
        <v>4</v>
      </c>
      <c r="F534" s="22" t="s">
        <v>743</v>
      </c>
      <c r="G534" s="22" t="s">
        <v>744</v>
      </c>
      <c r="H534">
        <v>0</v>
      </c>
      <c r="I534" s="2">
        <v>0</v>
      </c>
      <c r="J534" s="2">
        <f t="shared" si="327"/>
        <v>3</v>
      </c>
      <c r="K534" s="2">
        <f t="shared" si="328"/>
        <v>1.4000000000000001</v>
      </c>
      <c r="L534" s="2">
        <f t="shared" si="329"/>
        <v>2</v>
      </c>
      <c r="M534" s="2">
        <v>10</v>
      </c>
      <c r="N534" s="2">
        <f t="shared" si="330"/>
        <v>103.04</v>
      </c>
      <c r="O534" s="2">
        <f t="shared" si="331"/>
        <v>10.3</v>
      </c>
      <c r="P534" s="2">
        <f t="shared" si="332"/>
        <v>1001.74</v>
      </c>
      <c r="Q534" s="2">
        <f t="shared" si="333"/>
        <v>100.17</v>
      </c>
      <c r="R534" s="2">
        <f t="shared" si="334"/>
        <v>12.88</v>
      </c>
      <c r="S534" s="2">
        <f t="shared" si="335"/>
        <v>1.29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25">
        <v>233041</v>
      </c>
      <c r="Z534" s="26" t="s">
        <v>710</v>
      </c>
      <c r="AA534" s="4">
        <v>1</v>
      </c>
      <c r="AB534" s="4">
        <v>0</v>
      </c>
      <c r="AC534" s="4"/>
      <c r="AD534" s="4">
        <f t="shared" si="321"/>
        <v>2809.0514631599995</v>
      </c>
      <c r="AF534" s="1" t="str">
        <f t="shared" si="322"/>
        <v>4</v>
      </c>
      <c r="AG534">
        <v>3</v>
      </c>
      <c r="AH534">
        <f t="shared" si="336"/>
        <v>103.03999999999999</v>
      </c>
      <c r="AI534">
        <f t="shared" si="337"/>
        <v>10.304</v>
      </c>
      <c r="AJ534">
        <f t="shared" si="338"/>
        <v>1001.7391304347826</v>
      </c>
      <c r="AK534">
        <f t="shared" si="339"/>
        <v>100.17391304347827</v>
      </c>
      <c r="AL534">
        <f t="shared" si="340"/>
        <v>12.879999999999999</v>
      </c>
      <c r="AM534">
        <f t="shared" si="341"/>
        <v>1.288</v>
      </c>
      <c r="AN534">
        <f t="shared" si="342"/>
        <v>1.4</v>
      </c>
      <c r="AO534">
        <f t="shared" si="343"/>
        <v>2</v>
      </c>
      <c r="AP534">
        <f t="shared" si="344"/>
        <v>3</v>
      </c>
      <c r="AQ534">
        <v>304</v>
      </c>
      <c r="AR534">
        <v>1</v>
      </c>
    </row>
    <row r="535" spans="1:44" x14ac:dyDescent="0.15">
      <c r="A535">
        <f t="shared" ref="A535:A594" si="345">AR535*1000000+AQ535*1000+C535*10+E535</f>
        <v>1203035</v>
      </c>
      <c r="B535" s="6" t="s">
        <v>241</v>
      </c>
      <c r="C535">
        <v>3</v>
      </c>
      <c r="D535">
        <v>2</v>
      </c>
      <c r="E535">
        <v>5</v>
      </c>
      <c r="F535" s="6" t="s">
        <v>242</v>
      </c>
      <c r="G535" s="20" t="s">
        <v>243</v>
      </c>
      <c r="H535">
        <v>0</v>
      </c>
      <c r="I535" s="2">
        <v>0</v>
      </c>
      <c r="J535" s="2">
        <f t="shared" si="327"/>
        <v>3</v>
      </c>
      <c r="K535" s="2">
        <f t="shared" si="328"/>
        <v>1.3</v>
      </c>
      <c r="L535" s="2">
        <f t="shared" si="329"/>
        <v>1.9000000000000001</v>
      </c>
      <c r="M535" s="2">
        <v>10</v>
      </c>
      <c r="N535" s="2">
        <f t="shared" si="330"/>
        <v>74.88</v>
      </c>
      <c r="O535" s="2">
        <f t="shared" si="331"/>
        <v>7.49</v>
      </c>
      <c r="P535" s="2">
        <f t="shared" si="332"/>
        <v>1280</v>
      </c>
      <c r="Q535" s="2">
        <f t="shared" si="333"/>
        <v>128</v>
      </c>
      <c r="R535" s="2">
        <f t="shared" si="334"/>
        <v>14.98</v>
      </c>
      <c r="S535" s="2">
        <f t="shared" si="335"/>
        <v>1.5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25">
        <v>112031</v>
      </c>
      <c r="Z535" s="26" t="s">
        <v>710</v>
      </c>
      <c r="AA535" s="4">
        <v>1</v>
      </c>
      <c r="AB535" s="4">
        <v>0</v>
      </c>
      <c r="AC535" s="4"/>
      <c r="AD535" s="4">
        <f t="shared" ref="AD535:AD594" si="346">(N535+O535*$AD$2)*(P535+Q535*$AD$2)/K535*0.945/3000</f>
        <v>2810.825058461538</v>
      </c>
      <c r="AF535" s="1" t="str">
        <f t="shared" ref="AF535:AF594" si="347">RIGHT(AQ535,1)</f>
        <v>3</v>
      </c>
      <c r="AG535">
        <v>3</v>
      </c>
      <c r="AH535">
        <f t="shared" si="336"/>
        <v>74.88000000000001</v>
      </c>
      <c r="AI535">
        <f t="shared" si="337"/>
        <v>7.4880000000000013</v>
      </c>
      <c r="AJ535">
        <f t="shared" si="338"/>
        <v>1280</v>
      </c>
      <c r="AK535">
        <f t="shared" si="339"/>
        <v>128</v>
      </c>
      <c r="AL535">
        <f t="shared" si="340"/>
        <v>14.976000000000003</v>
      </c>
      <c r="AM535">
        <f t="shared" si="341"/>
        <v>1.4976000000000003</v>
      </c>
      <c r="AN535">
        <f t="shared" si="342"/>
        <v>1.3</v>
      </c>
      <c r="AO535">
        <f t="shared" si="343"/>
        <v>1.9</v>
      </c>
      <c r="AP535">
        <f t="shared" si="344"/>
        <v>3</v>
      </c>
      <c r="AQ535">
        <v>203</v>
      </c>
      <c r="AR535">
        <v>1</v>
      </c>
    </row>
    <row r="536" spans="1:44" x14ac:dyDescent="0.15">
      <c r="A536">
        <f t="shared" si="345"/>
        <v>1403035</v>
      </c>
      <c r="B536" s="6" t="s">
        <v>244</v>
      </c>
      <c r="C536">
        <v>3</v>
      </c>
      <c r="D536">
        <v>4</v>
      </c>
      <c r="E536">
        <v>5</v>
      </c>
      <c r="F536" s="6" t="s">
        <v>245</v>
      </c>
      <c r="G536" s="20" t="s">
        <v>246</v>
      </c>
      <c r="H536" s="2">
        <v>0</v>
      </c>
      <c r="I536" s="2" t="s">
        <v>161</v>
      </c>
      <c r="J536" s="2">
        <f t="shared" si="327"/>
        <v>6</v>
      </c>
      <c r="K536" s="2">
        <f t="shared" si="328"/>
        <v>1.3</v>
      </c>
      <c r="L536" s="2">
        <f t="shared" si="329"/>
        <v>1.9000000000000001</v>
      </c>
      <c r="M536" s="2">
        <v>10</v>
      </c>
      <c r="N536" s="2">
        <f t="shared" si="330"/>
        <v>99.84</v>
      </c>
      <c r="O536" s="2">
        <f t="shared" si="331"/>
        <v>9.98</v>
      </c>
      <c r="P536" s="2">
        <f t="shared" si="332"/>
        <v>960</v>
      </c>
      <c r="Q536" s="2">
        <f t="shared" si="333"/>
        <v>96</v>
      </c>
      <c r="R536" s="2">
        <f t="shared" si="334"/>
        <v>9.98</v>
      </c>
      <c r="S536" s="2">
        <f t="shared" si="335"/>
        <v>1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5">
        <v>114031</v>
      </c>
      <c r="Z536" s="26" t="s">
        <v>710</v>
      </c>
      <c r="AA536" s="4">
        <v>1</v>
      </c>
      <c r="AB536" s="4">
        <v>0</v>
      </c>
      <c r="AC536" s="4"/>
      <c r="AD536" s="4">
        <f t="shared" si="346"/>
        <v>2809.1192123076917</v>
      </c>
      <c r="AF536" s="1" t="str">
        <f t="shared" si="347"/>
        <v>3</v>
      </c>
      <c r="AG536">
        <v>3</v>
      </c>
      <c r="AH536">
        <f t="shared" si="336"/>
        <v>99.84</v>
      </c>
      <c r="AI536">
        <f t="shared" si="337"/>
        <v>9.9840000000000018</v>
      </c>
      <c r="AJ536">
        <f t="shared" si="338"/>
        <v>960</v>
      </c>
      <c r="AK536">
        <f t="shared" si="339"/>
        <v>96</v>
      </c>
      <c r="AL536">
        <f t="shared" si="340"/>
        <v>9.984</v>
      </c>
      <c r="AM536">
        <f t="shared" si="341"/>
        <v>0.99840000000000007</v>
      </c>
      <c r="AN536">
        <f t="shared" si="342"/>
        <v>1.3</v>
      </c>
      <c r="AO536">
        <f t="shared" si="343"/>
        <v>1.9</v>
      </c>
      <c r="AP536">
        <f t="shared" si="344"/>
        <v>6</v>
      </c>
      <c r="AQ536">
        <v>403</v>
      </c>
      <c r="AR536">
        <v>1</v>
      </c>
    </row>
    <row r="537" spans="1:44" x14ac:dyDescent="0.15">
      <c r="A537">
        <f t="shared" si="345"/>
        <v>1205035</v>
      </c>
      <c r="B537" s="6" t="s">
        <v>247</v>
      </c>
      <c r="C537">
        <v>3</v>
      </c>
      <c r="D537">
        <v>2</v>
      </c>
      <c r="E537">
        <v>5</v>
      </c>
      <c r="F537" s="22" t="s">
        <v>734</v>
      </c>
      <c r="G537" s="29" t="s">
        <v>735</v>
      </c>
      <c r="H537">
        <v>0</v>
      </c>
      <c r="I537" s="2">
        <v>0</v>
      </c>
      <c r="J537" s="2">
        <f t="shared" si="327"/>
        <v>3</v>
      </c>
      <c r="K537" s="2">
        <f t="shared" si="328"/>
        <v>1.8</v>
      </c>
      <c r="L537" s="2">
        <f t="shared" si="329"/>
        <v>2</v>
      </c>
      <c r="M537" s="2">
        <v>10</v>
      </c>
      <c r="N537" s="2">
        <f t="shared" si="330"/>
        <v>103.68</v>
      </c>
      <c r="O537" s="2">
        <f t="shared" si="331"/>
        <v>10.37</v>
      </c>
      <c r="P537" s="2">
        <f t="shared" si="332"/>
        <v>1280</v>
      </c>
      <c r="Q537" s="2">
        <f t="shared" si="333"/>
        <v>128</v>
      </c>
      <c r="R537" s="2">
        <f t="shared" si="334"/>
        <v>20.74</v>
      </c>
      <c r="S537" s="2">
        <f t="shared" si="335"/>
        <v>2.0699999999999998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25">
        <v>122051</v>
      </c>
      <c r="Z537" s="26" t="s">
        <v>710</v>
      </c>
      <c r="AA537" s="4">
        <v>1</v>
      </c>
      <c r="AB537" s="4">
        <v>0</v>
      </c>
      <c r="AC537" s="4"/>
      <c r="AD537" s="4">
        <f t="shared" si="346"/>
        <v>2810.6355199999994</v>
      </c>
      <c r="AF537" s="1" t="str">
        <f t="shared" si="347"/>
        <v>5</v>
      </c>
      <c r="AG537">
        <v>3</v>
      </c>
      <c r="AH537">
        <f t="shared" si="336"/>
        <v>103.68</v>
      </c>
      <c r="AI537">
        <f t="shared" si="337"/>
        <v>10.368000000000002</v>
      </c>
      <c r="AJ537">
        <f t="shared" si="338"/>
        <v>1280</v>
      </c>
      <c r="AK537">
        <f t="shared" si="339"/>
        <v>128</v>
      </c>
      <c r="AL537">
        <f t="shared" si="340"/>
        <v>20.736000000000001</v>
      </c>
      <c r="AM537">
        <f t="shared" si="341"/>
        <v>2.0736000000000003</v>
      </c>
      <c r="AN537">
        <f t="shared" si="342"/>
        <v>1.8</v>
      </c>
      <c r="AO537">
        <f t="shared" si="343"/>
        <v>2</v>
      </c>
      <c r="AP537">
        <f t="shared" si="344"/>
        <v>3</v>
      </c>
      <c r="AQ537">
        <v>205</v>
      </c>
      <c r="AR537">
        <v>1</v>
      </c>
    </row>
    <row r="538" spans="1:44" x14ac:dyDescent="0.15">
      <c r="A538">
        <f t="shared" si="345"/>
        <v>1405035</v>
      </c>
      <c r="B538" s="6" t="s">
        <v>250</v>
      </c>
      <c r="C538">
        <v>3</v>
      </c>
      <c r="D538">
        <v>4</v>
      </c>
      <c r="E538">
        <v>5</v>
      </c>
      <c r="F538" s="22" t="s">
        <v>736</v>
      </c>
      <c r="G538" s="22" t="s">
        <v>737</v>
      </c>
      <c r="H538">
        <v>0</v>
      </c>
      <c r="I538" s="2" t="s">
        <v>161</v>
      </c>
      <c r="J538" s="2">
        <f t="shared" si="327"/>
        <v>6</v>
      </c>
      <c r="K538" s="2">
        <f t="shared" si="328"/>
        <v>1.5</v>
      </c>
      <c r="L538" s="2">
        <f t="shared" si="329"/>
        <v>1.5</v>
      </c>
      <c r="M538" s="2">
        <v>10</v>
      </c>
      <c r="N538" s="2">
        <f t="shared" si="330"/>
        <v>120</v>
      </c>
      <c r="O538" s="2">
        <f t="shared" si="331"/>
        <v>12</v>
      </c>
      <c r="P538" s="2">
        <f t="shared" si="332"/>
        <v>921.6</v>
      </c>
      <c r="Q538" s="2">
        <f t="shared" si="333"/>
        <v>92.16</v>
      </c>
      <c r="R538" s="2">
        <f t="shared" si="334"/>
        <v>12</v>
      </c>
      <c r="S538" s="2">
        <f t="shared" si="335"/>
        <v>1.2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25">
        <v>124051</v>
      </c>
      <c r="Z538" s="26" t="s">
        <v>710</v>
      </c>
      <c r="AA538" s="4">
        <v>1</v>
      </c>
      <c r="AB538" s="4">
        <v>0</v>
      </c>
      <c r="AC538" s="4"/>
      <c r="AD538" s="4">
        <f t="shared" si="346"/>
        <v>2810.1427199999998</v>
      </c>
      <c r="AF538" s="1" t="str">
        <f t="shared" si="347"/>
        <v>5</v>
      </c>
      <c r="AG538">
        <v>3</v>
      </c>
      <c r="AH538">
        <f t="shared" si="336"/>
        <v>120</v>
      </c>
      <c r="AI538">
        <f t="shared" si="337"/>
        <v>12</v>
      </c>
      <c r="AJ538">
        <f t="shared" si="338"/>
        <v>921.59999999999991</v>
      </c>
      <c r="AK538">
        <f t="shared" si="339"/>
        <v>92.16</v>
      </c>
      <c r="AL538">
        <f t="shared" si="340"/>
        <v>12</v>
      </c>
      <c r="AM538">
        <f t="shared" si="341"/>
        <v>1.2000000000000002</v>
      </c>
      <c r="AN538">
        <f t="shared" si="342"/>
        <v>1.5</v>
      </c>
      <c r="AO538">
        <f t="shared" si="343"/>
        <v>1.5</v>
      </c>
      <c r="AP538">
        <f t="shared" si="344"/>
        <v>6</v>
      </c>
      <c r="AQ538">
        <v>405</v>
      </c>
      <c r="AR538">
        <v>1</v>
      </c>
    </row>
    <row r="539" spans="1:44" x14ac:dyDescent="0.15">
      <c r="A539">
        <f t="shared" si="345"/>
        <v>1303035</v>
      </c>
      <c r="B539" s="6" t="s">
        <v>253</v>
      </c>
      <c r="C539">
        <v>3</v>
      </c>
      <c r="D539">
        <v>3</v>
      </c>
      <c r="E539">
        <v>5</v>
      </c>
      <c r="F539" s="22" t="s">
        <v>730</v>
      </c>
      <c r="G539" s="22" t="s">
        <v>731</v>
      </c>
      <c r="H539" s="2">
        <v>0</v>
      </c>
      <c r="I539" s="2">
        <v>0</v>
      </c>
      <c r="J539" s="2">
        <f t="shared" si="327"/>
        <v>3</v>
      </c>
      <c r="K539" s="2">
        <f t="shared" si="328"/>
        <v>1.3</v>
      </c>
      <c r="L539" s="2">
        <f t="shared" si="329"/>
        <v>1.4000000000000001</v>
      </c>
      <c r="M539" s="2">
        <v>10</v>
      </c>
      <c r="N539" s="2">
        <f t="shared" si="330"/>
        <v>91.52</v>
      </c>
      <c r="O539" s="2">
        <f t="shared" si="331"/>
        <v>9.15</v>
      </c>
      <c r="P539" s="2">
        <f t="shared" si="332"/>
        <v>1047.27</v>
      </c>
      <c r="Q539" s="2">
        <f t="shared" si="333"/>
        <v>104.73</v>
      </c>
      <c r="R539" s="2">
        <f t="shared" si="334"/>
        <v>11.44</v>
      </c>
      <c r="S539" s="2">
        <f t="shared" si="335"/>
        <v>1.1399999999999999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25">
        <v>133031</v>
      </c>
      <c r="Z539" s="26" t="s">
        <v>710</v>
      </c>
      <c r="AA539" s="4">
        <v>1</v>
      </c>
      <c r="AB539" s="4">
        <v>0</v>
      </c>
      <c r="AC539" s="4"/>
      <c r="AD539" s="4">
        <f t="shared" si="346"/>
        <v>2809.6502927123074</v>
      </c>
      <c r="AF539" s="1" t="str">
        <f t="shared" si="347"/>
        <v>3</v>
      </c>
      <c r="AG539">
        <v>3</v>
      </c>
      <c r="AH539">
        <f t="shared" si="336"/>
        <v>91.52000000000001</v>
      </c>
      <c r="AI539">
        <f t="shared" si="337"/>
        <v>9.152000000000001</v>
      </c>
      <c r="AJ539">
        <f t="shared" si="338"/>
        <v>1047.2727272727273</v>
      </c>
      <c r="AK539">
        <f t="shared" si="339"/>
        <v>104.72727272727273</v>
      </c>
      <c r="AL539">
        <f t="shared" si="340"/>
        <v>11.440000000000001</v>
      </c>
      <c r="AM539">
        <f t="shared" si="341"/>
        <v>1.1440000000000001</v>
      </c>
      <c r="AN539">
        <f t="shared" si="342"/>
        <v>1.3</v>
      </c>
      <c r="AO539">
        <f t="shared" si="343"/>
        <v>1.4</v>
      </c>
      <c r="AP539">
        <f t="shared" si="344"/>
        <v>3</v>
      </c>
      <c r="AQ539">
        <v>303</v>
      </c>
      <c r="AR539">
        <v>1</v>
      </c>
    </row>
    <row r="540" spans="1:44" x14ac:dyDescent="0.15">
      <c r="A540">
        <f t="shared" si="345"/>
        <v>1504035</v>
      </c>
      <c r="B540" s="6" t="s">
        <v>256</v>
      </c>
      <c r="C540">
        <v>3</v>
      </c>
      <c r="D540">
        <v>5</v>
      </c>
      <c r="E540">
        <v>5</v>
      </c>
      <c r="F540" s="22" t="s">
        <v>732</v>
      </c>
      <c r="G540" s="22" t="s">
        <v>733</v>
      </c>
      <c r="H540">
        <v>0</v>
      </c>
      <c r="I540" s="2">
        <v>0</v>
      </c>
      <c r="J540" s="2">
        <f t="shared" si="327"/>
        <v>3</v>
      </c>
      <c r="K540" s="2">
        <f t="shared" si="328"/>
        <v>1.8</v>
      </c>
      <c r="L540" s="2">
        <f t="shared" si="329"/>
        <v>1.5</v>
      </c>
      <c r="M540" s="2">
        <v>10</v>
      </c>
      <c r="N540" s="2">
        <f t="shared" si="330"/>
        <v>126.72</v>
      </c>
      <c r="O540" s="2">
        <f t="shared" si="331"/>
        <v>12.67</v>
      </c>
      <c r="P540" s="2">
        <f t="shared" si="332"/>
        <v>1047.27</v>
      </c>
      <c r="Q540" s="2">
        <f t="shared" si="333"/>
        <v>104.73</v>
      </c>
      <c r="R540" s="2">
        <f t="shared" si="334"/>
        <v>21.12</v>
      </c>
      <c r="S540" s="2">
        <f t="shared" si="335"/>
        <v>2.11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25">
        <v>135041</v>
      </c>
      <c r="Z540" s="26" t="s">
        <v>710</v>
      </c>
      <c r="AA540" s="4">
        <v>1</v>
      </c>
      <c r="AB540" s="4">
        <v>0.5</v>
      </c>
      <c r="AC540" s="4"/>
      <c r="AD540" s="4">
        <f t="shared" si="346"/>
        <v>2809.80537327</v>
      </c>
      <c r="AF540" s="1" t="str">
        <f t="shared" si="347"/>
        <v>4</v>
      </c>
      <c r="AG540">
        <v>3</v>
      </c>
      <c r="AH540">
        <f t="shared" si="336"/>
        <v>126.72</v>
      </c>
      <c r="AI540">
        <f t="shared" si="337"/>
        <v>12.672000000000001</v>
      </c>
      <c r="AJ540">
        <f t="shared" si="338"/>
        <v>1047.2727272727273</v>
      </c>
      <c r="AK540">
        <f t="shared" si="339"/>
        <v>104.72727272727273</v>
      </c>
      <c r="AL540">
        <f t="shared" si="340"/>
        <v>21.12</v>
      </c>
      <c r="AM540">
        <f t="shared" si="341"/>
        <v>2.1120000000000001</v>
      </c>
      <c r="AN540">
        <f t="shared" si="342"/>
        <v>1.8</v>
      </c>
      <c r="AO540">
        <f t="shared" si="343"/>
        <v>1.5</v>
      </c>
      <c r="AP540">
        <f t="shared" si="344"/>
        <v>3</v>
      </c>
      <c r="AQ540">
        <v>504</v>
      </c>
      <c r="AR540">
        <v>1</v>
      </c>
    </row>
    <row r="541" spans="1:44" x14ac:dyDescent="0.15">
      <c r="A541">
        <f t="shared" si="345"/>
        <v>1206035</v>
      </c>
      <c r="B541" s="21" t="s">
        <v>259</v>
      </c>
      <c r="C541">
        <v>3</v>
      </c>
      <c r="D541">
        <v>2</v>
      </c>
      <c r="E541">
        <v>5</v>
      </c>
      <c r="F541" s="6" t="s">
        <v>260</v>
      </c>
      <c r="G541" s="6" t="s">
        <v>261</v>
      </c>
      <c r="H541" s="2">
        <v>0</v>
      </c>
      <c r="I541" s="2">
        <v>0</v>
      </c>
      <c r="J541" s="2">
        <f t="shared" si="327"/>
        <v>3</v>
      </c>
      <c r="K541" s="2">
        <f t="shared" si="328"/>
        <v>1.6</v>
      </c>
      <c r="L541" s="2">
        <f t="shared" si="329"/>
        <v>2</v>
      </c>
      <c r="M541" s="2">
        <v>10</v>
      </c>
      <c r="N541" s="2">
        <f t="shared" si="330"/>
        <v>92.16</v>
      </c>
      <c r="O541" s="2">
        <f t="shared" si="331"/>
        <v>9.2200000000000006</v>
      </c>
      <c r="P541" s="2">
        <f t="shared" si="332"/>
        <v>1280</v>
      </c>
      <c r="Q541" s="2">
        <f t="shared" si="333"/>
        <v>128</v>
      </c>
      <c r="R541" s="2">
        <f t="shared" si="334"/>
        <v>18.43</v>
      </c>
      <c r="S541" s="2">
        <f t="shared" si="335"/>
        <v>1.84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25">
        <v>212061</v>
      </c>
      <c r="Z541" s="26" t="s">
        <v>710</v>
      </c>
      <c r="AA541" s="4">
        <v>1</v>
      </c>
      <c r="AB541" s="4">
        <v>0</v>
      </c>
      <c r="AC541" s="4"/>
      <c r="AD541" s="4">
        <f t="shared" si="346"/>
        <v>2811.2515199999993</v>
      </c>
      <c r="AF541" s="1" t="str">
        <f t="shared" si="347"/>
        <v>6</v>
      </c>
      <c r="AG541">
        <v>3</v>
      </c>
      <c r="AH541">
        <f t="shared" si="336"/>
        <v>92.160000000000011</v>
      </c>
      <c r="AI541">
        <f t="shared" si="337"/>
        <v>9.2160000000000011</v>
      </c>
      <c r="AJ541">
        <f t="shared" si="338"/>
        <v>1280</v>
      </c>
      <c r="AK541">
        <f t="shared" si="339"/>
        <v>128</v>
      </c>
      <c r="AL541">
        <f t="shared" si="340"/>
        <v>18.432000000000002</v>
      </c>
      <c r="AM541">
        <f t="shared" si="341"/>
        <v>1.8432000000000004</v>
      </c>
      <c r="AN541">
        <f t="shared" si="342"/>
        <v>1.6</v>
      </c>
      <c r="AO541">
        <f t="shared" si="343"/>
        <v>2</v>
      </c>
      <c r="AP541">
        <f t="shared" si="344"/>
        <v>3</v>
      </c>
      <c r="AQ541">
        <v>206</v>
      </c>
      <c r="AR541">
        <v>1</v>
      </c>
    </row>
    <row r="542" spans="1:44" x14ac:dyDescent="0.15">
      <c r="A542">
        <f t="shared" si="345"/>
        <v>1406035</v>
      </c>
      <c r="B542" s="21" t="s">
        <v>262</v>
      </c>
      <c r="C542">
        <v>3</v>
      </c>
      <c r="D542">
        <v>4</v>
      </c>
      <c r="E542">
        <v>5</v>
      </c>
      <c r="F542" s="6" t="s">
        <v>263</v>
      </c>
      <c r="G542" s="6" t="s">
        <v>264</v>
      </c>
      <c r="H542" s="2">
        <v>0</v>
      </c>
      <c r="I542" s="2" t="s">
        <v>161</v>
      </c>
      <c r="J542" s="2">
        <f t="shared" si="327"/>
        <v>6</v>
      </c>
      <c r="K542" s="2">
        <f t="shared" si="328"/>
        <v>1.4000000000000001</v>
      </c>
      <c r="L542" s="2">
        <f t="shared" si="329"/>
        <v>1.2</v>
      </c>
      <c r="M542" s="2">
        <v>10</v>
      </c>
      <c r="N542" s="2">
        <f t="shared" si="330"/>
        <v>116.48</v>
      </c>
      <c r="O542" s="2">
        <f t="shared" si="331"/>
        <v>11.65</v>
      </c>
      <c r="P542" s="2">
        <f t="shared" si="332"/>
        <v>886.15</v>
      </c>
      <c r="Q542" s="2">
        <f t="shared" si="333"/>
        <v>88.62</v>
      </c>
      <c r="R542" s="2">
        <f t="shared" si="334"/>
        <v>11.65</v>
      </c>
      <c r="S542" s="2">
        <f t="shared" si="335"/>
        <v>1.1599999999999999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5">
        <v>214061</v>
      </c>
      <c r="Z542" s="26" t="s">
        <v>710</v>
      </c>
      <c r="AA542" s="4">
        <v>1</v>
      </c>
      <c r="AB542" s="4">
        <v>0</v>
      </c>
      <c r="AC542" s="4"/>
      <c r="AD542" s="4">
        <f t="shared" si="346"/>
        <v>2810.7133339499992</v>
      </c>
      <c r="AF542" s="1" t="str">
        <f t="shared" si="347"/>
        <v>6</v>
      </c>
      <c r="AG542">
        <v>3</v>
      </c>
      <c r="AH542">
        <f t="shared" si="336"/>
        <v>116.47999999999998</v>
      </c>
      <c r="AI542">
        <f t="shared" si="337"/>
        <v>11.647999999999998</v>
      </c>
      <c r="AJ542">
        <f t="shared" si="338"/>
        <v>886.15384615384596</v>
      </c>
      <c r="AK542">
        <f t="shared" si="339"/>
        <v>88.615384615384599</v>
      </c>
      <c r="AL542">
        <f t="shared" si="340"/>
        <v>11.647999999999998</v>
      </c>
      <c r="AM542">
        <f t="shared" si="341"/>
        <v>1.1647999999999998</v>
      </c>
      <c r="AN542">
        <f t="shared" si="342"/>
        <v>1.4</v>
      </c>
      <c r="AO542">
        <f t="shared" si="343"/>
        <v>1.2</v>
      </c>
      <c r="AP542">
        <f t="shared" si="344"/>
        <v>6</v>
      </c>
      <c r="AQ542">
        <v>406</v>
      </c>
      <c r="AR542">
        <v>1</v>
      </c>
    </row>
    <row r="543" spans="1:44" x14ac:dyDescent="0.15">
      <c r="A543">
        <f t="shared" si="345"/>
        <v>1204035</v>
      </c>
      <c r="B543" s="21" t="s">
        <v>265</v>
      </c>
      <c r="C543">
        <v>3</v>
      </c>
      <c r="D543">
        <v>2</v>
      </c>
      <c r="E543">
        <v>5</v>
      </c>
      <c r="F543" s="22" t="s">
        <v>738</v>
      </c>
      <c r="G543" s="22" t="s">
        <v>739</v>
      </c>
      <c r="H543" s="2">
        <v>0</v>
      </c>
      <c r="I543" s="2">
        <v>0</v>
      </c>
      <c r="J543" s="2">
        <f t="shared" si="327"/>
        <v>3</v>
      </c>
      <c r="K543" s="2">
        <f t="shared" si="328"/>
        <v>1.4000000000000001</v>
      </c>
      <c r="L543" s="2">
        <f t="shared" si="329"/>
        <v>1.2</v>
      </c>
      <c r="M543" s="2">
        <v>10</v>
      </c>
      <c r="N543" s="2">
        <f t="shared" si="330"/>
        <v>80.64</v>
      </c>
      <c r="O543" s="2">
        <f t="shared" si="331"/>
        <v>8.06</v>
      </c>
      <c r="P543" s="2">
        <f t="shared" si="332"/>
        <v>1280</v>
      </c>
      <c r="Q543" s="2">
        <f t="shared" si="333"/>
        <v>128</v>
      </c>
      <c r="R543" s="2">
        <f t="shared" si="334"/>
        <v>16.13</v>
      </c>
      <c r="S543" s="2">
        <f t="shared" si="335"/>
        <v>1.61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25">
        <v>222041</v>
      </c>
      <c r="Z543" s="26" t="s">
        <v>710</v>
      </c>
      <c r="AA543" s="4">
        <v>1</v>
      </c>
      <c r="AB543" s="4">
        <v>0</v>
      </c>
      <c r="AC543" s="4"/>
      <c r="AD543" s="4">
        <f t="shared" si="346"/>
        <v>2808.8755199999996</v>
      </c>
      <c r="AF543" s="1" t="str">
        <f t="shared" si="347"/>
        <v>4</v>
      </c>
      <c r="AG543">
        <v>3</v>
      </c>
      <c r="AH543">
        <f t="shared" si="336"/>
        <v>80.64</v>
      </c>
      <c r="AI543">
        <f t="shared" si="337"/>
        <v>8.0640000000000001</v>
      </c>
      <c r="AJ543">
        <f t="shared" si="338"/>
        <v>1280</v>
      </c>
      <c r="AK543">
        <f t="shared" si="339"/>
        <v>128</v>
      </c>
      <c r="AL543">
        <f t="shared" si="340"/>
        <v>16.128</v>
      </c>
      <c r="AM543">
        <f t="shared" si="341"/>
        <v>1.6128</v>
      </c>
      <c r="AN543">
        <f t="shared" si="342"/>
        <v>1.4</v>
      </c>
      <c r="AO543">
        <f t="shared" si="343"/>
        <v>1.2</v>
      </c>
      <c r="AP543">
        <f t="shared" si="344"/>
        <v>3</v>
      </c>
      <c r="AQ543">
        <v>204</v>
      </c>
      <c r="AR543">
        <v>1</v>
      </c>
    </row>
    <row r="544" spans="1:44" x14ac:dyDescent="0.15">
      <c r="A544">
        <f t="shared" si="345"/>
        <v>1404035</v>
      </c>
      <c r="B544" s="21" t="s">
        <v>268</v>
      </c>
      <c r="C544">
        <v>3</v>
      </c>
      <c r="D544">
        <v>4</v>
      </c>
      <c r="E544">
        <v>5</v>
      </c>
      <c r="F544" s="22" t="s">
        <v>740</v>
      </c>
      <c r="G544" s="22" t="s">
        <v>741</v>
      </c>
      <c r="H544" s="2">
        <v>0</v>
      </c>
      <c r="I544" s="2" t="s">
        <v>161</v>
      </c>
      <c r="J544" s="2">
        <f t="shared" si="327"/>
        <v>6</v>
      </c>
      <c r="K544" s="2">
        <f t="shared" si="328"/>
        <v>1.6</v>
      </c>
      <c r="L544" s="2">
        <f t="shared" si="329"/>
        <v>1.9000000000000001</v>
      </c>
      <c r="M544" s="2">
        <v>10</v>
      </c>
      <c r="N544" s="2">
        <f t="shared" si="330"/>
        <v>133.12</v>
      </c>
      <c r="O544" s="2">
        <f t="shared" si="331"/>
        <v>13.31</v>
      </c>
      <c r="P544" s="2">
        <f t="shared" si="332"/>
        <v>886.15</v>
      </c>
      <c r="Q544" s="2">
        <f t="shared" si="333"/>
        <v>88.62</v>
      </c>
      <c r="R544" s="2">
        <f t="shared" si="334"/>
        <v>13.31</v>
      </c>
      <c r="S544" s="2">
        <f t="shared" si="335"/>
        <v>1.33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5">
        <v>224041</v>
      </c>
      <c r="Z544" s="26" t="s">
        <v>710</v>
      </c>
      <c r="AA544" s="4">
        <v>1</v>
      </c>
      <c r="AB544" s="4">
        <v>0</v>
      </c>
      <c r="AC544" s="4"/>
      <c r="AD544" s="4">
        <f t="shared" si="346"/>
        <v>2809.8908337937496</v>
      </c>
      <c r="AF544" s="1" t="str">
        <f t="shared" si="347"/>
        <v>4</v>
      </c>
      <c r="AG544">
        <v>3</v>
      </c>
      <c r="AH544">
        <f t="shared" si="336"/>
        <v>133.12</v>
      </c>
      <c r="AI544">
        <f t="shared" si="337"/>
        <v>13.312000000000001</v>
      </c>
      <c r="AJ544">
        <f t="shared" si="338"/>
        <v>886.15384615384596</v>
      </c>
      <c r="AK544">
        <f t="shared" si="339"/>
        <v>88.615384615384599</v>
      </c>
      <c r="AL544">
        <f t="shared" si="340"/>
        <v>13.312000000000001</v>
      </c>
      <c r="AM544">
        <f t="shared" si="341"/>
        <v>1.3312000000000002</v>
      </c>
      <c r="AN544">
        <f t="shared" si="342"/>
        <v>1.6</v>
      </c>
      <c r="AO544">
        <f t="shared" si="343"/>
        <v>1.9</v>
      </c>
      <c r="AP544">
        <f t="shared" si="344"/>
        <v>6</v>
      </c>
      <c r="AQ544">
        <v>404</v>
      </c>
      <c r="AR544">
        <v>1</v>
      </c>
    </row>
    <row r="545" spans="1:44" x14ac:dyDescent="0.15">
      <c r="A545">
        <f t="shared" si="345"/>
        <v>1503035</v>
      </c>
      <c r="B545" s="21" t="s">
        <v>271</v>
      </c>
      <c r="C545">
        <v>3</v>
      </c>
      <c r="D545">
        <v>5</v>
      </c>
      <c r="E545">
        <v>5</v>
      </c>
      <c r="F545" s="22" t="s">
        <v>742</v>
      </c>
      <c r="G545" s="22" t="s">
        <v>745</v>
      </c>
      <c r="H545" s="2">
        <v>0</v>
      </c>
      <c r="I545" s="2">
        <v>0</v>
      </c>
      <c r="J545" s="2">
        <f t="shared" si="327"/>
        <v>3</v>
      </c>
      <c r="K545" s="2">
        <f t="shared" si="328"/>
        <v>1.6</v>
      </c>
      <c r="L545" s="2">
        <f t="shared" si="329"/>
        <v>1.5</v>
      </c>
      <c r="M545" s="2">
        <v>10</v>
      </c>
      <c r="N545" s="2">
        <f t="shared" si="330"/>
        <v>122.88</v>
      </c>
      <c r="O545" s="2">
        <f t="shared" si="331"/>
        <v>12.29</v>
      </c>
      <c r="P545" s="2">
        <f t="shared" si="332"/>
        <v>960</v>
      </c>
      <c r="Q545" s="2">
        <f t="shared" si="333"/>
        <v>96</v>
      </c>
      <c r="R545" s="2">
        <f t="shared" si="334"/>
        <v>20.48</v>
      </c>
      <c r="S545" s="2">
        <f t="shared" si="335"/>
        <v>2.0499999999999998</v>
      </c>
      <c r="T545" s="2">
        <v>0</v>
      </c>
      <c r="U545" s="2">
        <v>0</v>
      </c>
      <c r="V545" s="2">
        <v>0</v>
      </c>
      <c r="W545" s="2">
        <v>0</v>
      </c>
      <c r="X545" s="2">
        <v>0</v>
      </c>
      <c r="Y545" s="25">
        <v>235031</v>
      </c>
      <c r="Z545" s="26" t="s">
        <v>710</v>
      </c>
      <c r="AA545" s="4">
        <v>1</v>
      </c>
      <c r="AB545" s="4">
        <v>0</v>
      </c>
      <c r="AC545" s="4"/>
      <c r="AD545" s="4">
        <f t="shared" si="346"/>
        <v>2810.5585199999996</v>
      </c>
      <c r="AF545" s="1" t="str">
        <f t="shared" si="347"/>
        <v>3</v>
      </c>
      <c r="AG545">
        <v>3</v>
      </c>
      <c r="AH545">
        <f t="shared" si="336"/>
        <v>122.88</v>
      </c>
      <c r="AI545">
        <f t="shared" si="337"/>
        <v>12.288</v>
      </c>
      <c r="AJ545">
        <f t="shared" si="338"/>
        <v>960</v>
      </c>
      <c r="AK545">
        <f t="shared" si="339"/>
        <v>96</v>
      </c>
      <c r="AL545">
        <f t="shared" si="340"/>
        <v>20.48</v>
      </c>
      <c r="AM545">
        <f t="shared" si="341"/>
        <v>2.048</v>
      </c>
      <c r="AN545">
        <f t="shared" si="342"/>
        <v>1.6</v>
      </c>
      <c r="AO545">
        <f t="shared" si="343"/>
        <v>1.5</v>
      </c>
      <c r="AP545">
        <f t="shared" si="344"/>
        <v>3</v>
      </c>
      <c r="AQ545">
        <v>503</v>
      </c>
      <c r="AR545">
        <v>1</v>
      </c>
    </row>
    <row r="546" spans="1:44" x14ac:dyDescent="0.15">
      <c r="A546">
        <f t="shared" si="345"/>
        <v>1304035</v>
      </c>
      <c r="B546" s="21" t="s">
        <v>274</v>
      </c>
      <c r="C546">
        <v>3</v>
      </c>
      <c r="D546">
        <v>3</v>
      </c>
      <c r="E546">
        <v>5</v>
      </c>
      <c r="F546" s="22" t="s">
        <v>743</v>
      </c>
      <c r="G546" s="22" t="s">
        <v>744</v>
      </c>
      <c r="H546">
        <v>0</v>
      </c>
      <c r="I546" s="2">
        <v>0</v>
      </c>
      <c r="J546" s="2">
        <f t="shared" si="327"/>
        <v>3</v>
      </c>
      <c r="K546" s="2">
        <f t="shared" si="328"/>
        <v>1.4000000000000001</v>
      </c>
      <c r="L546" s="2">
        <f t="shared" si="329"/>
        <v>2</v>
      </c>
      <c r="M546" s="2">
        <v>10</v>
      </c>
      <c r="N546" s="2">
        <f t="shared" si="330"/>
        <v>103.04</v>
      </c>
      <c r="O546" s="2">
        <f t="shared" si="331"/>
        <v>10.3</v>
      </c>
      <c r="P546" s="2">
        <f t="shared" si="332"/>
        <v>1001.74</v>
      </c>
      <c r="Q546" s="2">
        <f t="shared" si="333"/>
        <v>100.17</v>
      </c>
      <c r="R546" s="2">
        <f t="shared" si="334"/>
        <v>12.88</v>
      </c>
      <c r="S546" s="2">
        <f t="shared" si="335"/>
        <v>1.29</v>
      </c>
      <c r="T546" s="2">
        <v>0</v>
      </c>
      <c r="U546" s="2">
        <v>0</v>
      </c>
      <c r="V546" s="2">
        <v>0</v>
      </c>
      <c r="W546" s="2">
        <v>0</v>
      </c>
      <c r="X546" s="2">
        <v>0</v>
      </c>
      <c r="Y546" s="25">
        <v>233041</v>
      </c>
      <c r="Z546" s="26" t="s">
        <v>710</v>
      </c>
      <c r="AA546" s="4">
        <v>1</v>
      </c>
      <c r="AB546" s="4">
        <v>0</v>
      </c>
      <c r="AC546" s="4"/>
      <c r="AD546" s="4">
        <f t="shared" si="346"/>
        <v>2809.0514631599995</v>
      </c>
      <c r="AF546" s="1" t="str">
        <f t="shared" si="347"/>
        <v>4</v>
      </c>
      <c r="AG546">
        <v>3</v>
      </c>
      <c r="AH546">
        <f t="shared" si="336"/>
        <v>103.03999999999999</v>
      </c>
      <c r="AI546">
        <f t="shared" si="337"/>
        <v>10.304</v>
      </c>
      <c r="AJ546">
        <f t="shared" si="338"/>
        <v>1001.7391304347826</v>
      </c>
      <c r="AK546">
        <f t="shared" si="339"/>
        <v>100.17391304347827</v>
      </c>
      <c r="AL546">
        <f t="shared" si="340"/>
        <v>12.879999999999999</v>
      </c>
      <c r="AM546">
        <f t="shared" si="341"/>
        <v>1.288</v>
      </c>
      <c r="AN546">
        <f t="shared" si="342"/>
        <v>1.4</v>
      </c>
      <c r="AO546">
        <f t="shared" si="343"/>
        <v>2</v>
      </c>
      <c r="AP546">
        <f t="shared" si="344"/>
        <v>3</v>
      </c>
      <c r="AQ546">
        <v>304</v>
      </c>
      <c r="AR546">
        <v>1</v>
      </c>
    </row>
    <row r="547" spans="1:44" x14ac:dyDescent="0.15">
      <c r="A547">
        <f t="shared" si="345"/>
        <v>1203041</v>
      </c>
      <c r="B547" s="6" t="s">
        <v>241</v>
      </c>
      <c r="C547">
        <v>4</v>
      </c>
      <c r="D547">
        <v>2</v>
      </c>
      <c r="E547">
        <v>1</v>
      </c>
      <c r="F547" s="6" t="s">
        <v>242</v>
      </c>
      <c r="G547" s="20" t="s">
        <v>243</v>
      </c>
      <c r="H547">
        <v>0</v>
      </c>
      <c r="I547" s="2">
        <v>0</v>
      </c>
      <c r="J547" s="2">
        <f t="shared" si="327"/>
        <v>3</v>
      </c>
      <c r="K547" s="2">
        <f t="shared" si="328"/>
        <v>1.3</v>
      </c>
      <c r="L547" s="2">
        <f t="shared" si="329"/>
        <v>1.9000000000000001</v>
      </c>
      <c r="M547" s="2">
        <v>10</v>
      </c>
      <c r="N547" s="2">
        <f t="shared" si="330"/>
        <v>87.36</v>
      </c>
      <c r="O547" s="2">
        <f t="shared" si="331"/>
        <v>8.74</v>
      </c>
      <c r="P547" s="2">
        <f t="shared" si="332"/>
        <v>1493.33</v>
      </c>
      <c r="Q547" s="2">
        <f t="shared" si="333"/>
        <v>149.33000000000001</v>
      </c>
      <c r="R547" s="2">
        <f t="shared" si="334"/>
        <v>17.47</v>
      </c>
      <c r="S547" s="2">
        <f t="shared" si="335"/>
        <v>1.75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25">
        <v>112031</v>
      </c>
      <c r="Z547" s="26" t="s">
        <v>710</v>
      </c>
      <c r="AA547" s="4">
        <v>1</v>
      </c>
      <c r="AB547" s="4">
        <v>0</v>
      </c>
      <c r="AC547" s="4"/>
      <c r="AD547" s="4">
        <f t="shared" si="346"/>
        <v>3826.4301782861539</v>
      </c>
      <c r="AF547" s="1" t="str">
        <f t="shared" si="347"/>
        <v>3</v>
      </c>
      <c r="AG547">
        <v>4</v>
      </c>
      <c r="AH547">
        <f t="shared" si="336"/>
        <v>87.360000000000014</v>
      </c>
      <c r="AI547">
        <f t="shared" si="337"/>
        <v>8.7360000000000024</v>
      </c>
      <c r="AJ547">
        <f t="shared" si="338"/>
        <v>1493.3333333333333</v>
      </c>
      <c r="AK547">
        <f t="shared" si="339"/>
        <v>149.33333333333334</v>
      </c>
      <c r="AL547">
        <f t="shared" si="340"/>
        <v>17.472000000000001</v>
      </c>
      <c r="AM547">
        <f t="shared" si="341"/>
        <v>1.7472000000000003</v>
      </c>
      <c r="AN547">
        <f t="shared" si="342"/>
        <v>1.3</v>
      </c>
      <c r="AO547">
        <f t="shared" si="343"/>
        <v>1.9</v>
      </c>
      <c r="AP547">
        <f t="shared" si="344"/>
        <v>3</v>
      </c>
      <c r="AQ547">
        <v>203</v>
      </c>
      <c r="AR547">
        <v>1</v>
      </c>
    </row>
    <row r="548" spans="1:44" x14ac:dyDescent="0.15">
      <c r="A548">
        <f t="shared" si="345"/>
        <v>1403041</v>
      </c>
      <c r="B548" s="6" t="s">
        <v>244</v>
      </c>
      <c r="C548">
        <v>4</v>
      </c>
      <c r="D548">
        <v>4</v>
      </c>
      <c r="E548">
        <v>1</v>
      </c>
      <c r="F548" s="6" t="s">
        <v>245</v>
      </c>
      <c r="G548" s="20" t="s">
        <v>246</v>
      </c>
      <c r="H548" s="2">
        <v>0</v>
      </c>
      <c r="I548" s="2" t="s">
        <v>103</v>
      </c>
      <c r="J548" s="2">
        <f t="shared" si="327"/>
        <v>6</v>
      </c>
      <c r="K548" s="2">
        <f t="shared" si="328"/>
        <v>1.3</v>
      </c>
      <c r="L548" s="2">
        <f t="shared" si="329"/>
        <v>1.9000000000000001</v>
      </c>
      <c r="M548" s="2">
        <v>10</v>
      </c>
      <c r="N548" s="2">
        <f t="shared" si="330"/>
        <v>116.48</v>
      </c>
      <c r="O548" s="2">
        <f t="shared" si="331"/>
        <v>11.65</v>
      </c>
      <c r="P548" s="2">
        <f t="shared" si="332"/>
        <v>1120</v>
      </c>
      <c r="Q548" s="2">
        <f t="shared" si="333"/>
        <v>112</v>
      </c>
      <c r="R548" s="2">
        <f t="shared" si="334"/>
        <v>11.65</v>
      </c>
      <c r="S548" s="2">
        <f t="shared" si="335"/>
        <v>1.1599999999999999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25">
        <v>114031</v>
      </c>
      <c r="Z548" s="26" t="s">
        <v>710</v>
      </c>
      <c r="AA548" s="4">
        <v>1</v>
      </c>
      <c r="AB548" s="4">
        <v>0</v>
      </c>
      <c r="AC548" s="4"/>
      <c r="AD548" s="4">
        <f t="shared" si="346"/>
        <v>3825.5135261538458</v>
      </c>
      <c r="AF548" s="1" t="str">
        <f t="shared" si="347"/>
        <v>3</v>
      </c>
      <c r="AG548">
        <v>4</v>
      </c>
      <c r="AH548">
        <f t="shared" si="336"/>
        <v>116.47999999999999</v>
      </c>
      <c r="AI548">
        <f t="shared" si="337"/>
        <v>11.648</v>
      </c>
      <c r="AJ548">
        <f t="shared" si="338"/>
        <v>1120</v>
      </c>
      <c r="AK548">
        <f t="shared" si="339"/>
        <v>112</v>
      </c>
      <c r="AL548">
        <f t="shared" si="340"/>
        <v>11.648</v>
      </c>
      <c r="AM548">
        <f t="shared" si="341"/>
        <v>1.1648000000000001</v>
      </c>
      <c r="AN548">
        <f t="shared" si="342"/>
        <v>1.3</v>
      </c>
      <c r="AO548">
        <f t="shared" si="343"/>
        <v>1.9</v>
      </c>
      <c r="AP548">
        <f t="shared" si="344"/>
        <v>6</v>
      </c>
      <c r="AQ548">
        <v>403</v>
      </c>
      <c r="AR548">
        <v>1</v>
      </c>
    </row>
    <row r="549" spans="1:44" x14ac:dyDescent="0.15">
      <c r="A549">
        <f t="shared" si="345"/>
        <v>1205041</v>
      </c>
      <c r="B549" s="6" t="s">
        <v>247</v>
      </c>
      <c r="C549">
        <v>4</v>
      </c>
      <c r="D549">
        <v>2</v>
      </c>
      <c r="E549">
        <v>1</v>
      </c>
      <c r="F549" s="22" t="s">
        <v>734</v>
      </c>
      <c r="G549" s="29" t="s">
        <v>735</v>
      </c>
      <c r="H549">
        <v>0</v>
      </c>
      <c r="I549" s="2">
        <v>0</v>
      </c>
      <c r="J549" s="2">
        <f t="shared" si="327"/>
        <v>3</v>
      </c>
      <c r="K549" s="2">
        <f t="shared" si="328"/>
        <v>1.8</v>
      </c>
      <c r="L549" s="2">
        <f t="shared" si="329"/>
        <v>2</v>
      </c>
      <c r="M549" s="2">
        <v>10</v>
      </c>
      <c r="N549" s="2">
        <f t="shared" si="330"/>
        <v>120.96</v>
      </c>
      <c r="O549" s="2">
        <f t="shared" si="331"/>
        <v>12.1</v>
      </c>
      <c r="P549" s="2">
        <f t="shared" si="332"/>
        <v>1493.33</v>
      </c>
      <c r="Q549" s="2">
        <f t="shared" si="333"/>
        <v>149.33000000000001</v>
      </c>
      <c r="R549" s="2">
        <f t="shared" si="334"/>
        <v>24.19</v>
      </c>
      <c r="S549" s="2">
        <f t="shared" si="335"/>
        <v>2.42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25">
        <v>122051</v>
      </c>
      <c r="Z549" s="26" t="s">
        <v>710</v>
      </c>
      <c r="AA549" s="4">
        <v>1</v>
      </c>
      <c r="AB549" s="4">
        <v>0</v>
      </c>
      <c r="AC549" s="4"/>
      <c r="AD549" s="4">
        <f t="shared" si="346"/>
        <v>3825.9879309399998</v>
      </c>
      <c r="AF549" s="1" t="str">
        <f t="shared" si="347"/>
        <v>5</v>
      </c>
      <c r="AG549">
        <v>4</v>
      </c>
      <c r="AH549">
        <f t="shared" si="336"/>
        <v>120.96</v>
      </c>
      <c r="AI549">
        <f t="shared" si="337"/>
        <v>12.096</v>
      </c>
      <c r="AJ549">
        <f t="shared" si="338"/>
        <v>1493.3333333333333</v>
      </c>
      <c r="AK549">
        <f t="shared" si="339"/>
        <v>149.33333333333334</v>
      </c>
      <c r="AL549">
        <f t="shared" si="340"/>
        <v>24.192</v>
      </c>
      <c r="AM549">
        <f t="shared" si="341"/>
        <v>2.4192</v>
      </c>
      <c r="AN549">
        <f t="shared" si="342"/>
        <v>1.8</v>
      </c>
      <c r="AO549">
        <f t="shared" si="343"/>
        <v>2</v>
      </c>
      <c r="AP549">
        <f t="shared" si="344"/>
        <v>3</v>
      </c>
      <c r="AQ549">
        <v>205</v>
      </c>
      <c r="AR549">
        <v>1</v>
      </c>
    </row>
    <row r="550" spans="1:44" x14ac:dyDescent="0.15">
      <c r="A550">
        <f t="shared" si="345"/>
        <v>1405041</v>
      </c>
      <c r="B550" s="6" t="s">
        <v>250</v>
      </c>
      <c r="C550">
        <v>4</v>
      </c>
      <c r="D550">
        <v>4</v>
      </c>
      <c r="E550">
        <v>1</v>
      </c>
      <c r="F550" s="22" t="s">
        <v>736</v>
      </c>
      <c r="G550" s="22" t="s">
        <v>737</v>
      </c>
      <c r="H550">
        <v>0</v>
      </c>
      <c r="I550" s="2" t="s">
        <v>103</v>
      </c>
      <c r="J550" s="2">
        <f t="shared" si="327"/>
        <v>6</v>
      </c>
      <c r="K550" s="2">
        <f t="shared" si="328"/>
        <v>1.5</v>
      </c>
      <c r="L550" s="2">
        <f t="shared" si="329"/>
        <v>1.5</v>
      </c>
      <c r="M550" s="2">
        <v>10</v>
      </c>
      <c r="N550" s="2">
        <f t="shared" si="330"/>
        <v>140</v>
      </c>
      <c r="O550" s="2">
        <f t="shared" si="331"/>
        <v>14</v>
      </c>
      <c r="P550" s="2">
        <f t="shared" si="332"/>
        <v>1075.2</v>
      </c>
      <c r="Q550" s="2">
        <f t="shared" si="333"/>
        <v>107.52</v>
      </c>
      <c r="R550" s="2">
        <f t="shared" si="334"/>
        <v>14</v>
      </c>
      <c r="S550" s="2">
        <f t="shared" si="335"/>
        <v>1.4</v>
      </c>
      <c r="T550" s="2">
        <v>0</v>
      </c>
      <c r="U550" s="2">
        <v>0</v>
      </c>
      <c r="V550" s="2">
        <v>0</v>
      </c>
      <c r="W550" s="2">
        <v>0</v>
      </c>
      <c r="X550" s="2">
        <v>0</v>
      </c>
      <c r="Y550" s="25">
        <v>124051</v>
      </c>
      <c r="Z550" s="26" t="s">
        <v>710</v>
      </c>
      <c r="AA550" s="4">
        <v>1</v>
      </c>
      <c r="AB550" s="4">
        <v>0</v>
      </c>
      <c r="AC550" s="4"/>
      <c r="AD550" s="4">
        <f t="shared" si="346"/>
        <v>3824.9164799999999</v>
      </c>
      <c r="AF550" s="1" t="str">
        <f t="shared" si="347"/>
        <v>5</v>
      </c>
      <c r="AG550">
        <v>4</v>
      </c>
      <c r="AH550">
        <f t="shared" si="336"/>
        <v>140</v>
      </c>
      <c r="AI550">
        <f t="shared" si="337"/>
        <v>14</v>
      </c>
      <c r="AJ550">
        <f t="shared" si="338"/>
        <v>1075.1999999999998</v>
      </c>
      <c r="AK550">
        <f t="shared" si="339"/>
        <v>107.51999999999998</v>
      </c>
      <c r="AL550">
        <f t="shared" si="340"/>
        <v>14</v>
      </c>
      <c r="AM550">
        <f t="shared" si="341"/>
        <v>1.4000000000000001</v>
      </c>
      <c r="AN550">
        <f t="shared" si="342"/>
        <v>1.5</v>
      </c>
      <c r="AO550">
        <f t="shared" si="343"/>
        <v>1.5</v>
      </c>
      <c r="AP550">
        <f t="shared" si="344"/>
        <v>6</v>
      </c>
      <c r="AQ550">
        <v>405</v>
      </c>
      <c r="AR550">
        <v>1</v>
      </c>
    </row>
    <row r="551" spans="1:44" x14ac:dyDescent="0.15">
      <c r="A551">
        <f t="shared" si="345"/>
        <v>1303041</v>
      </c>
      <c r="B551" s="6" t="s">
        <v>253</v>
      </c>
      <c r="C551">
        <v>4</v>
      </c>
      <c r="D551">
        <v>3</v>
      </c>
      <c r="E551">
        <v>1</v>
      </c>
      <c r="F551" s="22" t="s">
        <v>730</v>
      </c>
      <c r="G551" s="22" t="s">
        <v>731</v>
      </c>
      <c r="H551" s="2">
        <v>0</v>
      </c>
      <c r="I551" s="2">
        <v>0</v>
      </c>
      <c r="J551" s="2">
        <f t="shared" si="327"/>
        <v>3</v>
      </c>
      <c r="K551" s="2">
        <f t="shared" si="328"/>
        <v>1.3</v>
      </c>
      <c r="L551" s="2">
        <f t="shared" si="329"/>
        <v>1.4000000000000001</v>
      </c>
      <c r="M551" s="2">
        <v>10</v>
      </c>
      <c r="N551" s="2">
        <f t="shared" si="330"/>
        <v>106.77</v>
      </c>
      <c r="O551" s="2">
        <f t="shared" si="331"/>
        <v>10.68</v>
      </c>
      <c r="P551" s="2">
        <f t="shared" si="332"/>
        <v>1221.82</v>
      </c>
      <c r="Q551" s="2">
        <f t="shared" si="333"/>
        <v>122.18</v>
      </c>
      <c r="R551" s="2">
        <f t="shared" si="334"/>
        <v>13.35</v>
      </c>
      <c r="S551" s="2">
        <f t="shared" si="335"/>
        <v>1.33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25">
        <v>133031</v>
      </c>
      <c r="Z551" s="26" t="s">
        <v>710</v>
      </c>
      <c r="AA551" s="4">
        <v>1</v>
      </c>
      <c r="AB551" s="4">
        <v>0</v>
      </c>
      <c r="AC551" s="4"/>
      <c r="AD551" s="4">
        <f t="shared" si="346"/>
        <v>3825.7228173392305</v>
      </c>
      <c r="AF551" s="1" t="str">
        <f t="shared" si="347"/>
        <v>3</v>
      </c>
      <c r="AG551">
        <v>4</v>
      </c>
      <c r="AH551">
        <f t="shared" si="336"/>
        <v>106.77333333333334</v>
      </c>
      <c r="AI551">
        <f t="shared" si="337"/>
        <v>10.677333333333335</v>
      </c>
      <c r="AJ551">
        <f t="shared" si="338"/>
        <v>1221.8181818181818</v>
      </c>
      <c r="AK551">
        <f t="shared" si="339"/>
        <v>122.18181818181819</v>
      </c>
      <c r="AL551">
        <f t="shared" si="340"/>
        <v>13.346666666666668</v>
      </c>
      <c r="AM551">
        <f t="shared" si="341"/>
        <v>1.3346666666666669</v>
      </c>
      <c r="AN551">
        <f t="shared" si="342"/>
        <v>1.3</v>
      </c>
      <c r="AO551">
        <f t="shared" si="343"/>
        <v>1.4</v>
      </c>
      <c r="AP551">
        <f t="shared" si="344"/>
        <v>3</v>
      </c>
      <c r="AQ551">
        <v>303</v>
      </c>
      <c r="AR551">
        <v>1</v>
      </c>
    </row>
    <row r="552" spans="1:44" x14ac:dyDescent="0.15">
      <c r="A552">
        <f t="shared" si="345"/>
        <v>1504041</v>
      </c>
      <c r="B552" s="6" t="s">
        <v>256</v>
      </c>
      <c r="C552">
        <v>4</v>
      </c>
      <c r="D552">
        <v>5</v>
      </c>
      <c r="E552">
        <v>1</v>
      </c>
      <c r="F552" s="22" t="s">
        <v>732</v>
      </c>
      <c r="G552" s="22" t="s">
        <v>733</v>
      </c>
      <c r="H552">
        <v>0</v>
      </c>
      <c r="I552" s="2">
        <v>0</v>
      </c>
      <c r="J552" s="2">
        <f t="shared" si="327"/>
        <v>3</v>
      </c>
      <c r="K552" s="2">
        <f t="shared" si="328"/>
        <v>1.8</v>
      </c>
      <c r="L552" s="2">
        <f t="shared" si="329"/>
        <v>1.5</v>
      </c>
      <c r="M552" s="2">
        <v>10</v>
      </c>
      <c r="N552" s="2">
        <f t="shared" si="330"/>
        <v>147.84</v>
      </c>
      <c r="O552" s="2">
        <f t="shared" si="331"/>
        <v>14.78</v>
      </c>
      <c r="P552" s="2">
        <f t="shared" si="332"/>
        <v>1221.82</v>
      </c>
      <c r="Q552" s="2">
        <f t="shared" si="333"/>
        <v>122.18</v>
      </c>
      <c r="R552" s="2">
        <f t="shared" si="334"/>
        <v>24.64</v>
      </c>
      <c r="S552" s="2">
        <f t="shared" si="335"/>
        <v>2.46</v>
      </c>
      <c r="T552" s="2">
        <v>0</v>
      </c>
      <c r="U552" s="2">
        <v>0</v>
      </c>
      <c r="V552" s="2">
        <v>0</v>
      </c>
      <c r="W552" s="2">
        <v>0</v>
      </c>
      <c r="X552" s="2">
        <v>0</v>
      </c>
      <c r="Y552" s="25">
        <v>135041</v>
      </c>
      <c r="Z552" s="26" t="s">
        <v>710</v>
      </c>
      <c r="AA552" s="4">
        <v>1</v>
      </c>
      <c r="AB552" s="4">
        <v>0.5</v>
      </c>
      <c r="AC552" s="4"/>
      <c r="AD552" s="4">
        <f t="shared" si="346"/>
        <v>3823.9244660399991</v>
      </c>
      <c r="AF552" s="1" t="str">
        <f t="shared" si="347"/>
        <v>4</v>
      </c>
      <c r="AG552">
        <v>4</v>
      </c>
      <c r="AH552">
        <f t="shared" si="336"/>
        <v>147.84</v>
      </c>
      <c r="AI552">
        <f t="shared" si="337"/>
        <v>14.784000000000001</v>
      </c>
      <c r="AJ552">
        <f t="shared" si="338"/>
        <v>1221.8181818181818</v>
      </c>
      <c r="AK552">
        <f t="shared" si="339"/>
        <v>122.18181818181819</v>
      </c>
      <c r="AL552">
        <f t="shared" si="340"/>
        <v>24.64</v>
      </c>
      <c r="AM552">
        <f t="shared" si="341"/>
        <v>2.4640000000000004</v>
      </c>
      <c r="AN552">
        <f t="shared" si="342"/>
        <v>1.8</v>
      </c>
      <c r="AO552">
        <f t="shared" si="343"/>
        <v>1.5</v>
      </c>
      <c r="AP552">
        <f t="shared" si="344"/>
        <v>3</v>
      </c>
      <c r="AQ552">
        <v>504</v>
      </c>
      <c r="AR552">
        <v>1</v>
      </c>
    </row>
    <row r="553" spans="1:44" x14ac:dyDescent="0.15">
      <c r="A553">
        <f t="shared" si="345"/>
        <v>1206041</v>
      </c>
      <c r="B553" s="21" t="s">
        <v>259</v>
      </c>
      <c r="C553">
        <v>4</v>
      </c>
      <c r="D553">
        <v>2</v>
      </c>
      <c r="E553">
        <v>1</v>
      </c>
      <c r="F553" s="6" t="s">
        <v>260</v>
      </c>
      <c r="G553" s="6" t="s">
        <v>261</v>
      </c>
      <c r="H553" s="2">
        <v>0</v>
      </c>
      <c r="I553" s="2">
        <v>0</v>
      </c>
      <c r="J553" s="2">
        <f t="shared" si="327"/>
        <v>3</v>
      </c>
      <c r="K553" s="2">
        <f t="shared" si="328"/>
        <v>1.6</v>
      </c>
      <c r="L553" s="2">
        <f t="shared" si="329"/>
        <v>2</v>
      </c>
      <c r="M553" s="2">
        <v>10</v>
      </c>
      <c r="N553" s="2">
        <f t="shared" si="330"/>
        <v>107.52</v>
      </c>
      <c r="O553" s="2">
        <f t="shared" si="331"/>
        <v>10.75</v>
      </c>
      <c r="P553" s="2">
        <f t="shared" si="332"/>
        <v>1493.33</v>
      </c>
      <c r="Q553" s="2">
        <f t="shared" si="333"/>
        <v>149.33000000000001</v>
      </c>
      <c r="R553" s="2">
        <f t="shared" si="334"/>
        <v>21.5</v>
      </c>
      <c r="S553" s="2">
        <f t="shared" si="335"/>
        <v>2.15</v>
      </c>
      <c r="T553" s="2">
        <v>0</v>
      </c>
      <c r="U553" s="2">
        <v>0</v>
      </c>
      <c r="V553" s="2">
        <v>0</v>
      </c>
      <c r="W553" s="2">
        <v>0</v>
      </c>
      <c r="X553" s="2">
        <v>0</v>
      </c>
      <c r="Y553" s="25">
        <v>212061</v>
      </c>
      <c r="Z553" s="26" t="s">
        <v>710</v>
      </c>
      <c r="AA553" s="4">
        <v>1</v>
      </c>
      <c r="AB553" s="4">
        <v>0</v>
      </c>
      <c r="AC553" s="4"/>
      <c r="AD553" s="4">
        <f t="shared" si="346"/>
        <v>3824.1913010962498</v>
      </c>
      <c r="AF553" s="1" t="str">
        <f t="shared" si="347"/>
        <v>6</v>
      </c>
      <c r="AG553">
        <v>4</v>
      </c>
      <c r="AH553">
        <f t="shared" si="336"/>
        <v>107.52000000000001</v>
      </c>
      <c r="AI553">
        <f t="shared" si="337"/>
        <v>10.752000000000002</v>
      </c>
      <c r="AJ553">
        <f t="shared" si="338"/>
        <v>1493.3333333333333</v>
      </c>
      <c r="AK553">
        <f t="shared" si="339"/>
        <v>149.33333333333334</v>
      </c>
      <c r="AL553">
        <f t="shared" si="340"/>
        <v>21.504000000000001</v>
      </c>
      <c r="AM553">
        <f t="shared" si="341"/>
        <v>2.1504000000000003</v>
      </c>
      <c r="AN553">
        <f t="shared" si="342"/>
        <v>1.6</v>
      </c>
      <c r="AO553">
        <f t="shared" si="343"/>
        <v>2</v>
      </c>
      <c r="AP553">
        <f t="shared" si="344"/>
        <v>3</v>
      </c>
      <c r="AQ553">
        <v>206</v>
      </c>
      <c r="AR553">
        <v>1</v>
      </c>
    </row>
    <row r="554" spans="1:44" x14ac:dyDescent="0.15">
      <c r="A554">
        <f t="shared" si="345"/>
        <v>1406041</v>
      </c>
      <c r="B554" s="21" t="s">
        <v>262</v>
      </c>
      <c r="C554">
        <v>4</v>
      </c>
      <c r="D554">
        <v>4</v>
      </c>
      <c r="E554">
        <v>1</v>
      </c>
      <c r="F554" s="6" t="s">
        <v>263</v>
      </c>
      <c r="G554" s="6" t="s">
        <v>264</v>
      </c>
      <c r="H554" s="2">
        <v>0</v>
      </c>
      <c r="I554" s="2" t="s">
        <v>103</v>
      </c>
      <c r="J554" s="2">
        <f t="shared" si="327"/>
        <v>6</v>
      </c>
      <c r="K554" s="2">
        <f t="shared" si="328"/>
        <v>1.4000000000000001</v>
      </c>
      <c r="L554" s="2">
        <f t="shared" si="329"/>
        <v>1.2</v>
      </c>
      <c r="M554" s="2">
        <v>10</v>
      </c>
      <c r="N554" s="2">
        <f t="shared" si="330"/>
        <v>135.88999999999999</v>
      </c>
      <c r="O554" s="2">
        <f t="shared" si="331"/>
        <v>13.59</v>
      </c>
      <c r="P554" s="2">
        <f t="shared" si="332"/>
        <v>1033.8499999999999</v>
      </c>
      <c r="Q554" s="2">
        <f t="shared" si="333"/>
        <v>103.38</v>
      </c>
      <c r="R554" s="2">
        <f t="shared" si="334"/>
        <v>13.59</v>
      </c>
      <c r="S554" s="2">
        <f t="shared" si="335"/>
        <v>1.36</v>
      </c>
      <c r="T554" s="2">
        <v>0</v>
      </c>
      <c r="U554" s="2">
        <v>0</v>
      </c>
      <c r="V554" s="2">
        <v>0</v>
      </c>
      <c r="W554" s="2">
        <v>0</v>
      </c>
      <c r="X554" s="2">
        <v>0</v>
      </c>
      <c r="Y554" s="25">
        <v>214061</v>
      </c>
      <c r="Z554" s="26" t="s">
        <v>710</v>
      </c>
      <c r="AA554" s="4">
        <v>1</v>
      </c>
      <c r="AB554" s="4">
        <v>0</v>
      </c>
      <c r="AC554" s="4"/>
      <c r="AD554" s="4">
        <f t="shared" si="346"/>
        <v>3824.9245904624991</v>
      </c>
      <c r="AF554" s="1" t="str">
        <f t="shared" si="347"/>
        <v>6</v>
      </c>
      <c r="AG554">
        <v>4</v>
      </c>
      <c r="AH554">
        <f t="shared" si="336"/>
        <v>135.89333333333329</v>
      </c>
      <c r="AI554">
        <f t="shared" si="337"/>
        <v>13.589333333333329</v>
      </c>
      <c r="AJ554">
        <f t="shared" si="338"/>
        <v>1033.8461538461536</v>
      </c>
      <c r="AK554">
        <f t="shared" si="339"/>
        <v>103.38461538461536</v>
      </c>
      <c r="AL554">
        <f t="shared" si="340"/>
        <v>13.589333333333329</v>
      </c>
      <c r="AM554">
        <f t="shared" si="341"/>
        <v>1.3589333333333329</v>
      </c>
      <c r="AN554">
        <f t="shared" si="342"/>
        <v>1.4</v>
      </c>
      <c r="AO554">
        <f t="shared" si="343"/>
        <v>1.2</v>
      </c>
      <c r="AP554">
        <f t="shared" si="344"/>
        <v>6</v>
      </c>
      <c r="AQ554">
        <v>406</v>
      </c>
      <c r="AR554">
        <v>1</v>
      </c>
    </row>
    <row r="555" spans="1:44" x14ac:dyDescent="0.15">
      <c r="A555">
        <f t="shared" si="345"/>
        <v>1204041</v>
      </c>
      <c r="B555" s="21" t="s">
        <v>265</v>
      </c>
      <c r="C555">
        <v>4</v>
      </c>
      <c r="D555">
        <v>2</v>
      </c>
      <c r="E555">
        <v>1</v>
      </c>
      <c r="F555" s="22" t="s">
        <v>738</v>
      </c>
      <c r="G555" s="22" t="s">
        <v>739</v>
      </c>
      <c r="H555" s="2">
        <v>0</v>
      </c>
      <c r="I555" s="2">
        <v>0</v>
      </c>
      <c r="J555" s="2">
        <f t="shared" si="327"/>
        <v>3</v>
      </c>
      <c r="K555" s="2">
        <f t="shared" si="328"/>
        <v>1.4000000000000001</v>
      </c>
      <c r="L555" s="2">
        <f t="shared" si="329"/>
        <v>1.2</v>
      </c>
      <c r="M555" s="2">
        <v>10</v>
      </c>
      <c r="N555" s="2">
        <f t="shared" si="330"/>
        <v>94.08</v>
      </c>
      <c r="O555" s="2">
        <f t="shared" si="331"/>
        <v>9.41</v>
      </c>
      <c r="P555" s="2">
        <f t="shared" si="332"/>
        <v>1493.33</v>
      </c>
      <c r="Q555" s="2">
        <f t="shared" si="333"/>
        <v>149.33000000000001</v>
      </c>
      <c r="R555" s="2">
        <f t="shared" si="334"/>
        <v>18.82</v>
      </c>
      <c r="S555" s="2">
        <f t="shared" si="335"/>
        <v>1.88</v>
      </c>
      <c r="T555" s="2">
        <v>0</v>
      </c>
      <c r="U555" s="2">
        <v>0</v>
      </c>
      <c r="V555" s="2">
        <v>0</v>
      </c>
      <c r="W555" s="2">
        <v>0</v>
      </c>
      <c r="X555" s="2">
        <v>0</v>
      </c>
      <c r="Y555" s="25">
        <v>222041</v>
      </c>
      <c r="Z555" s="26" t="s">
        <v>710</v>
      </c>
      <c r="AA555" s="4">
        <v>1</v>
      </c>
      <c r="AB555" s="4">
        <v>0</v>
      </c>
      <c r="AC555" s="4"/>
      <c r="AD555" s="4">
        <f t="shared" si="346"/>
        <v>3825.5772726899995</v>
      </c>
      <c r="AF555" s="1" t="str">
        <f t="shared" si="347"/>
        <v>4</v>
      </c>
      <c r="AG555">
        <v>4</v>
      </c>
      <c r="AH555">
        <f t="shared" si="336"/>
        <v>94.08</v>
      </c>
      <c r="AI555">
        <f t="shared" si="337"/>
        <v>9.4079999999999995</v>
      </c>
      <c r="AJ555">
        <f t="shared" si="338"/>
        <v>1493.3333333333333</v>
      </c>
      <c r="AK555">
        <f t="shared" si="339"/>
        <v>149.33333333333334</v>
      </c>
      <c r="AL555">
        <f t="shared" si="340"/>
        <v>18.815999999999999</v>
      </c>
      <c r="AM555">
        <f t="shared" si="341"/>
        <v>1.8815999999999999</v>
      </c>
      <c r="AN555">
        <f t="shared" si="342"/>
        <v>1.4</v>
      </c>
      <c r="AO555">
        <f t="shared" si="343"/>
        <v>1.2</v>
      </c>
      <c r="AP555">
        <f t="shared" si="344"/>
        <v>3</v>
      </c>
      <c r="AQ555">
        <v>204</v>
      </c>
      <c r="AR555">
        <v>1</v>
      </c>
    </row>
    <row r="556" spans="1:44" x14ac:dyDescent="0.15">
      <c r="A556">
        <f t="shared" si="345"/>
        <v>1404041</v>
      </c>
      <c r="B556" s="21" t="s">
        <v>268</v>
      </c>
      <c r="C556">
        <v>4</v>
      </c>
      <c r="D556">
        <v>4</v>
      </c>
      <c r="E556">
        <v>1</v>
      </c>
      <c r="F556" s="22" t="s">
        <v>740</v>
      </c>
      <c r="G556" s="22" t="s">
        <v>741</v>
      </c>
      <c r="H556" s="2">
        <v>0</v>
      </c>
      <c r="I556" s="2" t="s">
        <v>103</v>
      </c>
      <c r="J556" s="2">
        <f t="shared" si="327"/>
        <v>6</v>
      </c>
      <c r="K556" s="2">
        <f t="shared" si="328"/>
        <v>1.6</v>
      </c>
      <c r="L556" s="2">
        <f t="shared" si="329"/>
        <v>1.9000000000000001</v>
      </c>
      <c r="M556" s="2">
        <v>10</v>
      </c>
      <c r="N556" s="2">
        <f t="shared" si="330"/>
        <v>155.31</v>
      </c>
      <c r="O556" s="2">
        <f t="shared" si="331"/>
        <v>15.53</v>
      </c>
      <c r="P556" s="2">
        <f t="shared" si="332"/>
        <v>1033.8499999999999</v>
      </c>
      <c r="Q556" s="2">
        <f t="shared" si="333"/>
        <v>103.38</v>
      </c>
      <c r="R556" s="2">
        <f t="shared" si="334"/>
        <v>15.53</v>
      </c>
      <c r="S556" s="2">
        <f t="shared" si="335"/>
        <v>1.55</v>
      </c>
      <c r="T556" s="2">
        <v>0</v>
      </c>
      <c r="U556" s="2">
        <v>0</v>
      </c>
      <c r="V556" s="2">
        <v>0</v>
      </c>
      <c r="W556" s="2">
        <v>0</v>
      </c>
      <c r="X556" s="2">
        <v>0</v>
      </c>
      <c r="Y556" s="25">
        <v>224041</v>
      </c>
      <c r="Z556" s="26" t="s">
        <v>710</v>
      </c>
      <c r="AA556" s="4">
        <v>1</v>
      </c>
      <c r="AB556" s="4">
        <v>0</v>
      </c>
      <c r="AC556" s="4"/>
      <c r="AD556" s="4">
        <f t="shared" si="346"/>
        <v>3824.6207488453119</v>
      </c>
      <c r="AF556" s="1" t="str">
        <f t="shared" si="347"/>
        <v>4</v>
      </c>
      <c r="AG556">
        <v>4</v>
      </c>
      <c r="AH556">
        <f t="shared" si="336"/>
        <v>155.30666666666667</v>
      </c>
      <c r="AI556">
        <f t="shared" si="337"/>
        <v>15.530666666666669</v>
      </c>
      <c r="AJ556">
        <f t="shared" si="338"/>
        <v>1033.8461538461536</v>
      </c>
      <c r="AK556">
        <f t="shared" si="339"/>
        <v>103.38461538461536</v>
      </c>
      <c r="AL556">
        <f t="shared" si="340"/>
        <v>15.530666666666667</v>
      </c>
      <c r="AM556">
        <f t="shared" si="341"/>
        <v>1.5530666666666668</v>
      </c>
      <c r="AN556">
        <f t="shared" si="342"/>
        <v>1.6</v>
      </c>
      <c r="AO556">
        <f t="shared" si="343"/>
        <v>1.9</v>
      </c>
      <c r="AP556">
        <f t="shared" si="344"/>
        <v>6</v>
      </c>
      <c r="AQ556">
        <v>404</v>
      </c>
      <c r="AR556">
        <v>1</v>
      </c>
    </row>
    <row r="557" spans="1:44" x14ac:dyDescent="0.15">
      <c r="A557">
        <f t="shared" si="345"/>
        <v>1503041</v>
      </c>
      <c r="B557" s="21" t="s">
        <v>271</v>
      </c>
      <c r="C557">
        <v>4</v>
      </c>
      <c r="D557">
        <v>5</v>
      </c>
      <c r="E557">
        <v>1</v>
      </c>
      <c r="F557" s="22" t="s">
        <v>742</v>
      </c>
      <c r="G557" s="22" t="s">
        <v>745</v>
      </c>
      <c r="H557" s="2">
        <v>0</v>
      </c>
      <c r="I557" s="2">
        <v>0</v>
      </c>
      <c r="J557" s="2">
        <f t="shared" si="327"/>
        <v>3</v>
      </c>
      <c r="K557" s="2">
        <f t="shared" si="328"/>
        <v>1.6</v>
      </c>
      <c r="L557" s="2">
        <f t="shared" si="329"/>
        <v>1.5</v>
      </c>
      <c r="M557" s="2">
        <v>10</v>
      </c>
      <c r="N557" s="2">
        <f t="shared" si="330"/>
        <v>143.36000000000001</v>
      </c>
      <c r="O557" s="2">
        <f t="shared" si="331"/>
        <v>14.34</v>
      </c>
      <c r="P557" s="2">
        <f t="shared" si="332"/>
        <v>1120</v>
      </c>
      <c r="Q557" s="2">
        <f t="shared" si="333"/>
        <v>112</v>
      </c>
      <c r="R557" s="2">
        <f t="shared" si="334"/>
        <v>23.89</v>
      </c>
      <c r="S557" s="2">
        <f t="shared" si="335"/>
        <v>2.39</v>
      </c>
      <c r="T557" s="2">
        <v>0</v>
      </c>
      <c r="U557" s="2">
        <v>0</v>
      </c>
      <c r="V557" s="2">
        <v>0</v>
      </c>
      <c r="W557" s="2">
        <v>0</v>
      </c>
      <c r="X557" s="2">
        <v>0</v>
      </c>
      <c r="Y557" s="25">
        <v>235031</v>
      </c>
      <c r="Z557" s="26" t="s">
        <v>710</v>
      </c>
      <c r="AA557" s="4">
        <v>1</v>
      </c>
      <c r="AB557" s="4">
        <v>0</v>
      </c>
      <c r="AC557" s="4"/>
      <c r="AD557" s="4">
        <f t="shared" si="346"/>
        <v>3825.8866800000005</v>
      </c>
      <c r="AF557" s="1" t="str">
        <f t="shared" si="347"/>
        <v>3</v>
      </c>
      <c r="AG557">
        <v>4</v>
      </c>
      <c r="AH557">
        <f t="shared" si="336"/>
        <v>143.35999999999999</v>
      </c>
      <c r="AI557">
        <f t="shared" si="337"/>
        <v>14.335999999999999</v>
      </c>
      <c r="AJ557">
        <f t="shared" si="338"/>
        <v>1120</v>
      </c>
      <c r="AK557">
        <f t="shared" si="339"/>
        <v>112</v>
      </c>
      <c r="AL557">
        <f t="shared" si="340"/>
        <v>23.893333333333331</v>
      </c>
      <c r="AM557">
        <f t="shared" si="341"/>
        <v>2.3893333333333331</v>
      </c>
      <c r="AN557">
        <f t="shared" si="342"/>
        <v>1.6</v>
      </c>
      <c r="AO557">
        <f t="shared" si="343"/>
        <v>1.5</v>
      </c>
      <c r="AP557">
        <f t="shared" si="344"/>
        <v>3</v>
      </c>
      <c r="AQ557">
        <v>503</v>
      </c>
      <c r="AR557">
        <v>1</v>
      </c>
    </row>
    <row r="558" spans="1:44" x14ac:dyDescent="0.15">
      <c r="A558">
        <f t="shared" si="345"/>
        <v>1304041</v>
      </c>
      <c r="B558" s="21" t="s">
        <v>274</v>
      </c>
      <c r="C558">
        <v>4</v>
      </c>
      <c r="D558">
        <v>3</v>
      </c>
      <c r="E558">
        <v>1</v>
      </c>
      <c r="F558" s="22" t="s">
        <v>743</v>
      </c>
      <c r="G558" s="22" t="s">
        <v>744</v>
      </c>
      <c r="H558">
        <v>0</v>
      </c>
      <c r="I558" s="2">
        <v>0</v>
      </c>
      <c r="J558" s="2">
        <f t="shared" si="327"/>
        <v>3</v>
      </c>
      <c r="K558" s="2">
        <f t="shared" si="328"/>
        <v>1.4000000000000001</v>
      </c>
      <c r="L558" s="2">
        <f t="shared" si="329"/>
        <v>2</v>
      </c>
      <c r="M558" s="2">
        <v>10</v>
      </c>
      <c r="N558" s="2">
        <f t="shared" si="330"/>
        <v>120.21</v>
      </c>
      <c r="O558" s="2">
        <f t="shared" si="331"/>
        <v>12.02</v>
      </c>
      <c r="P558" s="2">
        <f t="shared" si="332"/>
        <v>1168.7</v>
      </c>
      <c r="Q558" s="2">
        <f t="shared" si="333"/>
        <v>116.87</v>
      </c>
      <c r="R558" s="2">
        <f t="shared" si="334"/>
        <v>15.03</v>
      </c>
      <c r="S558" s="2">
        <f t="shared" si="335"/>
        <v>1.5</v>
      </c>
      <c r="T558" s="2">
        <v>0</v>
      </c>
      <c r="U558" s="2">
        <v>0</v>
      </c>
      <c r="V558" s="2">
        <v>0</v>
      </c>
      <c r="W558" s="2">
        <v>0</v>
      </c>
      <c r="X558" s="2">
        <v>0</v>
      </c>
      <c r="Y558" s="25">
        <v>233041</v>
      </c>
      <c r="Z558" s="26" t="s">
        <v>710</v>
      </c>
      <c r="AA558" s="4">
        <v>1</v>
      </c>
      <c r="AB558" s="4">
        <v>0</v>
      </c>
      <c r="AC558" s="4"/>
      <c r="AD558" s="4">
        <f t="shared" si="346"/>
        <v>3824.5353968250001</v>
      </c>
      <c r="AF558" s="1" t="str">
        <f t="shared" si="347"/>
        <v>4</v>
      </c>
      <c r="AG558">
        <v>4</v>
      </c>
      <c r="AH558">
        <f t="shared" si="336"/>
        <v>120.21333333333331</v>
      </c>
      <c r="AI558">
        <f t="shared" si="337"/>
        <v>12.021333333333331</v>
      </c>
      <c r="AJ558">
        <f t="shared" si="338"/>
        <v>1168.695652173913</v>
      </c>
      <c r="AK558">
        <f t="shared" si="339"/>
        <v>116.86956521739131</v>
      </c>
      <c r="AL558">
        <f t="shared" si="340"/>
        <v>15.026666666666664</v>
      </c>
      <c r="AM558">
        <f t="shared" si="341"/>
        <v>1.5026666666666664</v>
      </c>
      <c r="AN558">
        <f t="shared" si="342"/>
        <v>1.4</v>
      </c>
      <c r="AO558">
        <f t="shared" si="343"/>
        <v>2</v>
      </c>
      <c r="AP558">
        <f t="shared" si="344"/>
        <v>3</v>
      </c>
      <c r="AQ558">
        <v>304</v>
      </c>
      <c r="AR558">
        <v>1</v>
      </c>
    </row>
    <row r="559" spans="1:44" x14ac:dyDescent="0.15">
      <c r="A559">
        <f t="shared" si="345"/>
        <v>1203042</v>
      </c>
      <c r="B559" s="6" t="s">
        <v>241</v>
      </c>
      <c r="C559">
        <v>4</v>
      </c>
      <c r="D559">
        <v>2</v>
      </c>
      <c r="E559">
        <v>2</v>
      </c>
      <c r="F559" s="6" t="s">
        <v>242</v>
      </c>
      <c r="G559" s="20" t="s">
        <v>243</v>
      </c>
      <c r="H559">
        <v>0</v>
      </c>
      <c r="I559" s="2">
        <v>0</v>
      </c>
      <c r="J559" s="2">
        <f t="shared" si="327"/>
        <v>3</v>
      </c>
      <c r="K559" s="2">
        <f t="shared" si="328"/>
        <v>1.3</v>
      </c>
      <c r="L559" s="2">
        <f t="shared" si="329"/>
        <v>1.9000000000000001</v>
      </c>
      <c r="M559" s="2">
        <v>10</v>
      </c>
      <c r="N559" s="2">
        <f t="shared" si="330"/>
        <v>87.36</v>
      </c>
      <c r="O559" s="2">
        <f t="shared" si="331"/>
        <v>8.74</v>
      </c>
      <c r="P559" s="2">
        <f t="shared" si="332"/>
        <v>1493.33</v>
      </c>
      <c r="Q559" s="2">
        <f t="shared" si="333"/>
        <v>149.33000000000001</v>
      </c>
      <c r="R559" s="2">
        <f t="shared" si="334"/>
        <v>17.47</v>
      </c>
      <c r="S559" s="2">
        <f t="shared" si="335"/>
        <v>1.75</v>
      </c>
      <c r="T559" s="2">
        <v>0</v>
      </c>
      <c r="U559" s="2">
        <v>0</v>
      </c>
      <c r="V559" s="2">
        <v>0</v>
      </c>
      <c r="W559" s="2">
        <v>0</v>
      </c>
      <c r="X559" s="2">
        <v>0</v>
      </c>
      <c r="Y559" s="25">
        <v>112031</v>
      </c>
      <c r="Z559" s="26" t="s">
        <v>710</v>
      </c>
      <c r="AA559" s="4">
        <v>1</v>
      </c>
      <c r="AB559" s="4">
        <v>0</v>
      </c>
      <c r="AC559" s="4"/>
      <c r="AD559" s="4">
        <f t="shared" si="346"/>
        <v>3826.4301782861539</v>
      </c>
      <c r="AF559" s="1" t="str">
        <f t="shared" si="347"/>
        <v>3</v>
      </c>
      <c r="AG559">
        <v>4</v>
      </c>
      <c r="AH559">
        <f t="shared" si="336"/>
        <v>87.360000000000014</v>
      </c>
      <c r="AI559">
        <f t="shared" si="337"/>
        <v>8.7360000000000024</v>
      </c>
      <c r="AJ559">
        <f t="shared" si="338"/>
        <v>1493.3333333333333</v>
      </c>
      <c r="AK559">
        <f t="shared" si="339"/>
        <v>149.33333333333334</v>
      </c>
      <c r="AL559">
        <f t="shared" si="340"/>
        <v>17.472000000000001</v>
      </c>
      <c r="AM559">
        <f t="shared" si="341"/>
        <v>1.7472000000000003</v>
      </c>
      <c r="AN559">
        <f t="shared" si="342"/>
        <v>1.3</v>
      </c>
      <c r="AO559">
        <f t="shared" si="343"/>
        <v>1.9</v>
      </c>
      <c r="AP559">
        <f t="shared" si="344"/>
        <v>3</v>
      </c>
      <c r="AQ559">
        <v>203</v>
      </c>
      <c r="AR559">
        <v>1</v>
      </c>
    </row>
    <row r="560" spans="1:44" x14ac:dyDescent="0.15">
      <c r="A560">
        <f t="shared" si="345"/>
        <v>1403042</v>
      </c>
      <c r="B560" s="6" t="s">
        <v>244</v>
      </c>
      <c r="C560">
        <v>4</v>
      </c>
      <c r="D560">
        <v>4</v>
      </c>
      <c r="E560">
        <v>2</v>
      </c>
      <c r="F560" s="6" t="s">
        <v>245</v>
      </c>
      <c r="G560" s="20" t="s">
        <v>246</v>
      </c>
      <c r="H560" s="2">
        <v>0</v>
      </c>
      <c r="I560" s="2" t="s">
        <v>106</v>
      </c>
      <c r="J560" s="2">
        <f t="shared" si="327"/>
        <v>6</v>
      </c>
      <c r="K560" s="2">
        <f t="shared" si="328"/>
        <v>1.3</v>
      </c>
      <c r="L560" s="2">
        <f t="shared" si="329"/>
        <v>1.9000000000000001</v>
      </c>
      <c r="M560" s="2">
        <v>10</v>
      </c>
      <c r="N560" s="2">
        <f t="shared" si="330"/>
        <v>116.48</v>
      </c>
      <c r="O560" s="2">
        <f t="shared" si="331"/>
        <v>11.65</v>
      </c>
      <c r="P560" s="2">
        <f t="shared" si="332"/>
        <v>1120</v>
      </c>
      <c r="Q560" s="2">
        <f t="shared" si="333"/>
        <v>112</v>
      </c>
      <c r="R560" s="2">
        <f t="shared" si="334"/>
        <v>11.65</v>
      </c>
      <c r="S560" s="2">
        <f t="shared" si="335"/>
        <v>1.1599999999999999</v>
      </c>
      <c r="T560" s="2">
        <v>0</v>
      </c>
      <c r="U560" s="2">
        <v>0</v>
      </c>
      <c r="V560" s="2">
        <v>0</v>
      </c>
      <c r="W560" s="2">
        <v>0</v>
      </c>
      <c r="X560" s="2">
        <v>0</v>
      </c>
      <c r="Y560" s="25">
        <v>114031</v>
      </c>
      <c r="Z560" s="26" t="s">
        <v>710</v>
      </c>
      <c r="AA560" s="4">
        <v>1</v>
      </c>
      <c r="AB560" s="4">
        <v>0</v>
      </c>
      <c r="AC560" s="4"/>
      <c r="AD560" s="4">
        <f t="shared" si="346"/>
        <v>3825.5135261538458</v>
      </c>
      <c r="AF560" s="1" t="str">
        <f t="shared" si="347"/>
        <v>3</v>
      </c>
      <c r="AG560">
        <v>4</v>
      </c>
      <c r="AH560">
        <f t="shared" si="336"/>
        <v>116.47999999999999</v>
      </c>
      <c r="AI560">
        <f t="shared" si="337"/>
        <v>11.648</v>
      </c>
      <c r="AJ560">
        <f t="shared" si="338"/>
        <v>1120</v>
      </c>
      <c r="AK560">
        <f t="shared" si="339"/>
        <v>112</v>
      </c>
      <c r="AL560">
        <f t="shared" si="340"/>
        <v>11.648</v>
      </c>
      <c r="AM560">
        <f t="shared" si="341"/>
        <v>1.1648000000000001</v>
      </c>
      <c r="AN560">
        <f t="shared" si="342"/>
        <v>1.3</v>
      </c>
      <c r="AO560">
        <f t="shared" si="343"/>
        <v>1.9</v>
      </c>
      <c r="AP560">
        <f t="shared" si="344"/>
        <v>6</v>
      </c>
      <c r="AQ560">
        <v>403</v>
      </c>
      <c r="AR560">
        <v>1</v>
      </c>
    </row>
    <row r="561" spans="1:44" x14ac:dyDescent="0.15">
      <c r="A561">
        <f t="shared" si="345"/>
        <v>1205042</v>
      </c>
      <c r="B561" s="6" t="s">
        <v>247</v>
      </c>
      <c r="C561">
        <v>4</v>
      </c>
      <c r="D561">
        <v>2</v>
      </c>
      <c r="E561">
        <v>2</v>
      </c>
      <c r="F561" s="22" t="s">
        <v>734</v>
      </c>
      <c r="G561" s="29" t="s">
        <v>735</v>
      </c>
      <c r="H561">
        <v>0</v>
      </c>
      <c r="I561" s="2">
        <v>0</v>
      </c>
      <c r="J561" s="2">
        <f t="shared" si="327"/>
        <v>3</v>
      </c>
      <c r="K561" s="2">
        <f t="shared" si="328"/>
        <v>1.8</v>
      </c>
      <c r="L561" s="2">
        <f t="shared" si="329"/>
        <v>2</v>
      </c>
      <c r="M561" s="2">
        <v>10</v>
      </c>
      <c r="N561" s="2">
        <f t="shared" si="330"/>
        <v>120.96</v>
      </c>
      <c r="O561" s="2">
        <f t="shared" si="331"/>
        <v>12.1</v>
      </c>
      <c r="P561" s="2">
        <f t="shared" si="332"/>
        <v>1493.33</v>
      </c>
      <c r="Q561" s="2">
        <f t="shared" si="333"/>
        <v>149.33000000000001</v>
      </c>
      <c r="R561" s="2">
        <f t="shared" si="334"/>
        <v>24.19</v>
      </c>
      <c r="S561" s="2">
        <f t="shared" si="335"/>
        <v>2.42</v>
      </c>
      <c r="T561" s="2">
        <v>0</v>
      </c>
      <c r="U561" s="2">
        <v>0</v>
      </c>
      <c r="V561" s="2">
        <v>0</v>
      </c>
      <c r="W561" s="2">
        <v>0</v>
      </c>
      <c r="X561" s="2">
        <v>0</v>
      </c>
      <c r="Y561" s="25">
        <v>122051</v>
      </c>
      <c r="Z561" s="26" t="s">
        <v>710</v>
      </c>
      <c r="AA561" s="4">
        <v>1</v>
      </c>
      <c r="AB561" s="4">
        <v>0</v>
      </c>
      <c r="AC561" s="4"/>
      <c r="AD561" s="4">
        <f t="shared" si="346"/>
        <v>3825.9879309399998</v>
      </c>
      <c r="AF561" s="1" t="str">
        <f t="shared" si="347"/>
        <v>5</v>
      </c>
      <c r="AG561">
        <v>4</v>
      </c>
      <c r="AH561">
        <f t="shared" si="336"/>
        <v>120.96</v>
      </c>
      <c r="AI561">
        <f t="shared" si="337"/>
        <v>12.096</v>
      </c>
      <c r="AJ561">
        <f t="shared" si="338"/>
        <v>1493.3333333333333</v>
      </c>
      <c r="AK561">
        <f t="shared" si="339"/>
        <v>149.33333333333334</v>
      </c>
      <c r="AL561">
        <f t="shared" si="340"/>
        <v>24.192</v>
      </c>
      <c r="AM561">
        <f t="shared" si="341"/>
        <v>2.4192</v>
      </c>
      <c r="AN561">
        <f t="shared" si="342"/>
        <v>1.8</v>
      </c>
      <c r="AO561">
        <f t="shared" si="343"/>
        <v>2</v>
      </c>
      <c r="AP561">
        <f t="shared" si="344"/>
        <v>3</v>
      </c>
      <c r="AQ561">
        <v>205</v>
      </c>
      <c r="AR561">
        <v>1</v>
      </c>
    </row>
    <row r="562" spans="1:44" x14ac:dyDescent="0.15">
      <c r="A562">
        <f t="shared" si="345"/>
        <v>1405042</v>
      </c>
      <c r="B562" s="6" t="s">
        <v>250</v>
      </c>
      <c r="C562">
        <v>4</v>
      </c>
      <c r="D562">
        <v>4</v>
      </c>
      <c r="E562">
        <v>2</v>
      </c>
      <c r="F562" s="22" t="s">
        <v>736</v>
      </c>
      <c r="G562" s="22" t="s">
        <v>737</v>
      </c>
      <c r="H562">
        <v>0</v>
      </c>
      <c r="I562" s="2" t="s">
        <v>106</v>
      </c>
      <c r="J562" s="2">
        <f t="shared" si="327"/>
        <v>6</v>
      </c>
      <c r="K562" s="2">
        <f t="shared" si="328"/>
        <v>1.5</v>
      </c>
      <c r="L562" s="2">
        <f t="shared" si="329"/>
        <v>1.5</v>
      </c>
      <c r="M562" s="2">
        <v>10</v>
      </c>
      <c r="N562" s="2">
        <f t="shared" si="330"/>
        <v>140</v>
      </c>
      <c r="O562" s="2">
        <f t="shared" si="331"/>
        <v>14</v>
      </c>
      <c r="P562" s="2">
        <f t="shared" si="332"/>
        <v>1075.2</v>
      </c>
      <c r="Q562" s="2">
        <f t="shared" si="333"/>
        <v>107.52</v>
      </c>
      <c r="R562" s="2">
        <f t="shared" si="334"/>
        <v>14</v>
      </c>
      <c r="S562" s="2">
        <f t="shared" si="335"/>
        <v>1.4</v>
      </c>
      <c r="T562" s="2">
        <v>0</v>
      </c>
      <c r="U562" s="2">
        <v>0</v>
      </c>
      <c r="V562" s="2">
        <v>0</v>
      </c>
      <c r="W562" s="2">
        <v>0</v>
      </c>
      <c r="X562" s="2">
        <v>0</v>
      </c>
      <c r="Y562" s="25">
        <v>124051</v>
      </c>
      <c r="Z562" s="26" t="s">
        <v>710</v>
      </c>
      <c r="AA562" s="4">
        <v>1</v>
      </c>
      <c r="AB562" s="4">
        <v>0</v>
      </c>
      <c r="AC562" s="4"/>
      <c r="AD562" s="4">
        <f t="shared" si="346"/>
        <v>3824.9164799999999</v>
      </c>
      <c r="AF562" s="1" t="str">
        <f t="shared" si="347"/>
        <v>5</v>
      </c>
      <c r="AG562">
        <v>4</v>
      </c>
      <c r="AH562">
        <f t="shared" si="336"/>
        <v>140</v>
      </c>
      <c r="AI562">
        <f t="shared" si="337"/>
        <v>14</v>
      </c>
      <c r="AJ562">
        <f t="shared" si="338"/>
        <v>1075.1999999999998</v>
      </c>
      <c r="AK562">
        <f t="shared" si="339"/>
        <v>107.51999999999998</v>
      </c>
      <c r="AL562">
        <f t="shared" si="340"/>
        <v>14</v>
      </c>
      <c r="AM562">
        <f t="shared" si="341"/>
        <v>1.4000000000000001</v>
      </c>
      <c r="AN562">
        <f t="shared" si="342"/>
        <v>1.5</v>
      </c>
      <c r="AO562">
        <f t="shared" si="343"/>
        <v>1.5</v>
      </c>
      <c r="AP562">
        <f t="shared" si="344"/>
        <v>6</v>
      </c>
      <c r="AQ562">
        <v>405</v>
      </c>
      <c r="AR562">
        <v>1</v>
      </c>
    </row>
    <row r="563" spans="1:44" x14ac:dyDescent="0.15">
      <c r="A563">
        <f t="shared" si="345"/>
        <v>1303042</v>
      </c>
      <c r="B563" s="6" t="s">
        <v>253</v>
      </c>
      <c r="C563">
        <v>4</v>
      </c>
      <c r="D563">
        <v>3</v>
      </c>
      <c r="E563">
        <v>2</v>
      </c>
      <c r="F563" s="22" t="s">
        <v>730</v>
      </c>
      <c r="G563" s="22" t="s">
        <v>731</v>
      </c>
      <c r="H563" s="2">
        <v>0</v>
      </c>
      <c r="I563" s="2">
        <v>0</v>
      </c>
      <c r="J563" s="2">
        <f t="shared" si="327"/>
        <v>3</v>
      </c>
      <c r="K563" s="2">
        <f t="shared" si="328"/>
        <v>1.3</v>
      </c>
      <c r="L563" s="2">
        <f t="shared" si="329"/>
        <v>1.4000000000000001</v>
      </c>
      <c r="M563" s="2">
        <v>10</v>
      </c>
      <c r="N563" s="2">
        <f t="shared" si="330"/>
        <v>106.77</v>
      </c>
      <c r="O563" s="2">
        <f t="shared" si="331"/>
        <v>10.68</v>
      </c>
      <c r="P563" s="2">
        <f t="shared" si="332"/>
        <v>1221.82</v>
      </c>
      <c r="Q563" s="2">
        <f t="shared" si="333"/>
        <v>122.18</v>
      </c>
      <c r="R563" s="2">
        <f t="shared" si="334"/>
        <v>13.35</v>
      </c>
      <c r="S563" s="2">
        <f t="shared" si="335"/>
        <v>1.33</v>
      </c>
      <c r="T563" s="2">
        <v>0</v>
      </c>
      <c r="U563" s="2">
        <v>0</v>
      </c>
      <c r="V563" s="2">
        <v>0</v>
      </c>
      <c r="W563" s="2">
        <v>0</v>
      </c>
      <c r="X563" s="2">
        <v>0</v>
      </c>
      <c r="Y563" s="25">
        <v>133031</v>
      </c>
      <c r="Z563" s="26" t="s">
        <v>710</v>
      </c>
      <c r="AA563" s="4">
        <v>1</v>
      </c>
      <c r="AB563" s="4">
        <v>0</v>
      </c>
      <c r="AC563" s="4"/>
      <c r="AD563" s="4">
        <f t="shared" si="346"/>
        <v>3825.7228173392305</v>
      </c>
      <c r="AF563" s="1" t="str">
        <f t="shared" si="347"/>
        <v>3</v>
      </c>
      <c r="AG563">
        <v>4</v>
      </c>
      <c r="AH563">
        <f t="shared" si="336"/>
        <v>106.77333333333334</v>
      </c>
      <c r="AI563">
        <f t="shared" si="337"/>
        <v>10.677333333333335</v>
      </c>
      <c r="AJ563">
        <f t="shared" si="338"/>
        <v>1221.8181818181818</v>
      </c>
      <c r="AK563">
        <f t="shared" si="339"/>
        <v>122.18181818181819</v>
      </c>
      <c r="AL563">
        <f t="shared" si="340"/>
        <v>13.346666666666668</v>
      </c>
      <c r="AM563">
        <f t="shared" si="341"/>
        <v>1.3346666666666669</v>
      </c>
      <c r="AN563">
        <f t="shared" si="342"/>
        <v>1.3</v>
      </c>
      <c r="AO563">
        <f t="shared" si="343"/>
        <v>1.4</v>
      </c>
      <c r="AP563">
        <f t="shared" si="344"/>
        <v>3</v>
      </c>
      <c r="AQ563">
        <v>303</v>
      </c>
      <c r="AR563">
        <v>1</v>
      </c>
    </row>
    <row r="564" spans="1:44" x14ac:dyDescent="0.15">
      <c r="A564">
        <f t="shared" si="345"/>
        <v>1504042</v>
      </c>
      <c r="B564" s="6" t="s">
        <v>256</v>
      </c>
      <c r="C564">
        <v>4</v>
      </c>
      <c r="D564">
        <v>5</v>
      </c>
      <c r="E564">
        <v>2</v>
      </c>
      <c r="F564" s="22" t="s">
        <v>732</v>
      </c>
      <c r="G564" s="22" t="s">
        <v>733</v>
      </c>
      <c r="H564">
        <v>0</v>
      </c>
      <c r="I564" s="2">
        <v>0</v>
      </c>
      <c r="J564" s="2">
        <f t="shared" si="327"/>
        <v>3</v>
      </c>
      <c r="K564" s="2">
        <f t="shared" si="328"/>
        <v>1.8</v>
      </c>
      <c r="L564" s="2">
        <f t="shared" si="329"/>
        <v>1.5</v>
      </c>
      <c r="M564" s="2">
        <v>10</v>
      </c>
      <c r="N564" s="2">
        <f t="shared" si="330"/>
        <v>147.84</v>
      </c>
      <c r="O564" s="2">
        <f t="shared" si="331"/>
        <v>14.78</v>
      </c>
      <c r="P564" s="2">
        <f t="shared" si="332"/>
        <v>1221.82</v>
      </c>
      <c r="Q564" s="2">
        <f t="shared" si="333"/>
        <v>122.18</v>
      </c>
      <c r="R564" s="2">
        <f t="shared" si="334"/>
        <v>24.64</v>
      </c>
      <c r="S564" s="2">
        <f t="shared" si="335"/>
        <v>2.46</v>
      </c>
      <c r="T564" s="2">
        <v>0</v>
      </c>
      <c r="U564" s="2">
        <v>0</v>
      </c>
      <c r="V564" s="2">
        <v>0</v>
      </c>
      <c r="W564" s="2">
        <v>0</v>
      </c>
      <c r="X564" s="2">
        <v>0</v>
      </c>
      <c r="Y564" s="25">
        <v>135041</v>
      </c>
      <c r="Z564" s="26" t="s">
        <v>710</v>
      </c>
      <c r="AA564" s="4">
        <v>1</v>
      </c>
      <c r="AB564" s="4">
        <v>0.5</v>
      </c>
      <c r="AC564" s="4"/>
      <c r="AD564" s="4">
        <f t="shared" si="346"/>
        <v>3823.9244660399991</v>
      </c>
      <c r="AF564" s="1" t="str">
        <f t="shared" si="347"/>
        <v>4</v>
      </c>
      <c r="AG564">
        <v>4</v>
      </c>
      <c r="AH564">
        <f t="shared" si="336"/>
        <v>147.84</v>
      </c>
      <c r="AI564">
        <f t="shared" si="337"/>
        <v>14.784000000000001</v>
      </c>
      <c r="AJ564">
        <f t="shared" si="338"/>
        <v>1221.8181818181818</v>
      </c>
      <c r="AK564">
        <f t="shared" si="339"/>
        <v>122.18181818181819</v>
      </c>
      <c r="AL564">
        <f t="shared" si="340"/>
        <v>24.64</v>
      </c>
      <c r="AM564">
        <f t="shared" si="341"/>
        <v>2.4640000000000004</v>
      </c>
      <c r="AN564">
        <f t="shared" si="342"/>
        <v>1.8</v>
      </c>
      <c r="AO564">
        <f t="shared" si="343"/>
        <v>1.5</v>
      </c>
      <c r="AP564">
        <f t="shared" si="344"/>
        <v>3</v>
      </c>
      <c r="AQ564">
        <v>504</v>
      </c>
      <c r="AR564">
        <v>1</v>
      </c>
    </row>
    <row r="565" spans="1:44" x14ac:dyDescent="0.15">
      <c r="A565">
        <f t="shared" si="345"/>
        <v>1206042</v>
      </c>
      <c r="B565" s="21" t="s">
        <v>259</v>
      </c>
      <c r="C565">
        <v>4</v>
      </c>
      <c r="D565">
        <v>2</v>
      </c>
      <c r="E565">
        <v>2</v>
      </c>
      <c r="F565" s="6" t="s">
        <v>260</v>
      </c>
      <c r="G565" s="6" t="s">
        <v>261</v>
      </c>
      <c r="H565" s="2">
        <v>0</v>
      </c>
      <c r="I565" s="2">
        <v>0</v>
      </c>
      <c r="J565" s="2">
        <f t="shared" si="327"/>
        <v>3</v>
      </c>
      <c r="K565" s="2">
        <f t="shared" si="328"/>
        <v>1.6</v>
      </c>
      <c r="L565" s="2">
        <f t="shared" si="329"/>
        <v>2</v>
      </c>
      <c r="M565" s="2">
        <v>10</v>
      </c>
      <c r="N565" s="2">
        <f t="shared" si="330"/>
        <v>107.52</v>
      </c>
      <c r="O565" s="2">
        <f t="shared" si="331"/>
        <v>10.75</v>
      </c>
      <c r="P565" s="2">
        <f t="shared" si="332"/>
        <v>1493.33</v>
      </c>
      <c r="Q565" s="2">
        <f t="shared" si="333"/>
        <v>149.33000000000001</v>
      </c>
      <c r="R565" s="2">
        <f t="shared" si="334"/>
        <v>21.5</v>
      </c>
      <c r="S565" s="2">
        <f t="shared" si="335"/>
        <v>2.15</v>
      </c>
      <c r="T565" s="2">
        <v>0</v>
      </c>
      <c r="U565" s="2">
        <v>0</v>
      </c>
      <c r="V565" s="2">
        <v>0</v>
      </c>
      <c r="W565" s="2">
        <v>0</v>
      </c>
      <c r="X565" s="2">
        <v>0</v>
      </c>
      <c r="Y565" s="25">
        <v>212061</v>
      </c>
      <c r="Z565" s="26" t="s">
        <v>710</v>
      </c>
      <c r="AA565" s="4">
        <v>1</v>
      </c>
      <c r="AB565" s="4">
        <v>0</v>
      </c>
      <c r="AC565" s="4"/>
      <c r="AD565" s="4">
        <f t="shared" si="346"/>
        <v>3824.1913010962498</v>
      </c>
      <c r="AF565" s="1" t="str">
        <f t="shared" si="347"/>
        <v>6</v>
      </c>
      <c r="AG565">
        <v>4</v>
      </c>
      <c r="AH565">
        <f t="shared" si="336"/>
        <v>107.52000000000001</v>
      </c>
      <c r="AI565">
        <f t="shared" si="337"/>
        <v>10.752000000000002</v>
      </c>
      <c r="AJ565">
        <f t="shared" si="338"/>
        <v>1493.3333333333333</v>
      </c>
      <c r="AK565">
        <f t="shared" si="339"/>
        <v>149.33333333333334</v>
      </c>
      <c r="AL565">
        <f t="shared" si="340"/>
        <v>21.504000000000001</v>
      </c>
      <c r="AM565">
        <f t="shared" si="341"/>
        <v>2.1504000000000003</v>
      </c>
      <c r="AN565">
        <f t="shared" si="342"/>
        <v>1.6</v>
      </c>
      <c r="AO565">
        <f t="shared" si="343"/>
        <v>2</v>
      </c>
      <c r="AP565">
        <f t="shared" si="344"/>
        <v>3</v>
      </c>
      <c r="AQ565">
        <v>206</v>
      </c>
      <c r="AR565">
        <v>1</v>
      </c>
    </row>
    <row r="566" spans="1:44" x14ac:dyDescent="0.15">
      <c r="A566">
        <f t="shared" si="345"/>
        <v>1406042</v>
      </c>
      <c r="B566" s="21" t="s">
        <v>262</v>
      </c>
      <c r="C566">
        <v>4</v>
      </c>
      <c r="D566">
        <v>4</v>
      </c>
      <c r="E566">
        <v>2</v>
      </c>
      <c r="F566" s="6" t="s">
        <v>263</v>
      </c>
      <c r="G566" s="6" t="s">
        <v>264</v>
      </c>
      <c r="H566" s="2">
        <v>0</v>
      </c>
      <c r="I566" s="2" t="s">
        <v>106</v>
      </c>
      <c r="J566" s="2">
        <f t="shared" si="327"/>
        <v>6</v>
      </c>
      <c r="K566" s="2">
        <f t="shared" si="328"/>
        <v>1.4000000000000001</v>
      </c>
      <c r="L566" s="2">
        <f t="shared" si="329"/>
        <v>1.2</v>
      </c>
      <c r="M566" s="2">
        <v>10</v>
      </c>
      <c r="N566" s="2">
        <f t="shared" si="330"/>
        <v>135.88999999999999</v>
      </c>
      <c r="O566" s="2">
        <f t="shared" si="331"/>
        <v>13.59</v>
      </c>
      <c r="P566" s="2">
        <f t="shared" si="332"/>
        <v>1033.8499999999999</v>
      </c>
      <c r="Q566" s="2">
        <f t="shared" si="333"/>
        <v>103.38</v>
      </c>
      <c r="R566" s="2">
        <f t="shared" si="334"/>
        <v>13.59</v>
      </c>
      <c r="S566" s="2">
        <f t="shared" si="335"/>
        <v>1.36</v>
      </c>
      <c r="T566" s="2">
        <v>0</v>
      </c>
      <c r="U566" s="2">
        <v>0</v>
      </c>
      <c r="V566" s="2">
        <v>0</v>
      </c>
      <c r="W566" s="2">
        <v>0</v>
      </c>
      <c r="X566" s="2">
        <v>0</v>
      </c>
      <c r="Y566" s="25">
        <v>214061</v>
      </c>
      <c r="Z566" s="26" t="s">
        <v>710</v>
      </c>
      <c r="AA566" s="4">
        <v>1</v>
      </c>
      <c r="AB566" s="4">
        <v>0</v>
      </c>
      <c r="AC566" s="4"/>
      <c r="AD566" s="4">
        <f t="shared" si="346"/>
        <v>3824.9245904624991</v>
      </c>
      <c r="AF566" s="1" t="str">
        <f t="shared" si="347"/>
        <v>6</v>
      </c>
      <c r="AG566">
        <v>4</v>
      </c>
      <c r="AH566">
        <f t="shared" si="336"/>
        <v>135.89333333333329</v>
      </c>
      <c r="AI566">
        <f t="shared" si="337"/>
        <v>13.589333333333329</v>
      </c>
      <c r="AJ566">
        <f t="shared" si="338"/>
        <v>1033.8461538461536</v>
      </c>
      <c r="AK566">
        <f t="shared" si="339"/>
        <v>103.38461538461536</v>
      </c>
      <c r="AL566">
        <f t="shared" si="340"/>
        <v>13.589333333333329</v>
      </c>
      <c r="AM566">
        <f t="shared" si="341"/>
        <v>1.3589333333333329</v>
      </c>
      <c r="AN566">
        <f t="shared" si="342"/>
        <v>1.4</v>
      </c>
      <c r="AO566">
        <f t="shared" si="343"/>
        <v>1.2</v>
      </c>
      <c r="AP566">
        <f t="shared" si="344"/>
        <v>6</v>
      </c>
      <c r="AQ566">
        <v>406</v>
      </c>
      <c r="AR566">
        <v>1</v>
      </c>
    </row>
    <row r="567" spans="1:44" x14ac:dyDescent="0.15">
      <c r="A567">
        <f t="shared" si="345"/>
        <v>1204042</v>
      </c>
      <c r="B567" s="21" t="s">
        <v>265</v>
      </c>
      <c r="C567">
        <v>4</v>
      </c>
      <c r="D567">
        <v>2</v>
      </c>
      <c r="E567">
        <v>2</v>
      </c>
      <c r="F567" s="22" t="s">
        <v>738</v>
      </c>
      <c r="G567" s="22" t="s">
        <v>739</v>
      </c>
      <c r="H567" s="2">
        <v>0</v>
      </c>
      <c r="I567" s="2">
        <v>0</v>
      </c>
      <c r="J567" s="2">
        <f t="shared" si="327"/>
        <v>3</v>
      </c>
      <c r="K567" s="2">
        <f t="shared" si="328"/>
        <v>1.4000000000000001</v>
      </c>
      <c r="L567" s="2">
        <f t="shared" si="329"/>
        <v>1.2</v>
      </c>
      <c r="M567" s="2">
        <v>10</v>
      </c>
      <c r="N567" s="2">
        <f t="shared" si="330"/>
        <v>94.08</v>
      </c>
      <c r="O567" s="2">
        <f t="shared" si="331"/>
        <v>9.41</v>
      </c>
      <c r="P567" s="2">
        <f t="shared" si="332"/>
        <v>1493.33</v>
      </c>
      <c r="Q567" s="2">
        <f t="shared" si="333"/>
        <v>149.33000000000001</v>
      </c>
      <c r="R567" s="2">
        <f t="shared" si="334"/>
        <v>18.82</v>
      </c>
      <c r="S567" s="2">
        <f t="shared" si="335"/>
        <v>1.88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5">
        <v>222041</v>
      </c>
      <c r="Z567" s="26" t="s">
        <v>710</v>
      </c>
      <c r="AA567" s="4">
        <v>1</v>
      </c>
      <c r="AB567" s="4">
        <v>0</v>
      </c>
      <c r="AC567" s="4"/>
      <c r="AD567" s="4">
        <f t="shared" si="346"/>
        <v>3825.5772726899995</v>
      </c>
      <c r="AF567" s="1" t="str">
        <f t="shared" si="347"/>
        <v>4</v>
      </c>
      <c r="AG567">
        <v>4</v>
      </c>
      <c r="AH567">
        <f t="shared" si="336"/>
        <v>94.08</v>
      </c>
      <c r="AI567">
        <f t="shared" si="337"/>
        <v>9.4079999999999995</v>
      </c>
      <c r="AJ567">
        <f t="shared" si="338"/>
        <v>1493.3333333333333</v>
      </c>
      <c r="AK567">
        <f t="shared" si="339"/>
        <v>149.33333333333334</v>
      </c>
      <c r="AL567">
        <f t="shared" si="340"/>
        <v>18.815999999999999</v>
      </c>
      <c r="AM567">
        <f t="shared" si="341"/>
        <v>1.8815999999999999</v>
      </c>
      <c r="AN567">
        <f t="shared" si="342"/>
        <v>1.4</v>
      </c>
      <c r="AO567">
        <f t="shared" si="343"/>
        <v>1.2</v>
      </c>
      <c r="AP567">
        <f t="shared" si="344"/>
        <v>3</v>
      </c>
      <c r="AQ567">
        <v>204</v>
      </c>
      <c r="AR567">
        <v>1</v>
      </c>
    </row>
    <row r="568" spans="1:44" x14ac:dyDescent="0.15">
      <c r="A568">
        <f t="shared" si="345"/>
        <v>1404042</v>
      </c>
      <c r="B568" s="21" t="s">
        <v>268</v>
      </c>
      <c r="C568">
        <v>4</v>
      </c>
      <c r="D568">
        <v>4</v>
      </c>
      <c r="E568">
        <v>2</v>
      </c>
      <c r="F568" s="22" t="s">
        <v>740</v>
      </c>
      <c r="G568" s="22" t="s">
        <v>741</v>
      </c>
      <c r="H568" s="2">
        <v>0</v>
      </c>
      <c r="I568" s="2" t="s">
        <v>106</v>
      </c>
      <c r="J568" s="2">
        <f t="shared" si="327"/>
        <v>6</v>
      </c>
      <c r="K568" s="2">
        <f t="shared" si="328"/>
        <v>1.6</v>
      </c>
      <c r="L568" s="2">
        <f t="shared" si="329"/>
        <v>1.9000000000000001</v>
      </c>
      <c r="M568" s="2">
        <v>10</v>
      </c>
      <c r="N568" s="2">
        <f t="shared" si="330"/>
        <v>155.31</v>
      </c>
      <c r="O568" s="2">
        <f t="shared" si="331"/>
        <v>15.53</v>
      </c>
      <c r="P568" s="2">
        <f t="shared" si="332"/>
        <v>1033.8499999999999</v>
      </c>
      <c r="Q568" s="2">
        <f t="shared" si="333"/>
        <v>103.38</v>
      </c>
      <c r="R568" s="2">
        <f t="shared" si="334"/>
        <v>15.53</v>
      </c>
      <c r="S568" s="2">
        <f t="shared" si="335"/>
        <v>1.55</v>
      </c>
      <c r="T568" s="2">
        <v>0</v>
      </c>
      <c r="U568" s="2">
        <v>0</v>
      </c>
      <c r="V568" s="2">
        <v>0</v>
      </c>
      <c r="W568" s="2">
        <v>0</v>
      </c>
      <c r="X568" s="2">
        <v>0</v>
      </c>
      <c r="Y568" s="25">
        <v>224041</v>
      </c>
      <c r="Z568" s="26" t="s">
        <v>710</v>
      </c>
      <c r="AA568" s="4">
        <v>1</v>
      </c>
      <c r="AB568" s="4">
        <v>0</v>
      </c>
      <c r="AC568" s="4"/>
      <c r="AD568" s="4">
        <f t="shared" si="346"/>
        <v>3824.6207488453119</v>
      </c>
      <c r="AF568" s="1" t="str">
        <f t="shared" si="347"/>
        <v>4</v>
      </c>
      <c r="AG568">
        <v>4</v>
      </c>
      <c r="AH568">
        <f t="shared" si="336"/>
        <v>155.30666666666667</v>
      </c>
      <c r="AI568">
        <f t="shared" si="337"/>
        <v>15.530666666666669</v>
      </c>
      <c r="AJ568">
        <f t="shared" si="338"/>
        <v>1033.8461538461536</v>
      </c>
      <c r="AK568">
        <f t="shared" si="339"/>
        <v>103.38461538461536</v>
      </c>
      <c r="AL568">
        <f t="shared" si="340"/>
        <v>15.530666666666667</v>
      </c>
      <c r="AM568">
        <f t="shared" si="341"/>
        <v>1.5530666666666668</v>
      </c>
      <c r="AN568">
        <f t="shared" si="342"/>
        <v>1.6</v>
      </c>
      <c r="AO568">
        <f t="shared" si="343"/>
        <v>1.9</v>
      </c>
      <c r="AP568">
        <f t="shared" si="344"/>
        <v>6</v>
      </c>
      <c r="AQ568">
        <v>404</v>
      </c>
      <c r="AR568">
        <v>1</v>
      </c>
    </row>
    <row r="569" spans="1:44" x14ac:dyDescent="0.15">
      <c r="A569">
        <f t="shared" si="345"/>
        <v>1503042</v>
      </c>
      <c r="B569" s="21" t="s">
        <v>271</v>
      </c>
      <c r="C569">
        <v>4</v>
      </c>
      <c r="D569">
        <v>5</v>
      </c>
      <c r="E569">
        <v>2</v>
      </c>
      <c r="F569" s="22" t="s">
        <v>742</v>
      </c>
      <c r="G569" s="22" t="s">
        <v>745</v>
      </c>
      <c r="H569" s="2">
        <v>0</v>
      </c>
      <c r="I569" s="2">
        <v>0</v>
      </c>
      <c r="J569" s="2">
        <f t="shared" si="327"/>
        <v>3</v>
      </c>
      <c r="K569" s="2">
        <f t="shared" si="328"/>
        <v>1.6</v>
      </c>
      <c r="L569" s="2">
        <f t="shared" si="329"/>
        <v>1.5</v>
      </c>
      <c r="M569" s="2">
        <v>10</v>
      </c>
      <c r="N569" s="2">
        <f t="shared" si="330"/>
        <v>143.36000000000001</v>
      </c>
      <c r="O569" s="2">
        <f t="shared" si="331"/>
        <v>14.34</v>
      </c>
      <c r="P569" s="2">
        <f t="shared" si="332"/>
        <v>1120</v>
      </c>
      <c r="Q569" s="2">
        <f t="shared" si="333"/>
        <v>112</v>
      </c>
      <c r="R569" s="2">
        <f t="shared" si="334"/>
        <v>23.89</v>
      </c>
      <c r="S569" s="2">
        <f t="shared" si="335"/>
        <v>2.39</v>
      </c>
      <c r="T569" s="2">
        <v>0</v>
      </c>
      <c r="U569" s="2">
        <v>0</v>
      </c>
      <c r="V569" s="2">
        <v>0</v>
      </c>
      <c r="W569" s="2">
        <v>0</v>
      </c>
      <c r="X569" s="2">
        <v>0</v>
      </c>
      <c r="Y569" s="25">
        <v>235031</v>
      </c>
      <c r="Z569" s="26" t="s">
        <v>710</v>
      </c>
      <c r="AA569" s="4">
        <v>1</v>
      </c>
      <c r="AB569" s="4">
        <v>0</v>
      </c>
      <c r="AC569" s="4"/>
      <c r="AD569" s="4">
        <f t="shared" si="346"/>
        <v>3825.8866800000005</v>
      </c>
      <c r="AF569" s="1" t="str">
        <f t="shared" si="347"/>
        <v>3</v>
      </c>
      <c r="AG569">
        <v>4</v>
      </c>
      <c r="AH569">
        <f t="shared" si="336"/>
        <v>143.35999999999999</v>
      </c>
      <c r="AI569">
        <f t="shared" si="337"/>
        <v>14.335999999999999</v>
      </c>
      <c r="AJ569">
        <f t="shared" si="338"/>
        <v>1120</v>
      </c>
      <c r="AK569">
        <f t="shared" si="339"/>
        <v>112</v>
      </c>
      <c r="AL569">
        <f t="shared" si="340"/>
        <v>23.893333333333331</v>
      </c>
      <c r="AM569">
        <f t="shared" si="341"/>
        <v>2.3893333333333331</v>
      </c>
      <c r="AN569">
        <f t="shared" si="342"/>
        <v>1.6</v>
      </c>
      <c r="AO569">
        <f t="shared" si="343"/>
        <v>1.5</v>
      </c>
      <c r="AP569">
        <f t="shared" si="344"/>
        <v>3</v>
      </c>
      <c r="AQ569">
        <v>503</v>
      </c>
      <c r="AR569">
        <v>1</v>
      </c>
    </row>
    <row r="570" spans="1:44" x14ac:dyDescent="0.15">
      <c r="A570">
        <f t="shared" si="345"/>
        <v>1304042</v>
      </c>
      <c r="B570" s="21" t="s">
        <v>274</v>
      </c>
      <c r="C570">
        <v>4</v>
      </c>
      <c r="D570">
        <v>3</v>
      </c>
      <c r="E570">
        <v>2</v>
      </c>
      <c r="F570" s="22" t="s">
        <v>743</v>
      </c>
      <c r="G570" s="22" t="s">
        <v>744</v>
      </c>
      <c r="H570">
        <v>0</v>
      </c>
      <c r="I570" s="2">
        <v>0</v>
      </c>
      <c r="J570" s="2">
        <f t="shared" si="327"/>
        <v>3</v>
      </c>
      <c r="K570" s="2">
        <f t="shared" si="328"/>
        <v>1.4000000000000001</v>
      </c>
      <c r="L570" s="2">
        <f t="shared" si="329"/>
        <v>2</v>
      </c>
      <c r="M570" s="2">
        <v>10</v>
      </c>
      <c r="N570" s="2">
        <f t="shared" si="330"/>
        <v>120.21</v>
      </c>
      <c r="O570" s="2">
        <f t="shared" si="331"/>
        <v>12.02</v>
      </c>
      <c r="P570" s="2">
        <f t="shared" si="332"/>
        <v>1168.7</v>
      </c>
      <c r="Q570" s="2">
        <f t="shared" si="333"/>
        <v>116.87</v>
      </c>
      <c r="R570" s="2">
        <f t="shared" si="334"/>
        <v>15.03</v>
      </c>
      <c r="S570" s="2">
        <f t="shared" si="335"/>
        <v>1.5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25">
        <v>233041</v>
      </c>
      <c r="Z570" s="26" t="s">
        <v>710</v>
      </c>
      <c r="AA570" s="4">
        <v>1</v>
      </c>
      <c r="AB570" s="4">
        <v>0</v>
      </c>
      <c r="AC570" s="4"/>
      <c r="AD570" s="4">
        <f t="shared" si="346"/>
        <v>3824.5353968250001</v>
      </c>
      <c r="AF570" s="1" t="str">
        <f t="shared" si="347"/>
        <v>4</v>
      </c>
      <c r="AG570">
        <v>4</v>
      </c>
      <c r="AH570">
        <f t="shared" si="336"/>
        <v>120.21333333333331</v>
      </c>
      <c r="AI570">
        <f t="shared" si="337"/>
        <v>12.021333333333331</v>
      </c>
      <c r="AJ570">
        <f t="shared" si="338"/>
        <v>1168.695652173913</v>
      </c>
      <c r="AK570">
        <f t="shared" si="339"/>
        <v>116.86956521739131</v>
      </c>
      <c r="AL570">
        <f t="shared" si="340"/>
        <v>15.026666666666664</v>
      </c>
      <c r="AM570">
        <f t="shared" si="341"/>
        <v>1.5026666666666664</v>
      </c>
      <c r="AN570">
        <f t="shared" si="342"/>
        <v>1.4</v>
      </c>
      <c r="AO570">
        <f t="shared" si="343"/>
        <v>2</v>
      </c>
      <c r="AP570">
        <f t="shared" si="344"/>
        <v>3</v>
      </c>
      <c r="AQ570">
        <v>304</v>
      </c>
      <c r="AR570">
        <v>1</v>
      </c>
    </row>
    <row r="571" spans="1:44" x14ac:dyDescent="0.15">
      <c r="A571">
        <f t="shared" si="345"/>
        <v>1203043</v>
      </c>
      <c r="B571" s="6" t="s">
        <v>241</v>
      </c>
      <c r="C571">
        <v>4</v>
      </c>
      <c r="D571">
        <v>2</v>
      </c>
      <c r="E571">
        <v>3</v>
      </c>
      <c r="F571" s="6" t="s">
        <v>242</v>
      </c>
      <c r="G571" s="20" t="s">
        <v>243</v>
      </c>
      <c r="H571">
        <v>0</v>
      </c>
      <c r="I571" s="2">
        <v>0</v>
      </c>
      <c r="J571" s="2">
        <f t="shared" si="327"/>
        <v>3</v>
      </c>
      <c r="K571" s="2">
        <f t="shared" si="328"/>
        <v>1.3</v>
      </c>
      <c r="L571" s="2">
        <f t="shared" si="329"/>
        <v>1.9000000000000001</v>
      </c>
      <c r="M571" s="2">
        <v>10</v>
      </c>
      <c r="N571" s="2">
        <f t="shared" si="330"/>
        <v>87.36</v>
      </c>
      <c r="O571" s="2">
        <f t="shared" si="331"/>
        <v>8.74</v>
      </c>
      <c r="P571" s="2">
        <f t="shared" si="332"/>
        <v>1493.33</v>
      </c>
      <c r="Q571" s="2">
        <f t="shared" si="333"/>
        <v>149.33000000000001</v>
      </c>
      <c r="R571" s="2">
        <f t="shared" si="334"/>
        <v>17.47</v>
      </c>
      <c r="S571" s="2">
        <f t="shared" si="335"/>
        <v>1.75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25">
        <v>112031</v>
      </c>
      <c r="Z571" s="26" t="s">
        <v>710</v>
      </c>
      <c r="AA571" s="4">
        <v>1</v>
      </c>
      <c r="AB571" s="4">
        <v>0</v>
      </c>
      <c r="AC571" s="4"/>
      <c r="AD571" s="4">
        <f t="shared" si="346"/>
        <v>3826.4301782861539</v>
      </c>
      <c r="AF571" s="1" t="str">
        <f t="shared" si="347"/>
        <v>3</v>
      </c>
      <c r="AG571">
        <v>4</v>
      </c>
      <c r="AH571">
        <f t="shared" si="336"/>
        <v>87.360000000000014</v>
      </c>
      <c r="AI571">
        <f t="shared" si="337"/>
        <v>8.7360000000000024</v>
      </c>
      <c r="AJ571">
        <f t="shared" si="338"/>
        <v>1493.3333333333333</v>
      </c>
      <c r="AK571">
        <f t="shared" si="339"/>
        <v>149.33333333333334</v>
      </c>
      <c r="AL571">
        <f t="shared" si="340"/>
        <v>17.472000000000001</v>
      </c>
      <c r="AM571">
        <f t="shared" si="341"/>
        <v>1.7472000000000003</v>
      </c>
      <c r="AN571">
        <f t="shared" si="342"/>
        <v>1.3</v>
      </c>
      <c r="AO571">
        <f t="shared" si="343"/>
        <v>1.9</v>
      </c>
      <c r="AP571">
        <f t="shared" si="344"/>
        <v>3</v>
      </c>
      <c r="AQ571">
        <v>203</v>
      </c>
      <c r="AR571">
        <v>1</v>
      </c>
    </row>
    <row r="572" spans="1:44" x14ac:dyDescent="0.15">
      <c r="A572">
        <f t="shared" si="345"/>
        <v>1403043</v>
      </c>
      <c r="B572" s="6" t="s">
        <v>244</v>
      </c>
      <c r="C572">
        <v>4</v>
      </c>
      <c r="D572">
        <v>4</v>
      </c>
      <c r="E572">
        <v>3</v>
      </c>
      <c r="F572" s="6" t="s">
        <v>245</v>
      </c>
      <c r="G572" s="20" t="s">
        <v>246</v>
      </c>
      <c r="H572" s="2">
        <v>0</v>
      </c>
      <c r="I572" s="2" t="s">
        <v>103</v>
      </c>
      <c r="J572" s="2">
        <f t="shared" si="327"/>
        <v>6</v>
      </c>
      <c r="K572" s="2">
        <f t="shared" si="328"/>
        <v>1.3</v>
      </c>
      <c r="L572" s="2">
        <f t="shared" si="329"/>
        <v>1.9000000000000001</v>
      </c>
      <c r="M572" s="2">
        <v>10</v>
      </c>
      <c r="N572" s="2">
        <f t="shared" si="330"/>
        <v>116.48</v>
      </c>
      <c r="O572" s="2">
        <f t="shared" si="331"/>
        <v>11.65</v>
      </c>
      <c r="P572" s="2">
        <f t="shared" si="332"/>
        <v>1120</v>
      </c>
      <c r="Q572" s="2">
        <f t="shared" si="333"/>
        <v>112</v>
      </c>
      <c r="R572" s="2">
        <f t="shared" si="334"/>
        <v>11.65</v>
      </c>
      <c r="S572" s="2">
        <f t="shared" si="335"/>
        <v>1.1599999999999999</v>
      </c>
      <c r="T572" s="2">
        <v>0</v>
      </c>
      <c r="U572" s="2">
        <v>0</v>
      </c>
      <c r="V572" s="2">
        <v>0</v>
      </c>
      <c r="W572" s="2">
        <v>0</v>
      </c>
      <c r="X572" s="2">
        <v>0</v>
      </c>
      <c r="Y572" s="25">
        <v>114031</v>
      </c>
      <c r="Z572" s="26" t="s">
        <v>710</v>
      </c>
      <c r="AA572" s="4">
        <v>1</v>
      </c>
      <c r="AB572" s="4">
        <v>0</v>
      </c>
      <c r="AC572" s="4"/>
      <c r="AD572" s="4">
        <f t="shared" si="346"/>
        <v>3825.5135261538458</v>
      </c>
      <c r="AF572" s="1" t="str">
        <f t="shared" si="347"/>
        <v>3</v>
      </c>
      <c r="AG572">
        <v>4</v>
      </c>
      <c r="AH572">
        <f t="shared" si="336"/>
        <v>116.47999999999999</v>
      </c>
      <c r="AI572">
        <f t="shared" si="337"/>
        <v>11.648</v>
      </c>
      <c r="AJ572">
        <f t="shared" si="338"/>
        <v>1120</v>
      </c>
      <c r="AK572">
        <f t="shared" si="339"/>
        <v>112</v>
      </c>
      <c r="AL572">
        <f t="shared" si="340"/>
        <v>11.648</v>
      </c>
      <c r="AM572">
        <f t="shared" si="341"/>
        <v>1.1648000000000001</v>
      </c>
      <c r="AN572">
        <f t="shared" si="342"/>
        <v>1.3</v>
      </c>
      <c r="AO572">
        <f t="shared" si="343"/>
        <v>1.9</v>
      </c>
      <c r="AP572">
        <f t="shared" si="344"/>
        <v>6</v>
      </c>
      <c r="AQ572">
        <v>403</v>
      </c>
      <c r="AR572">
        <v>1</v>
      </c>
    </row>
    <row r="573" spans="1:44" x14ac:dyDescent="0.15">
      <c r="A573">
        <f t="shared" si="345"/>
        <v>1205043</v>
      </c>
      <c r="B573" s="6" t="s">
        <v>247</v>
      </c>
      <c r="C573">
        <v>4</v>
      </c>
      <c r="D573">
        <v>2</v>
      </c>
      <c r="E573">
        <v>3</v>
      </c>
      <c r="F573" s="22" t="s">
        <v>734</v>
      </c>
      <c r="G573" s="29" t="s">
        <v>735</v>
      </c>
      <c r="H573">
        <v>0</v>
      </c>
      <c r="I573" s="2">
        <v>0</v>
      </c>
      <c r="J573" s="2">
        <f t="shared" si="327"/>
        <v>3</v>
      </c>
      <c r="K573" s="2">
        <f t="shared" si="328"/>
        <v>1.8</v>
      </c>
      <c r="L573" s="2">
        <f t="shared" si="329"/>
        <v>2</v>
      </c>
      <c r="M573" s="2">
        <v>10</v>
      </c>
      <c r="N573" s="2">
        <f t="shared" si="330"/>
        <v>120.96</v>
      </c>
      <c r="O573" s="2">
        <f t="shared" si="331"/>
        <v>12.1</v>
      </c>
      <c r="P573" s="2">
        <f t="shared" si="332"/>
        <v>1493.33</v>
      </c>
      <c r="Q573" s="2">
        <f t="shared" si="333"/>
        <v>149.33000000000001</v>
      </c>
      <c r="R573" s="2">
        <f t="shared" si="334"/>
        <v>24.19</v>
      </c>
      <c r="S573" s="2">
        <f t="shared" si="335"/>
        <v>2.42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25">
        <v>122051</v>
      </c>
      <c r="Z573" s="26" t="s">
        <v>710</v>
      </c>
      <c r="AA573" s="4">
        <v>1</v>
      </c>
      <c r="AB573" s="4">
        <v>0</v>
      </c>
      <c r="AC573" s="4"/>
      <c r="AD573" s="4">
        <f t="shared" si="346"/>
        <v>3825.9879309399998</v>
      </c>
      <c r="AF573" s="1" t="str">
        <f t="shared" si="347"/>
        <v>5</v>
      </c>
      <c r="AG573">
        <v>4</v>
      </c>
      <c r="AH573">
        <f t="shared" si="336"/>
        <v>120.96</v>
      </c>
      <c r="AI573">
        <f t="shared" si="337"/>
        <v>12.096</v>
      </c>
      <c r="AJ573">
        <f t="shared" si="338"/>
        <v>1493.3333333333333</v>
      </c>
      <c r="AK573">
        <f t="shared" si="339"/>
        <v>149.33333333333334</v>
      </c>
      <c r="AL573">
        <f t="shared" si="340"/>
        <v>24.192</v>
      </c>
      <c r="AM573">
        <f t="shared" si="341"/>
        <v>2.4192</v>
      </c>
      <c r="AN573">
        <f t="shared" si="342"/>
        <v>1.8</v>
      </c>
      <c r="AO573">
        <f t="shared" si="343"/>
        <v>2</v>
      </c>
      <c r="AP573">
        <f t="shared" si="344"/>
        <v>3</v>
      </c>
      <c r="AQ573">
        <v>205</v>
      </c>
      <c r="AR573">
        <v>1</v>
      </c>
    </row>
    <row r="574" spans="1:44" x14ac:dyDescent="0.15">
      <c r="A574">
        <f t="shared" si="345"/>
        <v>1405043</v>
      </c>
      <c r="B574" s="6" t="s">
        <v>250</v>
      </c>
      <c r="C574">
        <v>4</v>
      </c>
      <c r="D574">
        <v>4</v>
      </c>
      <c r="E574">
        <v>3</v>
      </c>
      <c r="F574" s="22" t="s">
        <v>736</v>
      </c>
      <c r="G574" s="22" t="s">
        <v>737</v>
      </c>
      <c r="H574">
        <v>0</v>
      </c>
      <c r="I574" s="2" t="s">
        <v>103</v>
      </c>
      <c r="J574" s="2">
        <f t="shared" si="327"/>
        <v>6</v>
      </c>
      <c r="K574" s="2">
        <f t="shared" si="328"/>
        <v>1.5</v>
      </c>
      <c r="L574" s="2">
        <f t="shared" si="329"/>
        <v>1.5</v>
      </c>
      <c r="M574" s="2">
        <v>10</v>
      </c>
      <c r="N574" s="2">
        <f t="shared" si="330"/>
        <v>140</v>
      </c>
      <c r="O574" s="2">
        <f t="shared" si="331"/>
        <v>14</v>
      </c>
      <c r="P574" s="2">
        <f t="shared" si="332"/>
        <v>1075.2</v>
      </c>
      <c r="Q574" s="2">
        <f t="shared" si="333"/>
        <v>107.52</v>
      </c>
      <c r="R574" s="2">
        <f t="shared" si="334"/>
        <v>14</v>
      </c>
      <c r="S574" s="2">
        <f t="shared" si="335"/>
        <v>1.4</v>
      </c>
      <c r="T574" s="2">
        <v>0</v>
      </c>
      <c r="U574" s="2">
        <v>0</v>
      </c>
      <c r="V574" s="2">
        <v>0</v>
      </c>
      <c r="W574" s="2">
        <v>0</v>
      </c>
      <c r="X574" s="2">
        <v>0</v>
      </c>
      <c r="Y574" s="25">
        <v>124051</v>
      </c>
      <c r="Z574" s="26" t="s">
        <v>710</v>
      </c>
      <c r="AA574" s="4">
        <v>1</v>
      </c>
      <c r="AB574" s="4">
        <v>0</v>
      </c>
      <c r="AC574" s="4"/>
      <c r="AD574" s="4">
        <f t="shared" si="346"/>
        <v>3824.9164799999999</v>
      </c>
      <c r="AF574" s="1" t="str">
        <f t="shared" si="347"/>
        <v>5</v>
      </c>
      <c r="AG574">
        <v>4</v>
      </c>
      <c r="AH574">
        <f t="shared" si="336"/>
        <v>140</v>
      </c>
      <c r="AI574">
        <f t="shared" si="337"/>
        <v>14</v>
      </c>
      <c r="AJ574">
        <f t="shared" si="338"/>
        <v>1075.1999999999998</v>
      </c>
      <c r="AK574">
        <f t="shared" si="339"/>
        <v>107.51999999999998</v>
      </c>
      <c r="AL574">
        <f t="shared" si="340"/>
        <v>14</v>
      </c>
      <c r="AM574">
        <f t="shared" si="341"/>
        <v>1.4000000000000001</v>
      </c>
      <c r="AN574">
        <f t="shared" si="342"/>
        <v>1.5</v>
      </c>
      <c r="AO574">
        <f t="shared" si="343"/>
        <v>1.5</v>
      </c>
      <c r="AP574">
        <f t="shared" si="344"/>
        <v>6</v>
      </c>
      <c r="AQ574">
        <v>405</v>
      </c>
      <c r="AR574">
        <v>1</v>
      </c>
    </row>
    <row r="575" spans="1:44" x14ac:dyDescent="0.15">
      <c r="A575">
        <f t="shared" si="345"/>
        <v>1303043</v>
      </c>
      <c r="B575" s="6" t="s">
        <v>253</v>
      </c>
      <c r="C575">
        <v>4</v>
      </c>
      <c r="D575">
        <v>3</v>
      </c>
      <c r="E575">
        <v>3</v>
      </c>
      <c r="F575" s="22" t="s">
        <v>730</v>
      </c>
      <c r="G575" s="22" t="s">
        <v>731</v>
      </c>
      <c r="H575" s="2">
        <v>0</v>
      </c>
      <c r="I575" s="2">
        <v>0</v>
      </c>
      <c r="J575" s="2">
        <f t="shared" si="327"/>
        <v>3</v>
      </c>
      <c r="K575" s="2">
        <f t="shared" si="328"/>
        <v>1.3</v>
      </c>
      <c r="L575" s="2">
        <f t="shared" si="329"/>
        <v>1.4000000000000001</v>
      </c>
      <c r="M575" s="2">
        <v>10</v>
      </c>
      <c r="N575" s="2">
        <f t="shared" si="330"/>
        <v>106.77</v>
      </c>
      <c r="O575" s="2">
        <f t="shared" si="331"/>
        <v>10.68</v>
      </c>
      <c r="P575" s="2">
        <f t="shared" si="332"/>
        <v>1221.82</v>
      </c>
      <c r="Q575" s="2">
        <f t="shared" si="333"/>
        <v>122.18</v>
      </c>
      <c r="R575" s="2">
        <f t="shared" si="334"/>
        <v>13.35</v>
      </c>
      <c r="S575" s="2">
        <f t="shared" si="335"/>
        <v>1.33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25">
        <v>133031</v>
      </c>
      <c r="Z575" s="26" t="s">
        <v>710</v>
      </c>
      <c r="AA575" s="4">
        <v>1</v>
      </c>
      <c r="AB575" s="4">
        <v>0</v>
      </c>
      <c r="AC575" s="4"/>
      <c r="AD575" s="4">
        <f t="shared" si="346"/>
        <v>3825.7228173392305</v>
      </c>
      <c r="AF575" s="1" t="str">
        <f t="shared" si="347"/>
        <v>3</v>
      </c>
      <c r="AG575">
        <v>4</v>
      </c>
      <c r="AH575">
        <f t="shared" si="336"/>
        <v>106.77333333333334</v>
      </c>
      <c r="AI575">
        <f t="shared" si="337"/>
        <v>10.677333333333335</v>
      </c>
      <c r="AJ575">
        <f t="shared" si="338"/>
        <v>1221.8181818181818</v>
      </c>
      <c r="AK575">
        <f t="shared" si="339"/>
        <v>122.18181818181819</v>
      </c>
      <c r="AL575">
        <f t="shared" si="340"/>
        <v>13.346666666666668</v>
      </c>
      <c r="AM575">
        <f t="shared" si="341"/>
        <v>1.3346666666666669</v>
      </c>
      <c r="AN575">
        <f t="shared" si="342"/>
        <v>1.3</v>
      </c>
      <c r="AO575">
        <f t="shared" si="343"/>
        <v>1.4</v>
      </c>
      <c r="AP575">
        <f t="shared" si="344"/>
        <v>3</v>
      </c>
      <c r="AQ575">
        <v>303</v>
      </c>
      <c r="AR575">
        <v>1</v>
      </c>
    </row>
    <row r="576" spans="1:44" x14ac:dyDescent="0.15">
      <c r="A576">
        <f t="shared" si="345"/>
        <v>1504043</v>
      </c>
      <c r="B576" s="6" t="s">
        <v>256</v>
      </c>
      <c r="C576">
        <v>4</v>
      </c>
      <c r="D576">
        <v>5</v>
      </c>
      <c r="E576">
        <v>3</v>
      </c>
      <c r="F576" s="22" t="s">
        <v>732</v>
      </c>
      <c r="G576" s="22" t="s">
        <v>733</v>
      </c>
      <c r="H576">
        <v>0</v>
      </c>
      <c r="I576" s="2">
        <v>0</v>
      </c>
      <c r="J576" s="2">
        <f t="shared" si="327"/>
        <v>3</v>
      </c>
      <c r="K576" s="2">
        <f t="shared" si="328"/>
        <v>1.8</v>
      </c>
      <c r="L576" s="2">
        <f t="shared" si="329"/>
        <v>1.5</v>
      </c>
      <c r="M576" s="2">
        <v>10</v>
      </c>
      <c r="N576" s="2">
        <f t="shared" si="330"/>
        <v>147.84</v>
      </c>
      <c r="O576" s="2">
        <f t="shared" si="331"/>
        <v>14.78</v>
      </c>
      <c r="P576" s="2">
        <f t="shared" si="332"/>
        <v>1221.82</v>
      </c>
      <c r="Q576" s="2">
        <f t="shared" si="333"/>
        <v>122.18</v>
      </c>
      <c r="R576" s="2">
        <f t="shared" si="334"/>
        <v>24.64</v>
      </c>
      <c r="S576" s="2">
        <f t="shared" si="335"/>
        <v>2.46</v>
      </c>
      <c r="T576" s="2">
        <v>0</v>
      </c>
      <c r="U576" s="2">
        <v>0</v>
      </c>
      <c r="V576" s="2">
        <v>0</v>
      </c>
      <c r="W576" s="2">
        <v>0</v>
      </c>
      <c r="X576" s="2">
        <v>0</v>
      </c>
      <c r="Y576" s="25">
        <v>135041</v>
      </c>
      <c r="Z576" s="26" t="s">
        <v>710</v>
      </c>
      <c r="AA576" s="4">
        <v>1</v>
      </c>
      <c r="AB576" s="4">
        <v>0.5</v>
      </c>
      <c r="AC576" s="4"/>
      <c r="AD576" s="4">
        <f t="shared" si="346"/>
        <v>3823.9244660399991</v>
      </c>
      <c r="AF576" s="1" t="str">
        <f t="shared" si="347"/>
        <v>4</v>
      </c>
      <c r="AG576">
        <v>4</v>
      </c>
      <c r="AH576">
        <f t="shared" si="336"/>
        <v>147.84</v>
      </c>
      <c r="AI576">
        <f t="shared" si="337"/>
        <v>14.784000000000001</v>
      </c>
      <c r="AJ576">
        <f t="shared" si="338"/>
        <v>1221.8181818181818</v>
      </c>
      <c r="AK576">
        <f t="shared" si="339"/>
        <v>122.18181818181819</v>
      </c>
      <c r="AL576">
        <f t="shared" si="340"/>
        <v>24.64</v>
      </c>
      <c r="AM576">
        <f t="shared" si="341"/>
        <v>2.4640000000000004</v>
      </c>
      <c r="AN576">
        <f t="shared" si="342"/>
        <v>1.8</v>
      </c>
      <c r="AO576">
        <f t="shared" si="343"/>
        <v>1.5</v>
      </c>
      <c r="AP576">
        <f t="shared" si="344"/>
        <v>3</v>
      </c>
      <c r="AQ576">
        <v>504</v>
      </c>
      <c r="AR576">
        <v>1</v>
      </c>
    </row>
    <row r="577" spans="1:44" x14ac:dyDescent="0.15">
      <c r="A577">
        <f t="shared" si="345"/>
        <v>1206043</v>
      </c>
      <c r="B577" s="21" t="s">
        <v>259</v>
      </c>
      <c r="C577">
        <v>4</v>
      </c>
      <c r="D577">
        <v>2</v>
      </c>
      <c r="E577">
        <v>3</v>
      </c>
      <c r="F577" s="6" t="s">
        <v>260</v>
      </c>
      <c r="G577" s="6" t="s">
        <v>261</v>
      </c>
      <c r="H577" s="2">
        <v>0</v>
      </c>
      <c r="I577" s="2">
        <v>0</v>
      </c>
      <c r="J577" s="2">
        <f t="shared" si="327"/>
        <v>3</v>
      </c>
      <c r="K577" s="2">
        <f t="shared" si="328"/>
        <v>1.6</v>
      </c>
      <c r="L577" s="2">
        <f t="shared" si="329"/>
        <v>2</v>
      </c>
      <c r="M577" s="2">
        <v>10</v>
      </c>
      <c r="N577" s="2">
        <f t="shared" si="330"/>
        <v>107.52</v>
      </c>
      <c r="O577" s="2">
        <f t="shared" si="331"/>
        <v>10.75</v>
      </c>
      <c r="P577" s="2">
        <f t="shared" si="332"/>
        <v>1493.33</v>
      </c>
      <c r="Q577" s="2">
        <f t="shared" si="333"/>
        <v>149.33000000000001</v>
      </c>
      <c r="R577" s="2">
        <f t="shared" si="334"/>
        <v>21.5</v>
      </c>
      <c r="S577" s="2">
        <f t="shared" si="335"/>
        <v>2.15</v>
      </c>
      <c r="T577" s="2">
        <v>0</v>
      </c>
      <c r="U577" s="2">
        <v>0</v>
      </c>
      <c r="V577" s="2">
        <v>0</v>
      </c>
      <c r="W577" s="2">
        <v>0</v>
      </c>
      <c r="X577" s="2">
        <v>0</v>
      </c>
      <c r="Y577" s="25">
        <v>212061</v>
      </c>
      <c r="Z577" s="26" t="s">
        <v>710</v>
      </c>
      <c r="AA577" s="4">
        <v>1</v>
      </c>
      <c r="AB577" s="4">
        <v>0</v>
      </c>
      <c r="AC577" s="4"/>
      <c r="AD577" s="4">
        <f t="shared" si="346"/>
        <v>3824.1913010962498</v>
      </c>
      <c r="AF577" s="1" t="str">
        <f t="shared" si="347"/>
        <v>6</v>
      </c>
      <c r="AG577">
        <v>4</v>
      </c>
      <c r="AH577">
        <f t="shared" si="336"/>
        <v>107.52000000000001</v>
      </c>
      <c r="AI577">
        <f t="shared" si="337"/>
        <v>10.752000000000002</v>
      </c>
      <c r="AJ577">
        <f t="shared" si="338"/>
        <v>1493.3333333333333</v>
      </c>
      <c r="AK577">
        <f t="shared" si="339"/>
        <v>149.33333333333334</v>
      </c>
      <c r="AL577">
        <f t="shared" si="340"/>
        <v>21.504000000000001</v>
      </c>
      <c r="AM577">
        <f t="shared" si="341"/>
        <v>2.1504000000000003</v>
      </c>
      <c r="AN577">
        <f t="shared" si="342"/>
        <v>1.6</v>
      </c>
      <c r="AO577">
        <f t="shared" si="343"/>
        <v>2</v>
      </c>
      <c r="AP577">
        <f t="shared" si="344"/>
        <v>3</v>
      </c>
      <c r="AQ577">
        <v>206</v>
      </c>
      <c r="AR577">
        <v>1</v>
      </c>
    </row>
    <row r="578" spans="1:44" x14ac:dyDescent="0.15">
      <c r="A578">
        <f t="shared" si="345"/>
        <v>1406043</v>
      </c>
      <c r="B578" s="21" t="s">
        <v>262</v>
      </c>
      <c r="C578">
        <v>4</v>
      </c>
      <c r="D578">
        <v>4</v>
      </c>
      <c r="E578">
        <v>3</v>
      </c>
      <c r="F578" s="6" t="s">
        <v>263</v>
      </c>
      <c r="G578" s="6" t="s">
        <v>264</v>
      </c>
      <c r="H578" s="2">
        <v>0</v>
      </c>
      <c r="I578" s="2" t="s">
        <v>103</v>
      </c>
      <c r="J578" s="2">
        <f t="shared" si="327"/>
        <v>6</v>
      </c>
      <c r="K578" s="2">
        <f t="shared" si="328"/>
        <v>1.4000000000000001</v>
      </c>
      <c r="L578" s="2">
        <f t="shared" si="329"/>
        <v>1.2</v>
      </c>
      <c r="M578" s="2">
        <v>10</v>
      </c>
      <c r="N578" s="2">
        <f t="shared" si="330"/>
        <v>135.88999999999999</v>
      </c>
      <c r="O578" s="2">
        <f t="shared" si="331"/>
        <v>13.59</v>
      </c>
      <c r="P578" s="2">
        <f t="shared" si="332"/>
        <v>1033.8499999999999</v>
      </c>
      <c r="Q578" s="2">
        <f t="shared" si="333"/>
        <v>103.38</v>
      </c>
      <c r="R578" s="2">
        <f t="shared" si="334"/>
        <v>13.59</v>
      </c>
      <c r="S578" s="2">
        <f t="shared" si="335"/>
        <v>1.36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5">
        <v>214061</v>
      </c>
      <c r="Z578" s="26" t="s">
        <v>710</v>
      </c>
      <c r="AA578" s="4">
        <v>1</v>
      </c>
      <c r="AB578" s="4">
        <v>0</v>
      </c>
      <c r="AC578" s="4"/>
      <c r="AD578" s="4">
        <f t="shared" si="346"/>
        <v>3824.9245904624991</v>
      </c>
      <c r="AF578" s="1" t="str">
        <f t="shared" si="347"/>
        <v>6</v>
      </c>
      <c r="AG578">
        <v>4</v>
      </c>
      <c r="AH578">
        <f t="shared" si="336"/>
        <v>135.89333333333329</v>
      </c>
      <c r="AI578">
        <f t="shared" si="337"/>
        <v>13.589333333333329</v>
      </c>
      <c r="AJ578">
        <f t="shared" si="338"/>
        <v>1033.8461538461536</v>
      </c>
      <c r="AK578">
        <f t="shared" si="339"/>
        <v>103.38461538461536</v>
      </c>
      <c r="AL578">
        <f t="shared" si="340"/>
        <v>13.589333333333329</v>
      </c>
      <c r="AM578">
        <f t="shared" si="341"/>
        <v>1.3589333333333329</v>
      </c>
      <c r="AN578">
        <f t="shared" si="342"/>
        <v>1.4</v>
      </c>
      <c r="AO578">
        <f t="shared" si="343"/>
        <v>1.2</v>
      </c>
      <c r="AP578">
        <f t="shared" si="344"/>
        <v>6</v>
      </c>
      <c r="AQ578">
        <v>406</v>
      </c>
      <c r="AR578">
        <v>1</v>
      </c>
    </row>
    <row r="579" spans="1:44" x14ac:dyDescent="0.15">
      <c r="A579">
        <f t="shared" si="345"/>
        <v>1204043</v>
      </c>
      <c r="B579" s="21" t="s">
        <v>265</v>
      </c>
      <c r="C579">
        <v>4</v>
      </c>
      <c r="D579">
        <v>2</v>
      </c>
      <c r="E579">
        <v>3</v>
      </c>
      <c r="F579" s="22" t="s">
        <v>738</v>
      </c>
      <c r="G579" s="22" t="s">
        <v>739</v>
      </c>
      <c r="H579" s="2">
        <v>0</v>
      </c>
      <c r="I579" s="2">
        <v>0</v>
      </c>
      <c r="J579" s="2">
        <f t="shared" si="327"/>
        <v>3</v>
      </c>
      <c r="K579" s="2">
        <f t="shared" si="328"/>
        <v>1.4000000000000001</v>
      </c>
      <c r="L579" s="2">
        <f t="shared" si="329"/>
        <v>1.2</v>
      </c>
      <c r="M579" s="2">
        <v>10</v>
      </c>
      <c r="N579" s="2">
        <f t="shared" si="330"/>
        <v>94.08</v>
      </c>
      <c r="O579" s="2">
        <f t="shared" si="331"/>
        <v>9.41</v>
      </c>
      <c r="P579" s="2">
        <f t="shared" si="332"/>
        <v>1493.33</v>
      </c>
      <c r="Q579" s="2">
        <f t="shared" si="333"/>
        <v>149.33000000000001</v>
      </c>
      <c r="R579" s="2">
        <f t="shared" si="334"/>
        <v>18.82</v>
      </c>
      <c r="S579" s="2">
        <f t="shared" si="335"/>
        <v>1.88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5">
        <v>222041</v>
      </c>
      <c r="Z579" s="26" t="s">
        <v>710</v>
      </c>
      <c r="AA579" s="4">
        <v>1</v>
      </c>
      <c r="AB579" s="4">
        <v>0</v>
      </c>
      <c r="AC579" s="4"/>
      <c r="AD579" s="4">
        <f t="shared" si="346"/>
        <v>3825.5772726899995</v>
      </c>
      <c r="AF579" s="1" t="str">
        <f t="shared" si="347"/>
        <v>4</v>
      </c>
      <c r="AG579">
        <v>4</v>
      </c>
      <c r="AH579">
        <f t="shared" si="336"/>
        <v>94.08</v>
      </c>
      <c r="AI579">
        <f t="shared" si="337"/>
        <v>9.4079999999999995</v>
      </c>
      <c r="AJ579">
        <f t="shared" si="338"/>
        <v>1493.3333333333333</v>
      </c>
      <c r="AK579">
        <f t="shared" si="339"/>
        <v>149.33333333333334</v>
      </c>
      <c r="AL579">
        <f t="shared" si="340"/>
        <v>18.815999999999999</v>
      </c>
      <c r="AM579">
        <f t="shared" si="341"/>
        <v>1.8815999999999999</v>
      </c>
      <c r="AN579">
        <f t="shared" si="342"/>
        <v>1.4</v>
      </c>
      <c r="AO579">
        <f t="shared" si="343"/>
        <v>1.2</v>
      </c>
      <c r="AP579">
        <f t="shared" si="344"/>
        <v>3</v>
      </c>
      <c r="AQ579">
        <v>204</v>
      </c>
      <c r="AR579">
        <v>1</v>
      </c>
    </row>
    <row r="580" spans="1:44" x14ac:dyDescent="0.15">
      <c r="A580">
        <f t="shared" si="345"/>
        <v>1404043</v>
      </c>
      <c r="B580" s="21" t="s">
        <v>268</v>
      </c>
      <c r="C580">
        <v>4</v>
      </c>
      <c r="D580">
        <v>4</v>
      </c>
      <c r="E580">
        <v>3</v>
      </c>
      <c r="F580" s="22" t="s">
        <v>740</v>
      </c>
      <c r="G580" s="22" t="s">
        <v>741</v>
      </c>
      <c r="H580" s="2">
        <v>0</v>
      </c>
      <c r="I580" s="2" t="s">
        <v>103</v>
      </c>
      <c r="J580" s="2">
        <f t="shared" si="327"/>
        <v>6</v>
      </c>
      <c r="K580" s="2">
        <f t="shared" si="328"/>
        <v>1.6</v>
      </c>
      <c r="L580" s="2">
        <f t="shared" si="329"/>
        <v>1.9000000000000001</v>
      </c>
      <c r="M580" s="2">
        <v>10</v>
      </c>
      <c r="N580" s="2">
        <f t="shared" si="330"/>
        <v>155.31</v>
      </c>
      <c r="O580" s="2">
        <f t="shared" si="331"/>
        <v>15.53</v>
      </c>
      <c r="P580" s="2">
        <f t="shared" si="332"/>
        <v>1033.8499999999999</v>
      </c>
      <c r="Q580" s="2">
        <f t="shared" si="333"/>
        <v>103.38</v>
      </c>
      <c r="R580" s="2">
        <f t="shared" si="334"/>
        <v>15.53</v>
      </c>
      <c r="S580" s="2">
        <f t="shared" si="335"/>
        <v>1.55</v>
      </c>
      <c r="T580" s="2">
        <v>0</v>
      </c>
      <c r="U580" s="2">
        <v>0</v>
      </c>
      <c r="V580" s="2">
        <v>0</v>
      </c>
      <c r="W580" s="2">
        <v>0</v>
      </c>
      <c r="X580" s="2">
        <v>0</v>
      </c>
      <c r="Y580" s="25">
        <v>224041</v>
      </c>
      <c r="Z580" s="26" t="s">
        <v>710</v>
      </c>
      <c r="AA580" s="4">
        <v>1</v>
      </c>
      <c r="AB580" s="4">
        <v>0</v>
      </c>
      <c r="AC580" s="4"/>
      <c r="AD580" s="4">
        <f t="shared" si="346"/>
        <v>3824.6207488453119</v>
      </c>
      <c r="AF580" s="1" t="str">
        <f t="shared" si="347"/>
        <v>4</v>
      </c>
      <c r="AG580">
        <v>4</v>
      </c>
      <c r="AH580">
        <f t="shared" si="336"/>
        <v>155.30666666666667</v>
      </c>
      <c r="AI580">
        <f t="shared" si="337"/>
        <v>15.530666666666669</v>
      </c>
      <c r="AJ580">
        <f t="shared" si="338"/>
        <v>1033.8461538461536</v>
      </c>
      <c r="AK580">
        <f t="shared" si="339"/>
        <v>103.38461538461536</v>
      </c>
      <c r="AL580">
        <f t="shared" si="340"/>
        <v>15.530666666666667</v>
      </c>
      <c r="AM580">
        <f t="shared" si="341"/>
        <v>1.5530666666666668</v>
      </c>
      <c r="AN580">
        <f t="shared" si="342"/>
        <v>1.6</v>
      </c>
      <c r="AO580">
        <f t="shared" si="343"/>
        <v>1.9</v>
      </c>
      <c r="AP580">
        <f t="shared" si="344"/>
        <v>6</v>
      </c>
      <c r="AQ580">
        <v>404</v>
      </c>
      <c r="AR580">
        <v>1</v>
      </c>
    </row>
    <row r="581" spans="1:44" x14ac:dyDescent="0.15">
      <c r="A581">
        <f t="shared" si="345"/>
        <v>1503043</v>
      </c>
      <c r="B581" s="21" t="s">
        <v>271</v>
      </c>
      <c r="C581">
        <v>4</v>
      </c>
      <c r="D581">
        <v>5</v>
      </c>
      <c r="E581">
        <v>3</v>
      </c>
      <c r="F581" s="22" t="s">
        <v>742</v>
      </c>
      <c r="G581" s="22" t="s">
        <v>745</v>
      </c>
      <c r="H581" s="2">
        <v>0</v>
      </c>
      <c r="I581" s="2">
        <v>0</v>
      </c>
      <c r="J581" s="2">
        <f t="shared" si="327"/>
        <v>3</v>
      </c>
      <c r="K581" s="2">
        <f t="shared" si="328"/>
        <v>1.6</v>
      </c>
      <c r="L581" s="2">
        <f t="shared" si="329"/>
        <v>1.5</v>
      </c>
      <c r="M581" s="2">
        <v>10</v>
      </c>
      <c r="N581" s="2">
        <f t="shared" si="330"/>
        <v>143.36000000000001</v>
      </c>
      <c r="O581" s="2">
        <f t="shared" si="331"/>
        <v>14.34</v>
      </c>
      <c r="P581" s="2">
        <f t="shared" si="332"/>
        <v>1120</v>
      </c>
      <c r="Q581" s="2">
        <f t="shared" si="333"/>
        <v>112</v>
      </c>
      <c r="R581" s="2">
        <f t="shared" si="334"/>
        <v>23.89</v>
      </c>
      <c r="S581" s="2">
        <f t="shared" si="335"/>
        <v>2.39</v>
      </c>
      <c r="T581" s="2">
        <v>0</v>
      </c>
      <c r="U581" s="2">
        <v>0</v>
      </c>
      <c r="V581" s="2">
        <v>0</v>
      </c>
      <c r="W581" s="2">
        <v>0</v>
      </c>
      <c r="X581" s="2">
        <v>0</v>
      </c>
      <c r="Y581" s="25">
        <v>235031</v>
      </c>
      <c r="Z581" s="26" t="s">
        <v>710</v>
      </c>
      <c r="AA581" s="4">
        <v>1</v>
      </c>
      <c r="AB581" s="4">
        <v>0</v>
      </c>
      <c r="AC581" s="4"/>
      <c r="AD581" s="4">
        <f t="shared" si="346"/>
        <v>3825.8866800000005</v>
      </c>
      <c r="AF581" s="1" t="str">
        <f t="shared" si="347"/>
        <v>3</v>
      </c>
      <c r="AG581">
        <v>4</v>
      </c>
      <c r="AH581">
        <f t="shared" si="336"/>
        <v>143.35999999999999</v>
      </c>
      <c r="AI581">
        <f t="shared" si="337"/>
        <v>14.335999999999999</v>
      </c>
      <c r="AJ581">
        <f t="shared" si="338"/>
        <v>1120</v>
      </c>
      <c r="AK581">
        <f t="shared" si="339"/>
        <v>112</v>
      </c>
      <c r="AL581">
        <f t="shared" si="340"/>
        <v>23.893333333333331</v>
      </c>
      <c r="AM581">
        <f t="shared" si="341"/>
        <v>2.3893333333333331</v>
      </c>
      <c r="AN581">
        <f t="shared" si="342"/>
        <v>1.6</v>
      </c>
      <c r="AO581">
        <f t="shared" si="343"/>
        <v>1.5</v>
      </c>
      <c r="AP581">
        <f t="shared" si="344"/>
        <v>3</v>
      </c>
      <c r="AQ581">
        <v>503</v>
      </c>
      <c r="AR581">
        <v>1</v>
      </c>
    </row>
    <row r="582" spans="1:44" x14ac:dyDescent="0.15">
      <c r="A582">
        <f t="shared" si="345"/>
        <v>1304043</v>
      </c>
      <c r="B582" s="21" t="s">
        <v>274</v>
      </c>
      <c r="C582">
        <v>4</v>
      </c>
      <c r="D582">
        <v>3</v>
      </c>
      <c r="E582">
        <v>3</v>
      </c>
      <c r="F582" s="22" t="s">
        <v>743</v>
      </c>
      <c r="G582" s="22" t="s">
        <v>744</v>
      </c>
      <c r="H582">
        <v>0</v>
      </c>
      <c r="I582" s="2">
        <v>0</v>
      </c>
      <c r="J582" s="2">
        <f t="shared" si="327"/>
        <v>3</v>
      </c>
      <c r="K582" s="2">
        <f t="shared" si="328"/>
        <v>1.4000000000000001</v>
      </c>
      <c r="L582" s="2">
        <f t="shared" si="329"/>
        <v>2</v>
      </c>
      <c r="M582" s="2">
        <v>10</v>
      </c>
      <c r="N582" s="2">
        <f t="shared" si="330"/>
        <v>120.21</v>
      </c>
      <c r="O582" s="2">
        <f t="shared" si="331"/>
        <v>12.02</v>
      </c>
      <c r="P582" s="2">
        <f t="shared" si="332"/>
        <v>1168.7</v>
      </c>
      <c r="Q582" s="2">
        <f t="shared" si="333"/>
        <v>116.87</v>
      </c>
      <c r="R582" s="2">
        <f t="shared" si="334"/>
        <v>15.03</v>
      </c>
      <c r="S582" s="2">
        <f t="shared" si="335"/>
        <v>1.5</v>
      </c>
      <c r="T582" s="2">
        <v>0</v>
      </c>
      <c r="U582" s="2">
        <v>0</v>
      </c>
      <c r="V582" s="2">
        <v>0</v>
      </c>
      <c r="W582" s="2">
        <v>0</v>
      </c>
      <c r="X582" s="2">
        <v>0</v>
      </c>
      <c r="Y582" s="25">
        <v>233041</v>
      </c>
      <c r="Z582" s="26" t="s">
        <v>710</v>
      </c>
      <c r="AA582" s="4">
        <v>1</v>
      </c>
      <c r="AB582" s="4">
        <v>0</v>
      </c>
      <c r="AC582" s="4"/>
      <c r="AD582" s="4">
        <f t="shared" si="346"/>
        <v>3824.5353968250001</v>
      </c>
      <c r="AF582" s="1" t="str">
        <f t="shared" si="347"/>
        <v>4</v>
      </c>
      <c r="AG582">
        <v>4</v>
      </c>
      <c r="AH582">
        <f t="shared" si="336"/>
        <v>120.21333333333331</v>
      </c>
      <c r="AI582">
        <f t="shared" si="337"/>
        <v>12.021333333333331</v>
      </c>
      <c r="AJ582">
        <f t="shared" si="338"/>
        <v>1168.695652173913</v>
      </c>
      <c r="AK582">
        <f t="shared" si="339"/>
        <v>116.86956521739131</v>
      </c>
      <c r="AL582">
        <f t="shared" si="340"/>
        <v>15.026666666666664</v>
      </c>
      <c r="AM582">
        <f t="shared" si="341"/>
        <v>1.5026666666666664</v>
      </c>
      <c r="AN582">
        <f t="shared" si="342"/>
        <v>1.4</v>
      </c>
      <c r="AO582">
        <f t="shared" si="343"/>
        <v>2</v>
      </c>
      <c r="AP582">
        <f t="shared" si="344"/>
        <v>3</v>
      </c>
      <c r="AQ582">
        <v>304</v>
      </c>
      <c r="AR582">
        <v>1</v>
      </c>
    </row>
    <row r="583" spans="1:44" x14ac:dyDescent="0.15">
      <c r="A583">
        <f t="shared" si="345"/>
        <v>1203044</v>
      </c>
      <c r="B583" s="6" t="s">
        <v>241</v>
      </c>
      <c r="C583">
        <v>4</v>
      </c>
      <c r="D583">
        <v>2</v>
      </c>
      <c r="E583">
        <v>4</v>
      </c>
      <c r="F583" s="6" t="s">
        <v>242</v>
      </c>
      <c r="G583" s="20" t="s">
        <v>243</v>
      </c>
      <c r="H583">
        <v>0</v>
      </c>
      <c r="I583" s="2">
        <v>0</v>
      </c>
      <c r="J583" s="2">
        <f t="shared" si="327"/>
        <v>3</v>
      </c>
      <c r="K583" s="2">
        <f t="shared" si="328"/>
        <v>1.3</v>
      </c>
      <c r="L583" s="2">
        <f t="shared" si="329"/>
        <v>1.9000000000000001</v>
      </c>
      <c r="M583" s="2">
        <v>10</v>
      </c>
      <c r="N583" s="2">
        <f t="shared" si="330"/>
        <v>87.36</v>
      </c>
      <c r="O583" s="2">
        <f t="shared" si="331"/>
        <v>8.74</v>
      </c>
      <c r="P583" s="2">
        <f t="shared" si="332"/>
        <v>1493.33</v>
      </c>
      <c r="Q583" s="2">
        <f t="shared" si="333"/>
        <v>149.33000000000001</v>
      </c>
      <c r="R583" s="2">
        <f t="shared" si="334"/>
        <v>17.47</v>
      </c>
      <c r="S583" s="2">
        <f t="shared" si="335"/>
        <v>1.75</v>
      </c>
      <c r="T583" s="2">
        <v>0</v>
      </c>
      <c r="U583" s="2">
        <v>0</v>
      </c>
      <c r="V583" s="2">
        <v>0</v>
      </c>
      <c r="W583" s="2">
        <v>0</v>
      </c>
      <c r="X583" s="2">
        <v>0</v>
      </c>
      <c r="Y583" s="25">
        <v>112031</v>
      </c>
      <c r="Z583" s="26" t="s">
        <v>710</v>
      </c>
      <c r="AA583" s="4">
        <v>1</v>
      </c>
      <c r="AB583" s="4">
        <v>0</v>
      </c>
      <c r="AC583" s="4"/>
      <c r="AD583" s="4">
        <f t="shared" si="346"/>
        <v>3826.4301782861539</v>
      </c>
      <c r="AF583" s="1" t="str">
        <f t="shared" si="347"/>
        <v>3</v>
      </c>
      <c r="AG583">
        <v>4</v>
      </c>
      <c r="AH583">
        <f t="shared" si="336"/>
        <v>87.360000000000014</v>
      </c>
      <c r="AI583">
        <f t="shared" si="337"/>
        <v>8.7360000000000024</v>
      </c>
      <c r="AJ583">
        <f t="shared" si="338"/>
        <v>1493.3333333333333</v>
      </c>
      <c r="AK583">
        <f t="shared" si="339"/>
        <v>149.33333333333334</v>
      </c>
      <c r="AL583">
        <f t="shared" si="340"/>
        <v>17.472000000000001</v>
      </c>
      <c r="AM583">
        <f t="shared" si="341"/>
        <v>1.7472000000000003</v>
      </c>
      <c r="AN583">
        <f t="shared" si="342"/>
        <v>1.3</v>
      </c>
      <c r="AO583">
        <f t="shared" si="343"/>
        <v>1.9</v>
      </c>
      <c r="AP583">
        <f t="shared" si="344"/>
        <v>3</v>
      </c>
      <c r="AQ583">
        <v>203</v>
      </c>
      <c r="AR583">
        <v>1</v>
      </c>
    </row>
    <row r="584" spans="1:44" x14ac:dyDescent="0.15">
      <c r="A584">
        <f t="shared" si="345"/>
        <v>1403044</v>
      </c>
      <c r="B584" s="6" t="s">
        <v>244</v>
      </c>
      <c r="C584">
        <v>4</v>
      </c>
      <c r="D584">
        <v>4</v>
      </c>
      <c r="E584">
        <v>4</v>
      </c>
      <c r="F584" s="6" t="s">
        <v>245</v>
      </c>
      <c r="G584" s="20" t="s">
        <v>246</v>
      </c>
      <c r="H584" s="2">
        <v>0</v>
      </c>
      <c r="I584" s="2" t="s">
        <v>106</v>
      </c>
      <c r="J584" s="2">
        <f t="shared" si="327"/>
        <v>6</v>
      </c>
      <c r="K584" s="2">
        <f t="shared" si="328"/>
        <v>1.3</v>
      </c>
      <c r="L584" s="2">
        <f t="shared" si="329"/>
        <v>1.9000000000000001</v>
      </c>
      <c r="M584" s="2">
        <v>10</v>
      </c>
      <c r="N584" s="2">
        <f t="shared" si="330"/>
        <v>116.48</v>
      </c>
      <c r="O584" s="2">
        <f t="shared" si="331"/>
        <v>11.65</v>
      </c>
      <c r="P584" s="2">
        <f t="shared" si="332"/>
        <v>1120</v>
      </c>
      <c r="Q584" s="2">
        <f t="shared" si="333"/>
        <v>112</v>
      </c>
      <c r="R584" s="2">
        <f t="shared" si="334"/>
        <v>11.65</v>
      </c>
      <c r="S584" s="2">
        <f t="shared" si="335"/>
        <v>1.1599999999999999</v>
      </c>
      <c r="T584" s="2">
        <v>0</v>
      </c>
      <c r="U584" s="2">
        <v>0</v>
      </c>
      <c r="V584" s="2">
        <v>0</v>
      </c>
      <c r="W584" s="2">
        <v>0</v>
      </c>
      <c r="X584" s="2">
        <v>0</v>
      </c>
      <c r="Y584" s="25">
        <v>114031</v>
      </c>
      <c r="Z584" s="26" t="s">
        <v>710</v>
      </c>
      <c r="AA584" s="4">
        <v>1</v>
      </c>
      <c r="AB584" s="4">
        <v>0</v>
      </c>
      <c r="AC584" s="4"/>
      <c r="AD584" s="4">
        <f t="shared" si="346"/>
        <v>3825.5135261538458</v>
      </c>
      <c r="AF584" s="1" t="str">
        <f t="shared" si="347"/>
        <v>3</v>
      </c>
      <c r="AG584">
        <v>4</v>
      </c>
      <c r="AH584">
        <f t="shared" si="336"/>
        <v>116.47999999999999</v>
      </c>
      <c r="AI584">
        <f t="shared" si="337"/>
        <v>11.648</v>
      </c>
      <c r="AJ584">
        <f t="shared" si="338"/>
        <v>1120</v>
      </c>
      <c r="AK584">
        <f t="shared" si="339"/>
        <v>112</v>
      </c>
      <c r="AL584">
        <f t="shared" si="340"/>
        <v>11.648</v>
      </c>
      <c r="AM584">
        <f t="shared" si="341"/>
        <v>1.1648000000000001</v>
      </c>
      <c r="AN584">
        <f t="shared" si="342"/>
        <v>1.3</v>
      </c>
      <c r="AO584">
        <f t="shared" si="343"/>
        <v>1.9</v>
      </c>
      <c r="AP584">
        <f t="shared" si="344"/>
        <v>6</v>
      </c>
      <c r="AQ584">
        <v>403</v>
      </c>
      <c r="AR584">
        <v>1</v>
      </c>
    </row>
    <row r="585" spans="1:44" x14ac:dyDescent="0.15">
      <c r="A585">
        <f t="shared" si="345"/>
        <v>1205044</v>
      </c>
      <c r="B585" s="6" t="s">
        <v>247</v>
      </c>
      <c r="C585">
        <v>4</v>
      </c>
      <c r="D585">
        <v>2</v>
      </c>
      <c r="E585">
        <v>4</v>
      </c>
      <c r="F585" s="22" t="s">
        <v>734</v>
      </c>
      <c r="G585" s="29" t="s">
        <v>735</v>
      </c>
      <c r="H585">
        <v>0</v>
      </c>
      <c r="I585" s="2">
        <v>0</v>
      </c>
      <c r="J585" s="2">
        <f t="shared" si="327"/>
        <v>3</v>
      </c>
      <c r="K585" s="2">
        <f t="shared" si="328"/>
        <v>1.8</v>
      </c>
      <c r="L585" s="2">
        <f t="shared" si="329"/>
        <v>2</v>
      </c>
      <c r="M585" s="2">
        <v>10</v>
      </c>
      <c r="N585" s="2">
        <f t="shared" si="330"/>
        <v>120.96</v>
      </c>
      <c r="O585" s="2">
        <f t="shared" si="331"/>
        <v>12.1</v>
      </c>
      <c r="P585" s="2">
        <f t="shared" si="332"/>
        <v>1493.33</v>
      </c>
      <c r="Q585" s="2">
        <f t="shared" si="333"/>
        <v>149.33000000000001</v>
      </c>
      <c r="R585" s="2">
        <f t="shared" si="334"/>
        <v>24.19</v>
      </c>
      <c r="S585" s="2">
        <f t="shared" si="335"/>
        <v>2.42</v>
      </c>
      <c r="T585" s="2">
        <v>0</v>
      </c>
      <c r="U585" s="2">
        <v>0</v>
      </c>
      <c r="V585" s="2">
        <v>0</v>
      </c>
      <c r="W585" s="2">
        <v>0</v>
      </c>
      <c r="X585" s="2">
        <v>0</v>
      </c>
      <c r="Y585" s="25">
        <v>122051</v>
      </c>
      <c r="Z585" s="26" t="s">
        <v>710</v>
      </c>
      <c r="AA585" s="4">
        <v>1</v>
      </c>
      <c r="AB585" s="4">
        <v>0</v>
      </c>
      <c r="AC585" s="4"/>
      <c r="AD585" s="4">
        <f t="shared" si="346"/>
        <v>3825.9879309399998</v>
      </c>
      <c r="AF585" s="1" t="str">
        <f t="shared" si="347"/>
        <v>5</v>
      </c>
      <c r="AG585">
        <v>4</v>
      </c>
      <c r="AH585">
        <f t="shared" si="336"/>
        <v>120.96</v>
      </c>
      <c r="AI585">
        <f t="shared" si="337"/>
        <v>12.096</v>
      </c>
      <c r="AJ585">
        <f t="shared" si="338"/>
        <v>1493.3333333333333</v>
      </c>
      <c r="AK585">
        <f t="shared" si="339"/>
        <v>149.33333333333334</v>
      </c>
      <c r="AL585">
        <f t="shared" si="340"/>
        <v>24.192</v>
      </c>
      <c r="AM585">
        <f t="shared" si="341"/>
        <v>2.4192</v>
      </c>
      <c r="AN585">
        <f t="shared" si="342"/>
        <v>1.8</v>
      </c>
      <c r="AO585">
        <f t="shared" si="343"/>
        <v>2</v>
      </c>
      <c r="AP585">
        <f t="shared" si="344"/>
        <v>3</v>
      </c>
      <c r="AQ585">
        <v>205</v>
      </c>
      <c r="AR585">
        <v>1</v>
      </c>
    </row>
    <row r="586" spans="1:44" x14ac:dyDescent="0.15">
      <c r="A586">
        <f t="shared" si="345"/>
        <v>1405044</v>
      </c>
      <c r="B586" s="6" t="s">
        <v>250</v>
      </c>
      <c r="C586">
        <v>4</v>
      </c>
      <c r="D586">
        <v>4</v>
      </c>
      <c r="E586">
        <v>4</v>
      </c>
      <c r="F586" s="22" t="s">
        <v>736</v>
      </c>
      <c r="G586" s="22" t="s">
        <v>737</v>
      </c>
      <c r="H586">
        <v>0</v>
      </c>
      <c r="I586" s="2" t="s">
        <v>106</v>
      </c>
      <c r="J586" s="2">
        <f t="shared" si="327"/>
        <v>6</v>
      </c>
      <c r="K586" s="2">
        <f t="shared" si="328"/>
        <v>1.5</v>
      </c>
      <c r="L586" s="2">
        <f t="shared" si="329"/>
        <v>1.5</v>
      </c>
      <c r="M586" s="2">
        <v>10</v>
      </c>
      <c r="N586" s="2">
        <f t="shared" si="330"/>
        <v>140</v>
      </c>
      <c r="O586" s="2">
        <f t="shared" si="331"/>
        <v>14</v>
      </c>
      <c r="P586" s="2">
        <f t="shared" si="332"/>
        <v>1075.2</v>
      </c>
      <c r="Q586" s="2">
        <f t="shared" si="333"/>
        <v>107.52</v>
      </c>
      <c r="R586" s="2">
        <f t="shared" si="334"/>
        <v>14</v>
      </c>
      <c r="S586" s="2">
        <f t="shared" si="335"/>
        <v>1.4</v>
      </c>
      <c r="T586" s="2">
        <v>0</v>
      </c>
      <c r="U586" s="2">
        <v>0</v>
      </c>
      <c r="V586" s="2">
        <v>0</v>
      </c>
      <c r="W586" s="2">
        <v>0</v>
      </c>
      <c r="X586" s="2">
        <v>0</v>
      </c>
      <c r="Y586" s="25">
        <v>124051</v>
      </c>
      <c r="Z586" s="26" t="s">
        <v>710</v>
      </c>
      <c r="AA586" s="4">
        <v>1</v>
      </c>
      <c r="AB586" s="4">
        <v>0</v>
      </c>
      <c r="AC586" s="4"/>
      <c r="AD586" s="4">
        <f t="shared" si="346"/>
        <v>3824.9164799999999</v>
      </c>
      <c r="AF586" s="1" t="str">
        <f t="shared" si="347"/>
        <v>5</v>
      </c>
      <c r="AG586">
        <v>4</v>
      </c>
      <c r="AH586">
        <f t="shared" si="336"/>
        <v>140</v>
      </c>
      <c r="AI586">
        <f t="shared" si="337"/>
        <v>14</v>
      </c>
      <c r="AJ586">
        <f t="shared" si="338"/>
        <v>1075.1999999999998</v>
      </c>
      <c r="AK586">
        <f t="shared" si="339"/>
        <v>107.51999999999998</v>
      </c>
      <c r="AL586">
        <f t="shared" si="340"/>
        <v>14</v>
      </c>
      <c r="AM586">
        <f t="shared" si="341"/>
        <v>1.4000000000000001</v>
      </c>
      <c r="AN586">
        <f t="shared" si="342"/>
        <v>1.5</v>
      </c>
      <c r="AO586">
        <f t="shared" si="343"/>
        <v>1.5</v>
      </c>
      <c r="AP586">
        <f t="shared" si="344"/>
        <v>6</v>
      </c>
      <c r="AQ586">
        <v>405</v>
      </c>
      <c r="AR586">
        <v>1</v>
      </c>
    </row>
    <row r="587" spans="1:44" x14ac:dyDescent="0.15">
      <c r="A587">
        <f t="shared" si="345"/>
        <v>1303044</v>
      </c>
      <c r="B587" s="6" t="s">
        <v>253</v>
      </c>
      <c r="C587">
        <v>4</v>
      </c>
      <c r="D587">
        <v>3</v>
      </c>
      <c r="E587">
        <v>4</v>
      </c>
      <c r="F587" s="22" t="s">
        <v>730</v>
      </c>
      <c r="G587" s="22" t="s">
        <v>731</v>
      </c>
      <c r="H587" s="2">
        <v>0</v>
      </c>
      <c r="I587" s="2">
        <v>0</v>
      </c>
      <c r="J587" s="2">
        <f t="shared" si="327"/>
        <v>3</v>
      </c>
      <c r="K587" s="2">
        <f t="shared" si="328"/>
        <v>1.3</v>
      </c>
      <c r="L587" s="2">
        <f t="shared" si="329"/>
        <v>1.4000000000000001</v>
      </c>
      <c r="M587" s="2">
        <v>10</v>
      </c>
      <c r="N587" s="2">
        <f t="shared" si="330"/>
        <v>106.77</v>
      </c>
      <c r="O587" s="2">
        <f t="shared" si="331"/>
        <v>10.68</v>
      </c>
      <c r="P587" s="2">
        <f t="shared" si="332"/>
        <v>1221.82</v>
      </c>
      <c r="Q587" s="2">
        <f t="shared" si="333"/>
        <v>122.18</v>
      </c>
      <c r="R587" s="2">
        <f t="shared" si="334"/>
        <v>13.35</v>
      </c>
      <c r="S587" s="2">
        <f t="shared" si="335"/>
        <v>1.33</v>
      </c>
      <c r="T587" s="2">
        <v>0</v>
      </c>
      <c r="U587" s="2">
        <v>0</v>
      </c>
      <c r="V587" s="2">
        <v>0</v>
      </c>
      <c r="W587" s="2">
        <v>0</v>
      </c>
      <c r="X587" s="2">
        <v>0</v>
      </c>
      <c r="Y587" s="25">
        <v>133031</v>
      </c>
      <c r="Z587" s="26" t="s">
        <v>710</v>
      </c>
      <c r="AA587" s="4">
        <v>1</v>
      </c>
      <c r="AB587" s="4">
        <v>0</v>
      </c>
      <c r="AC587" s="4"/>
      <c r="AD587" s="4">
        <f t="shared" si="346"/>
        <v>3825.7228173392305</v>
      </c>
      <c r="AF587" s="1" t="str">
        <f t="shared" si="347"/>
        <v>3</v>
      </c>
      <c r="AG587">
        <v>4</v>
      </c>
      <c r="AH587">
        <f t="shared" si="336"/>
        <v>106.77333333333334</v>
      </c>
      <c r="AI587">
        <f t="shared" si="337"/>
        <v>10.677333333333335</v>
      </c>
      <c r="AJ587">
        <f t="shared" si="338"/>
        <v>1221.8181818181818</v>
      </c>
      <c r="AK587">
        <f t="shared" si="339"/>
        <v>122.18181818181819</v>
      </c>
      <c r="AL587">
        <f t="shared" si="340"/>
        <v>13.346666666666668</v>
      </c>
      <c r="AM587">
        <f t="shared" si="341"/>
        <v>1.3346666666666669</v>
      </c>
      <c r="AN587">
        <f t="shared" si="342"/>
        <v>1.3</v>
      </c>
      <c r="AO587">
        <f t="shared" si="343"/>
        <v>1.4</v>
      </c>
      <c r="AP587">
        <f t="shared" si="344"/>
        <v>3</v>
      </c>
      <c r="AQ587">
        <v>303</v>
      </c>
      <c r="AR587">
        <v>1</v>
      </c>
    </row>
    <row r="588" spans="1:44" x14ac:dyDescent="0.15">
      <c r="A588">
        <f t="shared" si="345"/>
        <v>1504044</v>
      </c>
      <c r="B588" s="6" t="s">
        <v>256</v>
      </c>
      <c r="C588">
        <v>4</v>
      </c>
      <c r="D588">
        <v>5</v>
      </c>
      <c r="E588">
        <v>4</v>
      </c>
      <c r="F588" s="22" t="s">
        <v>732</v>
      </c>
      <c r="G588" s="22" t="s">
        <v>733</v>
      </c>
      <c r="H588">
        <v>0</v>
      </c>
      <c r="I588" s="2">
        <v>0</v>
      </c>
      <c r="J588" s="2">
        <f t="shared" si="327"/>
        <v>3</v>
      </c>
      <c r="K588" s="2">
        <f t="shared" si="328"/>
        <v>1.8</v>
      </c>
      <c r="L588" s="2">
        <f t="shared" si="329"/>
        <v>1.5</v>
      </c>
      <c r="M588" s="2">
        <v>10</v>
      </c>
      <c r="N588" s="2">
        <f t="shared" si="330"/>
        <v>147.84</v>
      </c>
      <c r="O588" s="2">
        <f t="shared" si="331"/>
        <v>14.78</v>
      </c>
      <c r="P588" s="2">
        <f t="shared" si="332"/>
        <v>1221.82</v>
      </c>
      <c r="Q588" s="2">
        <f t="shared" si="333"/>
        <v>122.18</v>
      </c>
      <c r="R588" s="2">
        <f t="shared" si="334"/>
        <v>24.64</v>
      </c>
      <c r="S588" s="2">
        <f t="shared" si="335"/>
        <v>2.46</v>
      </c>
      <c r="T588" s="2">
        <v>0</v>
      </c>
      <c r="U588" s="2">
        <v>0</v>
      </c>
      <c r="V588" s="2">
        <v>0</v>
      </c>
      <c r="W588" s="2">
        <v>0</v>
      </c>
      <c r="X588" s="2">
        <v>0</v>
      </c>
      <c r="Y588" s="25">
        <v>135041</v>
      </c>
      <c r="Z588" s="26" t="s">
        <v>710</v>
      </c>
      <c r="AA588" s="4">
        <v>1</v>
      </c>
      <c r="AB588" s="4">
        <v>0.5</v>
      </c>
      <c r="AC588" s="4"/>
      <c r="AD588" s="4">
        <f t="shared" si="346"/>
        <v>3823.9244660399991</v>
      </c>
      <c r="AF588" s="1" t="str">
        <f t="shared" si="347"/>
        <v>4</v>
      </c>
      <c r="AG588">
        <v>4</v>
      </c>
      <c r="AH588">
        <f t="shared" si="336"/>
        <v>147.84</v>
      </c>
      <c r="AI588">
        <f t="shared" si="337"/>
        <v>14.784000000000001</v>
      </c>
      <c r="AJ588">
        <f t="shared" si="338"/>
        <v>1221.8181818181818</v>
      </c>
      <c r="AK588">
        <f t="shared" si="339"/>
        <v>122.18181818181819</v>
      </c>
      <c r="AL588">
        <f t="shared" si="340"/>
        <v>24.64</v>
      </c>
      <c r="AM588">
        <f t="shared" si="341"/>
        <v>2.4640000000000004</v>
      </c>
      <c r="AN588">
        <f t="shared" si="342"/>
        <v>1.8</v>
      </c>
      <c r="AO588">
        <f t="shared" si="343"/>
        <v>1.5</v>
      </c>
      <c r="AP588">
        <f t="shared" si="344"/>
        <v>3</v>
      </c>
      <c r="AQ588">
        <v>504</v>
      </c>
      <c r="AR588">
        <v>1</v>
      </c>
    </row>
    <row r="589" spans="1:44" x14ac:dyDescent="0.15">
      <c r="A589">
        <f t="shared" si="345"/>
        <v>1206044</v>
      </c>
      <c r="B589" s="21" t="s">
        <v>259</v>
      </c>
      <c r="C589">
        <v>4</v>
      </c>
      <c r="D589">
        <v>2</v>
      </c>
      <c r="E589">
        <v>4</v>
      </c>
      <c r="F589" s="6" t="s">
        <v>260</v>
      </c>
      <c r="G589" s="6" t="s">
        <v>261</v>
      </c>
      <c r="H589" s="2">
        <v>0</v>
      </c>
      <c r="I589" s="2">
        <v>0</v>
      </c>
      <c r="J589" s="2">
        <f t="shared" si="327"/>
        <v>3</v>
      </c>
      <c r="K589" s="2">
        <f t="shared" si="328"/>
        <v>1.6</v>
      </c>
      <c r="L589" s="2">
        <f t="shared" si="329"/>
        <v>2</v>
      </c>
      <c r="M589" s="2">
        <v>10</v>
      </c>
      <c r="N589" s="2">
        <f t="shared" si="330"/>
        <v>107.52</v>
      </c>
      <c r="O589" s="2">
        <f t="shared" si="331"/>
        <v>10.75</v>
      </c>
      <c r="P589" s="2">
        <f t="shared" si="332"/>
        <v>1493.33</v>
      </c>
      <c r="Q589" s="2">
        <f t="shared" si="333"/>
        <v>149.33000000000001</v>
      </c>
      <c r="R589" s="2">
        <f t="shared" si="334"/>
        <v>21.5</v>
      </c>
      <c r="S589" s="2">
        <f t="shared" si="335"/>
        <v>2.15</v>
      </c>
      <c r="T589" s="2">
        <v>0</v>
      </c>
      <c r="U589" s="2">
        <v>0</v>
      </c>
      <c r="V589" s="2">
        <v>0</v>
      </c>
      <c r="W589" s="2">
        <v>0</v>
      </c>
      <c r="X589" s="2">
        <v>0</v>
      </c>
      <c r="Y589" s="25">
        <v>212061</v>
      </c>
      <c r="Z589" s="26" t="s">
        <v>710</v>
      </c>
      <c r="AA589" s="4">
        <v>1</v>
      </c>
      <c r="AB589" s="4">
        <v>0</v>
      </c>
      <c r="AC589" s="4"/>
      <c r="AD589" s="4">
        <f t="shared" si="346"/>
        <v>3824.1913010962498</v>
      </c>
      <c r="AF589" s="1" t="str">
        <f t="shared" si="347"/>
        <v>6</v>
      </c>
      <c r="AG589">
        <v>4</v>
      </c>
      <c r="AH589">
        <f t="shared" si="336"/>
        <v>107.52000000000001</v>
      </c>
      <c r="AI589">
        <f t="shared" si="337"/>
        <v>10.752000000000002</v>
      </c>
      <c r="AJ589">
        <f t="shared" si="338"/>
        <v>1493.3333333333333</v>
      </c>
      <c r="AK589">
        <f t="shared" si="339"/>
        <v>149.33333333333334</v>
      </c>
      <c r="AL589">
        <f t="shared" si="340"/>
        <v>21.504000000000001</v>
      </c>
      <c r="AM589">
        <f t="shared" si="341"/>
        <v>2.1504000000000003</v>
      </c>
      <c r="AN589">
        <f t="shared" si="342"/>
        <v>1.6</v>
      </c>
      <c r="AO589">
        <f t="shared" si="343"/>
        <v>2</v>
      </c>
      <c r="AP589">
        <f t="shared" si="344"/>
        <v>3</v>
      </c>
      <c r="AQ589">
        <v>206</v>
      </c>
      <c r="AR589">
        <v>1</v>
      </c>
    </row>
    <row r="590" spans="1:44" x14ac:dyDescent="0.15">
      <c r="A590">
        <f t="shared" si="345"/>
        <v>1406044</v>
      </c>
      <c r="B590" s="21" t="s">
        <v>262</v>
      </c>
      <c r="C590">
        <v>4</v>
      </c>
      <c r="D590">
        <v>4</v>
      </c>
      <c r="E590">
        <v>4</v>
      </c>
      <c r="F590" s="6" t="s">
        <v>263</v>
      </c>
      <c r="G590" s="6" t="s">
        <v>264</v>
      </c>
      <c r="H590" s="2">
        <v>0</v>
      </c>
      <c r="I590" s="2" t="s">
        <v>106</v>
      </c>
      <c r="J590" s="2">
        <f t="shared" ref="J590:J653" si="348">AP590</f>
        <v>6</v>
      </c>
      <c r="K590" s="2">
        <f t="shared" ref="K590:K653" si="349">FLOOR(AN590/1,0.01)</f>
        <v>1.4000000000000001</v>
      </c>
      <c r="L590" s="2">
        <f t="shared" ref="L590:L653" si="350">FLOOR(AO590/1,0.01)</f>
        <v>1.2</v>
      </c>
      <c r="M590" s="2">
        <v>10</v>
      </c>
      <c r="N590" s="2">
        <f t="shared" ref="N590:N653" si="351">ROUND(AH590,2)</f>
        <v>135.88999999999999</v>
      </c>
      <c r="O590" s="2">
        <f t="shared" ref="O590:O653" si="352">ROUND(AI590,2)</f>
        <v>13.59</v>
      </c>
      <c r="P590" s="2">
        <f t="shared" ref="P590:P653" si="353">ROUND(AJ590,2)</f>
        <v>1033.8499999999999</v>
      </c>
      <c r="Q590" s="2">
        <f t="shared" ref="Q590:Q653" si="354">ROUND(AK590,2)</f>
        <v>103.38</v>
      </c>
      <c r="R590" s="2">
        <f t="shared" ref="R590:R653" si="355">ROUND(AL590,2)</f>
        <v>13.59</v>
      </c>
      <c r="S590" s="2">
        <f t="shared" ref="S590:S653" si="356">ROUND(AM590,2)</f>
        <v>1.36</v>
      </c>
      <c r="T590" s="2">
        <v>0</v>
      </c>
      <c r="U590" s="2">
        <v>0</v>
      </c>
      <c r="V590" s="2">
        <v>0</v>
      </c>
      <c r="W590" s="2">
        <v>0</v>
      </c>
      <c r="X590" s="2">
        <v>0</v>
      </c>
      <c r="Y590" s="25">
        <v>214061</v>
      </c>
      <c r="Z590" s="26" t="s">
        <v>710</v>
      </c>
      <c r="AA590" s="4">
        <v>1</v>
      </c>
      <c r="AB590" s="4">
        <v>0</v>
      </c>
      <c r="AC590" s="4"/>
      <c r="AD590" s="4">
        <f t="shared" si="346"/>
        <v>3824.9245904624991</v>
      </c>
      <c r="AF590" s="1" t="str">
        <f t="shared" si="347"/>
        <v>6</v>
      </c>
      <c r="AG590">
        <v>4</v>
      </c>
      <c r="AH590">
        <f t="shared" ref="AH590:AH653" si="357">INDEX($AV$5:$AV$50,MATCH($AQ590,$AT$5:$AT$50))*$AN590/1.5*$AZ$4*INDEX($AV$87:$BI$87,MATCH($AG590,$AV$86:$BI$86))</f>
        <v>135.89333333333329</v>
      </c>
      <c r="AI590">
        <f t="shared" ref="AI590:AI653" si="358">(INDEX($AV$5:$AV$50,MATCH($AQ590,$AT$5:$AT$50))*$AN590/1.5*$AZ$4*INDEX($AV$87:$BI$87,MATCH($AG590,$AV$86:$BI$86)))*0.1</f>
        <v>13.589333333333329</v>
      </c>
      <c r="AJ590">
        <f t="shared" ref="AJ590:AJ653" si="359">INDEX($AW$5:$AW$50,MATCH($AQ590,$AT$5:$AT$50))*$BA$4*INDEX($AV$87:$BI$87,MATCH($AG590,$AV$86:$BI$86))</f>
        <v>1033.8461538461536</v>
      </c>
      <c r="AK590">
        <f t="shared" ref="AK590:AK653" si="360">(INDEX($AW$5:$AW$50,MATCH($AQ590,$AT$5:$AT$50))*$BA$4*INDEX($AV$87:$BI$87,MATCH($AG590,$AV$86:$BI$86)))*0.1</f>
        <v>103.38461538461536</v>
      </c>
      <c r="AL590">
        <f t="shared" ref="AL590:AL653" si="361">$AH590/INDEX($AX$5:$AX$50,MATCH($AQ590,$AT$5:$AT$50))</f>
        <v>13.589333333333329</v>
      </c>
      <c r="AM590">
        <f t="shared" ref="AM590:AM653" si="362">AL590*0.1</f>
        <v>1.3589333333333329</v>
      </c>
      <c r="AN590">
        <f t="shared" ref="AN590:AN653" si="363">INDEX($AY$5:$AY$50,MATCH($AQ590,$AT$5:$AT$50,0))</f>
        <v>1.4</v>
      </c>
      <c r="AO590">
        <f t="shared" ref="AO590:AO653" si="364">ROUND(IF(INDEX($BG$5:$BG$50,MATCH($AQ590,$AT$5:$AT$50,0))&lt;2,INDEX($BG$5:$BG$49,MATCH($AQ590,$AT$5:$AT$49,0))+0.2,2),1)</f>
        <v>1.2</v>
      </c>
      <c r="AP590">
        <f t="shared" ref="AP590:AP653" si="365">INDEX($BC$5:$BC$50,MATCH($AQ590,$AT$5:$AT$50,0))</f>
        <v>6</v>
      </c>
      <c r="AQ590">
        <v>406</v>
      </c>
      <c r="AR590">
        <v>1</v>
      </c>
    </row>
    <row r="591" spans="1:44" x14ac:dyDescent="0.15">
      <c r="A591">
        <f t="shared" si="345"/>
        <v>1204044</v>
      </c>
      <c r="B591" s="21" t="s">
        <v>265</v>
      </c>
      <c r="C591">
        <v>4</v>
      </c>
      <c r="D591">
        <v>2</v>
      </c>
      <c r="E591">
        <v>4</v>
      </c>
      <c r="F591" s="22" t="s">
        <v>738</v>
      </c>
      <c r="G591" s="22" t="s">
        <v>739</v>
      </c>
      <c r="H591" s="2">
        <v>0</v>
      </c>
      <c r="I591" s="2">
        <v>0</v>
      </c>
      <c r="J591" s="2">
        <f t="shared" si="348"/>
        <v>3</v>
      </c>
      <c r="K591" s="2">
        <f t="shared" si="349"/>
        <v>1.4000000000000001</v>
      </c>
      <c r="L591" s="2">
        <f t="shared" si="350"/>
        <v>1.2</v>
      </c>
      <c r="M591" s="2">
        <v>10</v>
      </c>
      <c r="N591" s="2">
        <f t="shared" si="351"/>
        <v>94.08</v>
      </c>
      <c r="O591" s="2">
        <f t="shared" si="352"/>
        <v>9.41</v>
      </c>
      <c r="P591" s="2">
        <f t="shared" si="353"/>
        <v>1493.33</v>
      </c>
      <c r="Q591" s="2">
        <f t="shared" si="354"/>
        <v>149.33000000000001</v>
      </c>
      <c r="R591" s="2">
        <f t="shared" si="355"/>
        <v>18.82</v>
      </c>
      <c r="S591" s="2">
        <f t="shared" si="356"/>
        <v>1.88</v>
      </c>
      <c r="T591" s="2">
        <v>0</v>
      </c>
      <c r="U591" s="2">
        <v>0</v>
      </c>
      <c r="V591" s="2">
        <v>0</v>
      </c>
      <c r="W591" s="2">
        <v>0</v>
      </c>
      <c r="X591" s="2">
        <v>0</v>
      </c>
      <c r="Y591" s="25">
        <v>222041</v>
      </c>
      <c r="Z591" s="26" t="s">
        <v>710</v>
      </c>
      <c r="AA591" s="4">
        <v>1</v>
      </c>
      <c r="AB591" s="4">
        <v>0</v>
      </c>
      <c r="AC591" s="4"/>
      <c r="AD591" s="4">
        <f t="shared" si="346"/>
        <v>3825.5772726899995</v>
      </c>
      <c r="AF591" s="1" t="str">
        <f t="shared" si="347"/>
        <v>4</v>
      </c>
      <c r="AG591">
        <v>4</v>
      </c>
      <c r="AH591">
        <f t="shared" si="357"/>
        <v>94.08</v>
      </c>
      <c r="AI591">
        <f t="shared" si="358"/>
        <v>9.4079999999999995</v>
      </c>
      <c r="AJ591">
        <f t="shared" si="359"/>
        <v>1493.3333333333333</v>
      </c>
      <c r="AK591">
        <f t="shared" si="360"/>
        <v>149.33333333333334</v>
      </c>
      <c r="AL591">
        <f t="shared" si="361"/>
        <v>18.815999999999999</v>
      </c>
      <c r="AM591">
        <f t="shared" si="362"/>
        <v>1.8815999999999999</v>
      </c>
      <c r="AN591">
        <f t="shared" si="363"/>
        <v>1.4</v>
      </c>
      <c r="AO591">
        <f t="shared" si="364"/>
        <v>1.2</v>
      </c>
      <c r="AP591">
        <f t="shared" si="365"/>
        <v>3</v>
      </c>
      <c r="AQ591">
        <v>204</v>
      </c>
      <c r="AR591">
        <v>1</v>
      </c>
    </row>
    <row r="592" spans="1:44" x14ac:dyDescent="0.15">
      <c r="A592">
        <f t="shared" si="345"/>
        <v>1404044</v>
      </c>
      <c r="B592" s="21" t="s">
        <v>268</v>
      </c>
      <c r="C592">
        <v>4</v>
      </c>
      <c r="D592">
        <v>4</v>
      </c>
      <c r="E592">
        <v>4</v>
      </c>
      <c r="F592" s="22" t="s">
        <v>740</v>
      </c>
      <c r="G592" s="22" t="s">
        <v>741</v>
      </c>
      <c r="H592" s="2">
        <v>0</v>
      </c>
      <c r="I592" s="2" t="s">
        <v>106</v>
      </c>
      <c r="J592" s="2">
        <f t="shared" si="348"/>
        <v>6</v>
      </c>
      <c r="K592" s="2">
        <f t="shared" si="349"/>
        <v>1.6</v>
      </c>
      <c r="L592" s="2">
        <f t="shared" si="350"/>
        <v>1.9000000000000001</v>
      </c>
      <c r="M592" s="2">
        <v>10</v>
      </c>
      <c r="N592" s="2">
        <f t="shared" si="351"/>
        <v>155.31</v>
      </c>
      <c r="O592" s="2">
        <f t="shared" si="352"/>
        <v>15.53</v>
      </c>
      <c r="P592" s="2">
        <f t="shared" si="353"/>
        <v>1033.8499999999999</v>
      </c>
      <c r="Q592" s="2">
        <f t="shared" si="354"/>
        <v>103.38</v>
      </c>
      <c r="R592" s="2">
        <f t="shared" si="355"/>
        <v>15.53</v>
      </c>
      <c r="S592" s="2">
        <f t="shared" si="356"/>
        <v>1.55</v>
      </c>
      <c r="T592" s="2">
        <v>0</v>
      </c>
      <c r="U592" s="2">
        <v>0</v>
      </c>
      <c r="V592" s="2">
        <v>0</v>
      </c>
      <c r="W592" s="2">
        <v>0</v>
      </c>
      <c r="X592" s="2">
        <v>0</v>
      </c>
      <c r="Y592" s="25">
        <v>224041</v>
      </c>
      <c r="Z592" s="26" t="s">
        <v>710</v>
      </c>
      <c r="AA592" s="4">
        <v>1</v>
      </c>
      <c r="AB592" s="4">
        <v>0</v>
      </c>
      <c r="AC592" s="4"/>
      <c r="AD592" s="4">
        <f t="shared" si="346"/>
        <v>3824.6207488453119</v>
      </c>
      <c r="AF592" s="1" t="str">
        <f t="shared" si="347"/>
        <v>4</v>
      </c>
      <c r="AG592">
        <v>4</v>
      </c>
      <c r="AH592">
        <f t="shared" si="357"/>
        <v>155.30666666666667</v>
      </c>
      <c r="AI592">
        <f t="shared" si="358"/>
        <v>15.530666666666669</v>
      </c>
      <c r="AJ592">
        <f t="shared" si="359"/>
        <v>1033.8461538461536</v>
      </c>
      <c r="AK592">
        <f t="shared" si="360"/>
        <v>103.38461538461536</v>
      </c>
      <c r="AL592">
        <f t="shared" si="361"/>
        <v>15.530666666666667</v>
      </c>
      <c r="AM592">
        <f t="shared" si="362"/>
        <v>1.5530666666666668</v>
      </c>
      <c r="AN592">
        <f t="shared" si="363"/>
        <v>1.6</v>
      </c>
      <c r="AO592">
        <f t="shared" si="364"/>
        <v>1.9</v>
      </c>
      <c r="AP592">
        <f t="shared" si="365"/>
        <v>6</v>
      </c>
      <c r="AQ592">
        <v>404</v>
      </c>
      <c r="AR592">
        <v>1</v>
      </c>
    </row>
    <row r="593" spans="1:44" x14ac:dyDescent="0.15">
      <c r="A593">
        <f t="shared" si="345"/>
        <v>1503044</v>
      </c>
      <c r="B593" s="21" t="s">
        <v>271</v>
      </c>
      <c r="C593">
        <v>4</v>
      </c>
      <c r="D593">
        <v>5</v>
      </c>
      <c r="E593">
        <v>4</v>
      </c>
      <c r="F593" s="22" t="s">
        <v>742</v>
      </c>
      <c r="G593" s="22" t="s">
        <v>745</v>
      </c>
      <c r="H593" s="2">
        <v>0</v>
      </c>
      <c r="I593" s="2">
        <v>0</v>
      </c>
      <c r="J593" s="2">
        <f t="shared" si="348"/>
        <v>3</v>
      </c>
      <c r="K593" s="2">
        <f t="shared" si="349"/>
        <v>1.6</v>
      </c>
      <c r="L593" s="2">
        <f t="shared" si="350"/>
        <v>1.5</v>
      </c>
      <c r="M593" s="2">
        <v>10</v>
      </c>
      <c r="N593" s="2">
        <f t="shared" si="351"/>
        <v>143.36000000000001</v>
      </c>
      <c r="O593" s="2">
        <f t="shared" si="352"/>
        <v>14.34</v>
      </c>
      <c r="P593" s="2">
        <f t="shared" si="353"/>
        <v>1120</v>
      </c>
      <c r="Q593" s="2">
        <f t="shared" si="354"/>
        <v>112</v>
      </c>
      <c r="R593" s="2">
        <f t="shared" si="355"/>
        <v>23.89</v>
      </c>
      <c r="S593" s="2">
        <f t="shared" si="356"/>
        <v>2.39</v>
      </c>
      <c r="T593" s="2">
        <v>0</v>
      </c>
      <c r="U593" s="2">
        <v>0</v>
      </c>
      <c r="V593" s="2">
        <v>0</v>
      </c>
      <c r="W593" s="2">
        <v>0</v>
      </c>
      <c r="X593" s="2">
        <v>0</v>
      </c>
      <c r="Y593" s="25">
        <v>235031</v>
      </c>
      <c r="Z593" s="26" t="s">
        <v>710</v>
      </c>
      <c r="AA593" s="4">
        <v>1</v>
      </c>
      <c r="AB593" s="4">
        <v>0</v>
      </c>
      <c r="AC593" s="4"/>
      <c r="AD593" s="4">
        <f t="shared" si="346"/>
        <v>3825.8866800000005</v>
      </c>
      <c r="AF593" s="1" t="str">
        <f t="shared" si="347"/>
        <v>3</v>
      </c>
      <c r="AG593">
        <v>4</v>
      </c>
      <c r="AH593">
        <f t="shared" si="357"/>
        <v>143.35999999999999</v>
      </c>
      <c r="AI593">
        <f t="shared" si="358"/>
        <v>14.335999999999999</v>
      </c>
      <c r="AJ593">
        <f t="shared" si="359"/>
        <v>1120</v>
      </c>
      <c r="AK593">
        <f t="shared" si="360"/>
        <v>112</v>
      </c>
      <c r="AL593">
        <f t="shared" si="361"/>
        <v>23.893333333333331</v>
      </c>
      <c r="AM593">
        <f t="shared" si="362"/>
        <v>2.3893333333333331</v>
      </c>
      <c r="AN593">
        <f t="shared" si="363"/>
        <v>1.6</v>
      </c>
      <c r="AO593">
        <f t="shared" si="364"/>
        <v>1.5</v>
      </c>
      <c r="AP593">
        <f t="shared" si="365"/>
        <v>3</v>
      </c>
      <c r="AQ593">
        <v>503</v>
      </c>
      <c r="AR593">
        <v>1</v>
      </c>
    </row>
    <row r="594" spans="1:44" x14ac:dyDescent="0.15">
      <c r="A594">
        <f t="shared" si="345"/>
        <v>1304044</v>
      </c>
      <c r="B594" s="21" t="s">
        <v>274</v>
      </c>
      <c r="C594">
        <v>4</v>
      </c>
      <c r="D594">
        <v>3</v>
      </c>
      <c r="E594">
        <v>4</v>
      </c>
      <c r="F594" s="22" t="s">
        <v>743</v>
      </c>
      <c r="G594" s="22" t="s">
        <v>744</v>
      </c>
      <c r="H594">
        <v>0</v>
      </c>
      <c r="I594" s="2">
        <v>0</v>
      </c>
      <c r="J594" s="2">
        <f t="shared" si="348"/>
        <v>3</v>
      </c>
      <c r="K594" s="2">
        <f t="shared" si="349"/>
        <v>1.4000000000000001</v>
      </c>
      <c r="L594" s="2">
        <f t="shared" si="350"/>
        <v>2</v>
      </c>
      <c r="M594" s="2">
        <v>10</v>
      </c>
      <c r="N594" s="2">
        <f t="shared" si="351"/>
        <v>120.21</v>
      </c>
      <c r="O594" s="2">
        <f t="shared" si="352"/>
        <v>12.02</v>
      </c>
      <c r="P594" s="2">
        <f t="shared" si="353"/>
        <v>1168.7</v>
      </c>
      <c r="Q594" s="2">
        <f t="shared" si="354"/>
        <v>116.87</v>
      </c>
      <c r="R594" s="2">
        <f t="shared" si="355"/>
        <v>15.03</v>
      </c>
      <c r="S594" s="2">
        <f t="shared" si="356"/>
        <v>1.5</v>
      </c>
      <c r="T594" s="2">
        <v>0</v>
      </c>
      <c r="U594" s="2">
        <v>0</v>
      </c>
      <c r="V594" s="2">
        <v>0</v>
      </c>
      <c r="W594" s="2">
        <v>0</v>
      </c>
      <c r="X594" s="2">
        <v>0</v>
      </c>
      <c r="Y594" s="25">
        <v>233041</v>
      </c>
      <c r="Z594" s="26" t="s">
        <v>710</v>
      </c>
      <c r="AA594" s="4">
        <v>1</v>
      </c>
      <c r="AB594" s="4">
        <v>0</v>
      </c>
      <c r="AC594" s="4"/>
      <c r="AD594" s="4">
        <f t="shared" si="346"/>
        <v>3824.5353968250001</v>
      </c>
      <c r="AF594" s="1" t="str">
        <f t="shared" si="347"/>
        <v>4</v>
      </c>
      <c r="AG594">
        <v>4</v>
      </c>
      <c r="AH594">
        <f t="shared" si="357"/>
        <v>120.21333333333331</v>
      </c>
      <c r="AI594">
        <f t="shared" si="358"/>
        <v>12.021333333333331</v>
      </c>
      <c r="AJ594">
        <f t="shared" si="359"/>
        <v>1168.695652173913</v>
      </c>
      <c r="AK594">
        <f t="shared" si="360"/>
        <v>116.86956521739131</v>
      </c>
      <c r="AL594">
        <f t="shared" si="361"/>
        <v>15.026666666666664</v>
      </c>
      <c r="AM594">
        <f t="shared" si="362"/>
        <v>1.5026666666666664</v>
      </c>
      <c r="AN594">
        <f t="shared" si="363"/>
        <v>1.4</v>
      </c>
      <c r="AO594">
        <f t="shared" si="364"/>
        <v>2</v>
      </c>
      <c r="AP594">
        <f t="shared" si="365"/>
        <v>3</v>
      </c>
      <c r="AQ594">
        <v>304</v>
      </c>
      <c r="AR594">
        <v>1</v>
      </c>
    </row>
    <row r="595" spans="1:44" x14ac:dyDescent="0.15">
      <c r="A595">
        <f t="shared" ref="A595:A606" si="366">AR595*1000000+AQ595*1000+C595*10+E595</f>
        <v>1203045</v>
      </c>
      <c r="B595" s="6" t="s">
        <v>241</v>
      </c>
      <c r="C595">
        <v>4</v>
      </c>
      <c r="D595">
        <v>2</v>
      </c>
      <c r="E595">
        <v>5</v>
      </c>
      <c r="F595" s="6" t="s">
        <v>242</v>
      </c>
      <c r="G595" s="20" t="s">
        <v>243</v>
      </c>
      <c r="H595">
        <v>0</v>
      </c>
      <c r="I595" s="2">
        <v>0</v>
      </c>
      <c r="J595" s="2">
        <f t="shared" si="348"/>
        <v>3</v>
      </c>
      <c r="K595" s="2">
        <f t="shared" si="349"/>
        <v>1.3</v>
      </c>
      <c r="L595" s="2">
        <f t="shared" si="350"/>
        <v>1.9000000000000001</v>
      </c>
      <c r="M595" s="2">
        <v>10</v>
      </c>
      <c r="N595" s="2">
        <f t="shared" si="351"/>
        <v>87.36</v>
      </c>
      <c r="O595" s="2">
        <f t="shared" si="352"/>
        <v>8.74</v>
      </c>
      <c r="P595" s="2">
        <f t="shared" si="353"/>
        <v>1493.33</v>
      </c>
      <c r="Q595" s="2">
        <f t="shared" si="354"/>
        <v>149.33000000000001</v>
      </c>
      <c r="R595" s="2">
        <f t="shared" si="355"/>
        <v>17.47</v>
      </c>
      <c r="S595" s="2">
        <f t="shared" si="356"/>
        <v>1.75</v>
      </c>
      <c r="T595" s="2">
        <v>0</v>
      </c>
      <c r="U595" s="2">
        <v>0</v>
      </c>
      <c r="V595" s="2">
        <v>0</v>
      </c>
      <c r="W595" s="2">
        <v>0</v>
      </c>
      <c r="X595" s="2">
        <v>0</v>
      </c>
      <c r="Y595" s="25">
        <v>112031</v>
      </c>
      <c r="Z595" s="26" t="s">
        <v>710</v>
      </c>
      <c r="AA595" s="4">
        <v>1</v>
      </c>
      <c r="AB595" s="4">
        <v>0</v>
      </c>
      <c r="AC595" s="4"/>
      <c r="AD595" s="4">
        <f t="shared" ref="AD595:AD606" si="367">(N595+O595*$AD$2)*(P595+Q595*$AD$2)/K595*0.945/3000</f>
        <v>3826.4301782861539</v>
      </c>
      <c r="AF595" s="1" t="str">
        <f t="shared" ref="AF595:AF606" si="368">RIGHT(AQ595,1)</f>
        <v>3</v>
      </c>
      <c r="AG595">
        <v>4</v>
      </c>
      <c r="AH595">
        <f t="shared" si="357"/>
        <v>87.360000000000014</v>
      </c>
      <c r="AI595">
        <f t="shared" si="358"/>
        <v>8.7360000000000024</v>
      </c>
      <c r="AJ595">
        <f t="shared" si="359"/>
        <v>1493.3333333333333</v>
      </c>
      <c r="AK595">
        <f t="shared" si="360"/>
        <v>149.33333333333334</v>
      </c>
      <c r="AL595">
        <f t="shared" si="361"/>
        <v>17.472000000000001</v>
      </c>
      <c r="AM595">
        <f t="shared" si="362"/>
        <v>1.7472000000000003</v>
      </c>
      <c r="AN595">
        <f t="shared" si="363"/>
        <v>1.3</v>
      </c>
      <c r="AO595">
        <f t="shared" si="364"/>
        <v>1.9</v>
      </c>
      <c r="AP595">
        <f t="shared" si="365"/>
        <v>3</v>
      </c>
      <c r="AQ595">
        <v>203</v>
      </c>
      <c r="AR595">
        <v>1</v>
      </c>
    </row>
    <row r="596" spans="1:44" x14ac:dyDescent="0.15">
      <c r="A596">
        <f t="shared" si="366"/>
        <v>1403045</v>
      </c>
      <c r="B596" s="6" t="s">
        <v>244</v>
      </c>
      <c r="C596">
        <v>4</v>
      </c>
      <c r="D596">
        <v>4</v>
      </c>
      <c r="E596">
        <v>5</v>
      </c>
      <c r="F596" s="6" t="s">
        <v>245</v>
      </c>
      <c r="G596" s="20" t="s">
        <v>246</v>
      </c>
      <c r="H596" s="2">
        <v>0</v>
      </c>
      <c r="I596" s="2" t="s">
        <v>161</v>
      </c>
      <c r="J596" s="2">
        <f t="shared" si="348"/>
        <v>6</v>
      </c>
      <c r="K596" s="2">
        <f t="shared" si="349"/>
        <v>1.3</v>
      </c>
      <c r="L596" s="2">
        <f t="shared" si="350"/>
        <v>1.9000000000000001</v>
      </c>
      <c r="M596" s="2">
        <v>10</v>
      </c>
      <c r="N596" s="2">
        <f t="shared" si="351"/>
        <v>116.48</v>
      </c>
      <c r="O596" s="2">
        <f t="shared" si="352"/>
        <v>11.65</v>
      </c>
      <c r="P596" s="2">
        <f t="shared" si="353"/>
        <v>1120</v>
      </c>
      <c r="Q596" s="2">
        <f t="shared" si="354"/>
        <v>112</v>
      </c>
      <c r="R596" s="2">
        <f t="shared" si="355"/>
        <v>11.65</v>
      </c>
      <c r="S596" s="2">
        <f t="shared" si="356"/>
        <v>1.1599999999999999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25">
        <v>114031</v>
      </c>
      <c r="Z596" s="26" t="s">
        <v>710</v>
      </c>
      <c r="AA596" s="4">
        <v>1</v>
      </c>
      <c r="AB596" s="4">
        <v>0</v>
      </c>
      <c r="AC596" s="4"/>
      <c r="AD596" s="4">
        <f t="shared" si="367"/>
        <v>3825.5135261538458</v>
      </c>
      <c r="AF596" s="1" t="str">
        <f t="shared" si="368"/>
        <v>3</v>
      </c>
      <c r="AG596">
        <v>4</v>
      </c>
      <c r="AH596">
        <f t="shared" si="357"/>
        <v>116.47999999999999</v>
      </c>
      <c r="AI596">
        <f t="shared" si="358"/>
        <v>11.648</v>
      </c>
      <c r="AJ596">
        <f t="shared" si="359"/>
        <v>1120</v>
      </c>
      <c r="AK596">
        <f t="shared" si="360"/>
        <v>112</v>
      </c>
      <c r="AL596">
        <f t="shared" si="361"/>
        <v>11.648</v>
      </c>
      <c r="AM596">
        <f t="shared" si="362"/>
        <v>1.1648000000000001</v>
      </c>
      <c r="AN596">
        <f t="shared" si="363"/>
        <v>1.3</v>
      </c>
      <c r="AO596">
        <f t="shared" si="364"/>
        <v>1.9</v>
      </c>
      <c r="AP596">
        <f t="shared" si="365"/>
        <v>6</v>
      </c>
      <c r="AQ596">
        <v>403</v>
      </c>
      <c r="AR596">
        <v>1</v>
      </c>
    </row>
    <row r="597" spans="1:44" x14ac:dyDescent="0.15">
      <c r="A597">
        <f t="shared" si="366"/>
        <v>1205045</v>
      </c>
      <c r="B597" s="6" t="s">
        <v>247</v>
      </c>
      <c r="C597">
        <v>4</v>
      </c>
      <c r="D597">
        <v>2</v>
      </c>
      <c r="E597">
        <v>5</v>
      </c>
      <c r="F597" s="22" t="s">
        <v>734</v>
      </c>
      <c r="G597" s="29" t="s">
        <v>735</v>
      </c>
      <c r="H597">
        <v>0</v>
      </c>
      <c r="I597" s="2">
        <v>0</v>
      </c>
      <c r="J597" s="2">
        <f t="shared" si="348"/>
        <v>3</v>
      </c>
      <c r="K597" s="2">
        <f t="shared" si="349"/>
        <v>1.8</v>
      </c>
      <c r="L597" s="2">
        <f t="shared" si="350"/>
        <v>2</v>
      </c>
      <c r="M597" s="2">
        <v>10</v>
      </c>
      <c r="N597" s="2">
        <f t="shared" si="351"/>
        <v>120.96</v>
      </c>
      <c r="O597" s="2">
        <f t="shared" si="352"/>
        <v>12.1</v>
      </c>
      <c r="P597" s="2">
        <f t="shared" si="353"/>
        <v>1493.33</v>
      </c>
      <c r="Q597" s="2">
        <f t="shared" si="354"/>
        <v>149.33000000000001</v>
      </c>
      <c r="R597" s="2">
        <f t="shared" si="355"/>
        <v>24.19</v>
      </c>
      <c r="S597" s="2">
        <f t="shared" si="356"/>
        <v>2.42</v>
      </c>
      <c r="T597" s="2">
        <v>0</v>
      </c>
      <c r="U597" s="2">
        <v>0</v>
      </c>
      <c r="V597" s="2">
        <v>0</v>
      </c>
      <c r="W597" s="2">
        <v>0</v>
      </c>
      <c r="X597" s="2">
        <v>0</v>
      </c>
      <c r="Y597" s="25">
        <v>122051</v>
      </c>
      <c r="Z597" s="26" t="s">
        <v>710</v>
      </c>
      <c r="AA597" s="4">
        <v>1</v>
      </c>
      <c r="AB597" s="4">
        <v>0</v>
      </c>
      <c r="AC597" s="4"/>
      <c r="AD597" s="4">
        <f t="shared" si="367"/>
        <v>3825.9879309399998</v>
      </c>
      <c r="AF597" s="1" t="str">
        <f t="shared" si="368"/>
        <v>5</v>
      </c>
      <c r="AG597">
        <v>4</v>
      </c>
      <c r="AH597">
        <f t="shared" si="357"/>
        <v>120.96</v>
      </c>
      <c r="AI597">
        <f t="shared" si="358"/>
        <v>12.096</v>
      </c>
      <c r="AJ597">
        <f t="shared" si="359"/>
        <v>1493.3333333333333</v>
      </c>
      <c r="AK597">
        <f t="shared" si="360"/>
        <v>149.33333333333334</v>
      </c>
      <c r="AL597">
        <f t="shared" si="361"/>
        <v>24.192</v>
      </c>
      <c r="AM597">
        <f t="shared" si="362"/>
        <v>2.4192</v>
      </c>
      <c r="AN597">
        <f t="shared" si="363"/>
        <v>1.8</v>
      </c>
      <c r="AO597">
        <f t="shared" si="364"/>
        <v>2</v>
      </c>
      <c r="AP597">
        <f t="shared" si="365"/>
        <v>3</v>
      </c>
      <c r="AQ597">
        <v>205</v>
      </c>
      <c r="AR597">
        <v>1</v>
      </c>
    </row>
    <row r="598" spans="1:44" x14ac:dyDescent="0.15">
      <c r="A598">
        <f t="shared" si="366"/>
        <v>1405045</v>
      </c>
      <c r="B598" s="6" t="s">
        <v>250</v>
      </c>
      <c r="C598">
        <v>4</v>
      </c>
      <c r="D598">
        <v>4</v>
      </c>
      <c r="E598">
        <v>5</v>
      </c>
      <c r="F598" s="22" t="s">
        <v>736</v>
      </c>
      <c r="G598" s="22" t="s">
        <v>737</v>
      </c>
      <c r="H598">
        <v>0</v>
      </c>
      <c r="I598" s="2" t="s">
        <v>161</v>
      </c>
      <c r="J598" s="2">
        <f t="shared" si="348"/>
        <v>6</v>
      </c>
      <c r="K598" s="2">
        <f t="shared" si="349"/>
        <v>1.5</v>
      </c>
      <c r="L598" s="2">
        <f t="shared" si="350"/>
        <v>1.5</v>
      </c>
      <c r="M598" s="2">
        <v>10</v>
      </c>
      <c r="N598" s="2">
        <f t="shared" si="351"/>
        <v>140</v>
      </c>
      <c r="O598" s="2">
        <f t="shared" si="352"/>
        <v>14</v>
      </c>
      <c r="P598" s="2">
        <f t="shared" si="353"/>
        <v>1075.2</v>
      </c>
      <c r="Q598" s="2">
        <f t="shared" si="354"/>
        <v>107.52</v>
      </c>
      <c r="R598" s="2">
        <f t="shared" si="355"/>
        <v>14</v>
      </c>
      <c r="S598" s="2">
        <f t="shared" si="356"/>
        <v>1.4</v>
      </c>
      <c r="T598" s="2">
        <v>0</v>
      </c>
      <c r="U598" s="2">
        <v>0</v>
      </c>
      <c r="V598" s="2">
        <v>0</v>
      </c>
      <c r="W598" s="2">
        <v>0</v>
      </c>
      <c r="X598" s="2">
        <v>0</v>
      </c>
      <c r="Y598" s="25">
        <v>124051</v>
      </c>
      <c r="Z598" s="26" t="s">
        <v>710</v>
      </c>
      <c r="AA598" s="4">
        <v>1</v>
      </c>
      <c r="AB598" s="4">
        <v>0</v>
      </c>
      <c r="AC598" s="4"/>
      <c r="AD598" s="4">
        <f t="shared" si="367"/>
        <v>3824.9164799999999</v>
      </c>
      <c r="AF598" s="1" t="str">
        <f t="shared" si="368"/>
        <v>5</v>
      </c>
      <c r="AG598">
        <v>4</v>
      </c>
      <c r="AH598">
        <f t="shared" si="357"/>
        <v>140</v>
      </c>
      <c r="AI598">
        <f t="shared" si="358"/>
        <v>14</v>
      </c>
      <c r="AJ598">
        <f t="shared" si="359"/>
        <v>1075.1999999999998</v>
      </c>
      <c r="AK598">
        <f t="shared" si="360"/>
        <v>107.51999999999998</v>
      </c>
      <c r="AL598">
        <f t="shared" si="361"/>
        <v>14</v>
      </c>
      <c r="AM598">
        <f t="shared" si="362"/>
        <v>1.4000000000000001</v>
      </c>
      <c r="AN598">
        <f t="shared" si="363"/>
        <v>1.5</v>
      </c>
      <c r="AO598">
        <f t="shared" si="364"/>
        <v>1.5</v>
      </c>
      <c r="AP598">
        <f t="shared" si="365"/>
        <v>6</v>
      </c>
      <c r="AQ598">
        <v>405</v>
      </c>
      <c r="AR598">
        <v>1</v>
      </c>
    </row>
    <row r="599" spans="1:44" x14ac:dyDescent="0.15">
      <c r="A599">
        <f t="shared" si="366"/>
        <v>1303045</v>
      </c>
      <c r="B599" s="6" t="s">
        <v>253</v>
      </c>
      <c r="C599">
        <v>4</v>
      </c>
      <c r="D599">
        <v>3</v>
      </c>
      <c r="E599">
        <v>5</v>
      </c>
      <c r="F599" s="22" t="s">
        <v>730</v>
      </c>
      <c r="G599" s="22" t="s">
        <v>731</v>
      </c>
      <c r="H599" s="2">
        <v>0</v>
      </c>
      <c r="I599" s="2">
        <v>0</v>
      </c>
      <c r="J599" s="2">
        <f t="shared" si="348"/>
        <v>3</v>
      </c>
      <c r="K599" s="2">
        <f t="shared" si="349"/>
        <v>1.3</v>
      </c>
      <c r="L599" s="2">
        <f t="shared" si="350"/>
        <v>1.4000000000000001</v>
      </c>
      <c r="M599" s="2">
        <v>10</v>
      </c>
      <c r="N599" s="2">
        <f t="shared" si="351"/>
        <v>106.77</v>
      </c>
      <c r="O599" s="2">
        <f t="shared" si="352"/>
        <v>10.68</v>
      </c>
      <c r="P599" s="2">
        <f t="shared" si="353"/>
        <v>1221.82</v>
      </c>
      <c r="Q599" s="2">
        <f t="shared" si="354"/>
        <v>122.18</v>
      </c>
      <c r="R599" s="2">
        <f t="shared" si="355"/>
        <v>13.35</v>
      </c>
      <c r="S599" s="2">
        <f t="shared" si="356"/>
        <v>1.33</v>
      </c>
      <c r="T599" s="2">
        <v>0</v>
      </c>
      <c r="U599" s="2">
        <v>0</v>
      </c>
      <c r="V599" s="2">
        <v>0</v>
      </c>
      <c r="W599" s="2">
        <v>0</v>
      </c>
      <c r="X599" s="2">
        <v>0</v>
      </c>
      <c r="Y599" s="25">
        <v>133031</v>
      </c>
      <c r="Z599" s="26" t="s">
        <v>710</v>
      </c>
      <c r="AA599" s="4">
        <v>1</v>
      </c>
      <c r="AB599" s="4">
        <v>0</v>
      </c>
      <c r="AC599" s="4"/>
      <c r="AD599" s="4">
        <f t="shared" si="367"/>
        <v>3825.7228173392305</v>
      </c>
      <c r="AF599" s="1" t="str">
        <f t="shared" si="368"/>
        <v>3</v>
      </c>
      <c r="AG599">
        <v>4</v>
      </c>
      <c r="AH599">
        <f t="shared" si="357"/>
        <v>106.77333333333334</v>
      </c>
      <c r="AI599">
        <f t="shared" si="358"/>
        <v>10.677333333333335</v>
      </c>
      <c r="AJ599">
        <f t="shared" si="359"/>
        <v>1221.8181818181818</v>
      </c>
      <c r="AK599">
        <f t="shared" si="360"/>
        <v>122.18181818181819</v>
      </c>
      <c r="AL599">
        <f t="shared" si="361"/>
        <v>13.346666666666668</v>
      </c>
      <c r="AM599">
        <f t="shared" si="362"/>
        <v>1.3346666666666669</v>
      </c>
      <c r="AN599">
        <f t="shared" si="363"/>
        <v>1.3</v>
      </c>
      <c r="AO599">
        <f t="shared" si="364"/>
        <v>1.4</v>
      </c>
      <c r="AP599">
        <f t="shared" si="365"/>
        <v>3</v>
      </c>
      <c r="AQ599">
        <v>303</v>
      </c>
      <c r="AR599">
        <v>1</v>
      </c>
    </row>
    <row r="600" spans="1:44" x14ac:dyDescent="0.15">
      <c r="A600">
        <f t="shared" si="366"/>
        <v>1504045</v>
      </c>
      <c r="B600" s="6" t="s">
        <v>256</v>
      </c>
      <c r="C600">
        <v>4</v>
      </c>
      <c r="D600">
        <v>5</v>
      </c>
      <c r="E600">
        <v>5</v>
      </c>
      <c r="F600" s="22" t="s">
        <v>732</v>
      </c>
      <c r="G600" s="22" t="s">
        <v>733</v>
      </c>
      <c r="H600">
        <v>0</v>
      </c>
      <c r="I600" s="2">
        <v>0</v>
      </c>
      <c r="J600" s="2">
        <f t="shared" si="348"/>
        <v>3</v>
      </c>
      <c r="K600" s="2">
        <f t="shared" si="349"/>
        <v>1.8</v>
      </c>
      <c r="L600" s="2">
        <f t="shared" si="350"/>
        <v>1.5</v>
      </c>
      <c r="M600" s="2">
        <v>10</v>
      </c>
      <c r="N600" s="2">
        <f t="shared" si="351"/>
        <v>147.84</v>
      </c>
      <c r="O600" s="2">
        <f t="shared" si="352"/>
        <v>14.78</v>
      </c>
      <c r="P600" s="2">
        <f t="shared" si="353"/>
        <v>1221.82</v>
      </c>
      <c r="Q600" s="2">
        <f t="shared" si="354"/>
        <v>122.18</v>
      </c>
      <c r="R600" s="2">
        <f t="shared" si="355"/>
        <v>24.64</v>
      </c>
      <c r="S600" s="2">
        <f t="shared" si="356"/>
        <v>2.46</v>
      </c>
      <c r="T600" s="2">
        <v>0</v>
      </c>
      <c r="U600" s="2">
        <v>0</v>
      </c>
      <c r="V600" s="2">
        <v>0</v>
      </c>
      <c r="W600" s="2">
        <v>0</v>
      </c>
      <c r="X600" s="2">
        <v>0</v>
      </c>
      <c r="Y600" s="25">
        <v>135041</v>
      </c>
      <c r="Z600" s="26" t="s">
        <v>710</v>
      </c>
      <c r="AA600" s="4">
        <v>1</v>
      </c>
      <c r="AB600" s="4">
        <v>0.5</v>
      </c>
      <c r="AC600" s="4"/>
      <c r="AD600" s="4">
        <f t="shared" si="367"/>
        <v>3823.9244660399991</v>
      </c>
      <c r="AF600" s="1" t="str">
        <f t="shared" si="368"/>
        <v>4</v>
      </c>
      <c r="AG600">
        <v>4</v>
      </c>
      <c r="AH600">
        <f t="shared" si="357"/>
        <v>147.84</v>
      </c>
      <c r="AI600">
        <f t="shared" si="358"/>
        <v>14.784000000000001</v>
      </c>
      <c r="AJ600">
        <f t="shared" si="359"/>
        <v>1221.8181818181818</v>
      </c>
      <c r="AK600">
        <f t="shared" si="360"/>
        <v>122.18181818181819</v>
      </c>
      <c r="AL600">
        <f t="shared" si="361"/>
        <v>24.64</v>
      </c>
      <c r="AM600">
        <f t="shared" si="362"/>
        <v>2.4640000000000004</v>
      </c>
      <c r="AN600">
        <f t="shared" si="363"/>
        <v>1.8</v>
      </c>
      <c r="AO600">
        <f t="shared" si="364"/>
        <v>1.5</v>
      </c>
      <c r="AP600">
        <f t="shared" si="365"/>
        <v>3</v>
      </c>
      <c r="AQ600">
        <v>504</v>
      </c>
      <c r="AR600">
        <v>1</v>
      </c>
    </row>
    <row r="601" spans="1:44" x14ac:dyDescent="0.15">
      <c r="A601">
        <f t="shared" si="366"/>
        <v>1206045</v>
      </c>
      <c r="B601" s="21" t="s">
        <v>259</v>
      </c>
      <c r="C601">
        <v>4</v>
      </c>
      <c r="D601">
        <v>2</v>
      </c>
      <c r="E601">
        <v>5</v>
      </c>
      <c r="F601" s="6" t="s">
        <v>260</v>
      </c>
      <c r="G601" s="6" t="s">
        <v>261</v>
      </c>
      <c r="H601" s="2">
        <v>0</v>
      </c>
      <c r="I601" s="2">
        <v>0</v>
      </c>
      <c r="J601" s="2">
        <f t="shared" si="348"/>
        <v>3</v>
      </c>
      <c r="K601" s="2">
        <f t="shared" si="349"/>
        <v>1.6</v>
      </c>
      <c r="L601" s="2">
        <f t="shared" si="350"/>
        <v>2</v>
      </c>
      <c r="M601" s="2">
        <v>10</v>
      </c>
      <c r="N601" s="2">
        <f t="shared" si="351"/>
        <v>107.52</v>
      </c>
      <c r="O601" s="2">
        <f t="shared" si="352"/>
        <v>10.75</v>
      </c>
      <c r="P601" s="2">
        <f t="shared" si="353"/>
        <v>1493.33</v>
      </c>
      <c r="Q601" s="2">
        <f t="shared" si="354"/>
        <v>149.33000000000001</v>
      </c>
      <c r="R601" s="2">
        <f t="shared" si="355"/>
        <v>21.5</v>
      </c>
      <c r="S601" s="2">
        <f t="shared" si="356"/>
        <v>2.15</v>
      </c>
      <c r="T601" s="2">
        <v>0</v>
      </c>
      <c r="U601" s="2">
        <v>0</v>
      </c>
      <c r="V601" s="2">
        <v>0</v>
      </c>
      <c r="W601" s="2">
        <v>0</v>
      </c>
      <c r="X601" s="2">
        <v>0</v>
      </c>
      <c r="Y601" s="25">
        <v>212061</v>
      </c>
      <c r="Z601" s="26" t="s">
        <v>710</v>
      </c>
      <c r="AA601" s="4">
        <v>1</v>
      </c>
      <c r="AB601" s="4">
        <v>0</v>
      </c>
      <c r="AC601" s="4"/>
      <c r="AD601" s="4">
        <f t="shared" si="367"/>
        <v>3824.1913010962498</v>
      </c>
      <c r="AF601" s="1" t="str">
        <f t="shared" si="368"/>
        <v>6</v>
      </c>
      <c r="AG601">
        <v>4</v>
      </c>
      <c r="AH601">
        <f t="shared" si="357"/>
        <v>107.52000000000001</v>
      </c>
      <c r="AI601">
        <f t="shared" si="358"/>
        <v>10.752000000000002</v>
      </c>
      <c r="AJ601">
        <f t="shared" si="359"/>
        <v>1493.3333333333333</v>
      </c>
      <c r="AK601">
        <f t="shared" si="360"/>
        <v>149.33333333333334</v>
      </c>
      <c r="AL601">
        <f t="shared" si="361"/>
        <v>21.504000000000001</v>
      </c>
      <c r="AM601">
        <f t="shared" si="362"/>
        <v>2.1504000000000003</v>
      </c>
      <c r="AN601">
        <f t="shared" si="363"/>
        <v>1.6</v>
      </c>
      <c r="AO601">
        <f t="shared" si="364"/>
        <v>2</v>
      </c>
      <c r="AP601">
        <f t="shared" si="365"/>
        <v>3</v>
      </c>
      <c r="AQ601">
        <v>206</v>
      </c>
      <c r="AR601">
        <v>1</v>
      </c>
    </row>
    <row r="602" spans="1:44" x14ac:dyDescent="0.15">
      <c r="A602">
        <f t="shared" si="366"/>
        <v>1406045</v>
      </c>
      <c r="B602" s="21" t="s">
        <v>262</v>
      </c>
      <c r="C602">
        <v>4</v>
      </c>
      <c r="D602">
        <v>4</v>
      </c>
      <c r="E602">
        <v>5</v>
      </c>
      <c r="F602" s="6" t="s">
        <v>263</v>
      </c>
      <c r="G602" s="6" t="s">
        <v>264</v>
      </c>
      <c r="H602" s="2">
        <v>0</v>
      </c>
      <c r="I602" s="2" t="s">
        <v>161</v>
      </c>
      <c r="J602" s="2">
        <f t="shared" si="348"/>
        <v>6</v>
      </c>
      <c r="K602" s="2">
        <f t="shared" si="349"/>
        <v>1.4000000000000001</v>
      </c>
      <c r="L602" s="2">
        <f t="shared" si="350"/>
        <v>1.2</v>
      </c>
      <c r="M602" s="2">
        <v>10</v>
      </c>
      <c r="N602" s="2">
        <f t="shared" si="351"/>
        <v>135.88999999999999</v>
      </c>
      <c r="O602" s="2">
        <f t="shared" si="352"/>
        <v>13.59</v>
      </c>
      <c r="P602" s="2">
        <f t="shared" si="353"/>
        <v>1033.8499999999999</v>
      </c>
      <c r="Q602" s="2">
        <f t="shared" si="354"/>
        <v>103.38</v>
      </c>
      <c r="R602" s="2">
        <f t="shared" si="355"/>
        <v>13.59</v>
      </c>
      <c r="S602" s="2">
        <f t="shared" si="356"/>
        <v>1.36</v>
      </c>
      <c r="T602" s="2">
        <v>0</v>
      </c>
      <c r="U602" s="2">
        <v>0</v>
      </c>
      <c r="V602" s="2">
        <v>0</v>
      </c>
      <c r="W602" s="2">
        <v>0</v>
      </c>
      <c r="X602" s="2">
        <v>0</v>
      </c>
      <c r="Y602" s="25">
        <v>214061</v>
      </c>
      <c r="Z602" s="26" t="s">
        <v>710</v>
      </c>
      <c r="AA602" s="4">
        <v>1</v>
      </c>
      <c r="AB602" s="4">
        <v>0</v>
      </c>
      <c r="AC602" s="4"/>
      <c r="AD602" s="4">
        <f t="shared" si="367"/>
        <v>3824.9245904624991</v>
      </c>
      <c r="AF602" s="1" t="str">
        <f t="shared" si="368"/>
        <v>6</v>
      </c>
      <c r="AG602">
        <v>4</v>
      </c>
      <c r="AH602">
        <f t="shared" si="357"/>
        <v>135.89333333333329</v>
      </c>
      <c r="AI602">
        <f t="shared" si="358"/>
        <v>13.589333333333329</v>
      </c>
      <c r="AJ602">
        <f t="shared" si="359"/>
        <v>1033.8461538461536</v>
      </c>
      <c r="AK602">
        <f t="shared" si="360"/>
        <v>103.38461538461536</v>
      </c>
      <c r="AL602">
        <f t="shared" si="361"/>
        <v>13.589333333333329</v>
      </c>
      <c r="AM602">
        <f t="shared" si="362"/>
        <v>1.3589333333333329</v>
      </c>
      <c r="AN602">
        <f t="shared" si="363"/>
        <v>1.4</v>
      </c>
      <c r="AO602">
        <f t="shared" si="364"/>
        <v>1.2</v>
      </c>
      <c r="AP602">
        <f t="shared" si="365"/>
        <v>6</v>
      </c>
      <c r="AQ602">
        <v>406</v>
      </c>
      <c r="AR602">
        <v>1</v>
      </c>
    </row>
    <row r="603" spans="1:44" x14ac:dyDescent="0.15">
      <c r="A603">
        <f t="shared" si="366"/>
        <v>1204045</v>
      </c>
      <c r="B603" s="21" t="s">
        <v>265</v>
      </c>
      <c r="C603">
        <v>4</v>
      </c>
      <c r="D603">
        <v>2</v>
      </c>
      <c r="E603">
        <v>5</v>
      </c>
      <c r="F603" s="22" t="s">
        <v>738</v>
      </c>
      <c r="G603" s="22" t="s">
        <v>739</v>
      </c>
      <c r="H603" s="2">
        <v>0</v>
      </c>
      <c r="I603" s="2">
        <v>0</v>
      </c>
      <c r="J603" s="2">
        <f t="shared" si="348"/>
        <v>3</v>
      </c>
      <c r="K603" s="2">
        <f t="shared" si="349"/>
        <v>1.4000000000000001</v>
      </c>
      <c r="L603" s="2">
        <f t="shared" si="350"/>
        <v>1.2</v>
      </c>
      <c r="M603" s="2">
        <v>10</v>
      </c>
      <c r="N603" s="2">
        <f t="shared" si="351"/>
        <v>94.08</v>
      </c>
      <c r="O603" s="2">
        <f t="shared" si="352"/>
        <v>9.41</v>
      </c>
      <c r="P603" s="2">
        <f t="shared" si="353"/>
        <v>1493.33</v>
      </c>
      <c r="Q603" s="2">
        <f t="shared" si="354"/>
        <v>149.33000000000001</v>
      </c>
      <c r="R603" s="2">
        <f t="shared" si="355"/>
        <v>18.82</v>
      </c>
      <c r="S603" s="2">
        <f t="shared" si="356"/>
        <v>1.88</v>
      </c>
      <c r="T603" s="2">
        <v>0</v>
      </c>
      <c r="U603" s="2">
        <v>0</v>
      </c>
      <c r="V603" s="2">
        <v>0</v>
      </c>
      <c r="W603" s="2">
        <v>0</v>
      </c>
      <c r="X603" s="2">
        <v>0</v>
      </c>
      <c r="Y603" s="25">
        <v>222041</v>
      </c>
      <c r="Z603" s="26" t="s">
        <v>710</v>
      </c>
      <c r="AA603" s="4">
        <v>1</v>
      </c>
      <c r="AB603" s="4">
        <v>0</v>
      </c>
      <c r="AC603" s="4"/>
      <c r="AD603" s="4">
        <f t="shared" si="367"/>
        <v>3825.5772726899995</v>
      </c>
      <c r="AF603" s="1" t="str">
        <f t="shared" si="368"/>
        <v>4</v>
      </c>
      <c r="AG603">
        <v>4</v>
      </c>
      <c r="AH603">
        <f t="shared" si="357"/>
        <v>94.08</v>
      </c>
      <c r="AI603">
        <f t="shared" si="358"/>
        <v>9.4079999999999995</v>
      </c>
      <c r="AJ603">
        <f t="shared" si="359"/>
        <v>1493.3333333333333</v>
      </c>
      <c r="AK603">
        <f t="shared" si="360"/>
        <v>149.33333333333334</v>
      </c>
      <c r="AL603">
        <f t="shared" si="361"/>
        <v>18.815999999999999</v>
      </c>
      <c r="AM603">
        <f t="shared" si="362"/>
        <v>1.8815999999999999</v>
      </c>
      <c r="AN603">
        <f t="shared" si="363"/>
        <v>1.4</v>
      </c>
      <c r="AO603">
        <f t="shared" si="364"/>
        <v>1.2</v>
      </c>
      <c r="AP603">
        <f t="shared" si="365"/>
        <v>3</v>
      </c>
      <c r="AQ603">
        <v>204</v>
      </c>
      <c r="AR603">
        <v>1</v>
      </c>
    </row>
    <row r="604" spans="1:44" x14ac:dyDescent="0.15">
      <c r="A604">
        <f t="shared" si="366"/>
        <v>1404045</v>
      </c>
      <c r="B604" s="21" t="s">
        <v>268</v>
      </c>
      <c r="C604">
        <v>4</v>
      </c>
      <c r="D604">
        <v>4</v>
      </c>
      <c r="E604">
        <v>5</v>
      </c>
      <c r="F604" s="22" t="s">
        <v>740</v>
      </c>
      <c r="G604" s="22" t="s">
        <v>741</v>
      </c>
      <c r="H604" s="2">
        <v>0</v>
      </c>
      <c r="I604" s="2" t="s">
        <v>161</v>
      </c>
      <c r="J604" s="2">
        <f t="shared" si="348"/>
        <v>6</v>
      </c>
      <c r="K604" s="2">
        <f t="shared" si="349"/>
        <v>1.6</v>
      </c>
      <c r="L604" s="2">
        <f t="shared" si="350"/>
        <v>1.9000000000000001</v>
      </c>
      <c r="M604" s="2">
        <v>10</v>
      </c>
      <c r="N604" s="2">
        <f t="shared" si="351"/>
        <v>155.31</v>
      </c>
      <c r="O604" s="2">
        <f t="shared" si="352"/>
        <v>15.53</v>
      </c>
      <c r="P604" s="2">
        <f t="shared" si="353"/>
        <v>1033.8499999999999</v>
      </c>
      <c r="Q604" s="2">
        <f t="shared" si="354"/>
        <v>103.38</v>
      </c>
      <c r="R604" s="2">
        <f t="shared" si="355"/>
        <v>15.53</v>
      </c>
      <c r="S604" s="2">
        <f t="shared" si="356"/>
        <v>1.55</v>
      </c>
      <c r="T604" s="2">
        <v>0</v>
      </c>
      <c r="U604" s="2">
        <v>0</v>
      </c>
      <c r="V604" s="2">
        <v>0</v>
      </c>
      <c r="W604" s="2">
        <v>0</v>
      </c>
      <c r="X604" s="2">
        <v>0</v>
      </c>
      <c r="Y604" s="25">
        <v>224041</v>
      </c>
      <c r="Z604" s="26" t="s">
        <v>710</v>
      </c>
      <c r="AA604" s="4">
        <v>1</v>
      </c>
      <c r="AB604" s="4">
        <v>0</v>
      </c>
      <c r="AC604" s="4"/>
      <c r="AD604" s="4">
        <f t="shared" si="367"/>
        <v>3824.6207488453119</v>
      </c>
      <c r="AF604" s="1" t="str">
        <f t="shared" si="368"/>
        <v>4</v>
      </c>
      <c r="AG604">
        <v>4</v>
      </c>
      <c r="AH604">
        <f t="shared" si="357"/>
        <v>155.30666666666667</v>
      </c>
      <c r="AI604">
        <f t="shared" si="358"/>
        <v>15.530666666666669</v>
      </c>
      <c r="AJ604">
        <f t="shared" si="359"/>
        <v>1033.8461538461536</v>
      </c>
      <c r="AK604">
        <f t="shared" si="360"/>
        <v>103.38461538461536</v>
      </c>
      <c r="AL604">
        <f t="shared" si="361"/>
        <v>15.530666666666667</v>
      </c>
      <c r="AM604">
        <f t="shared" si="362"/>
        <v>1.5530666666666668</v>
      </c>
      <c r="AN604">
        <f t="shared" si="363"/>
        <v>1.6</v>
      </c>
      <c r="AO604">
        <f t="shared" si="364"/>
        <v>1.9</v>
      </c>
      <c r="AP604">
        <f t="shared" si="365"/>
        <v>6</v>
      </c>
      <c r="AQ604">
        <v>404</v>
      </c>
      <c r="AR604">
        <v>1</v>
      </c>
    </row>
    <row r="605" spans="1:44" x14ac:dyDescent="0.15">
      <c r="A605">
        <f t="shared" si="366"/>
        <v>1503045</v>
      </c>
      <c r="B605" s="21" t="s">
        <v>271</v>
      </c>
      <c r="C605">
        <v>4</v>
      </c>
      <c r="D605">
        <v>5</v>
      </c>
      <c r="E605">
        <v>5</v>
      </c>
      <c r="F605" s="22" t="s">
        <v>742</v>
      </c>
      <c r="G605" s="22" t="s">
        <v>745</v>
      </c>
      <c r="H605" s="2">
        <v>0</v>
      </c>
      <c r="I605" s="2">
        <v>0</v>
      </c>
      <c r="J605" s="2">
        <f t="shared" si="348"/>
        <v>3</v>
      </c>
      <c r="K605" s="2">
        <f t="shared" si="349"/>
        <v>1.6</v>
      </c>
      <c r="L605" s="2">
        <f t="shared" si="350"/>
        <v>1.5</v>
      </c>
      <c r="M605" s="2">
        <v>10</v>
      </c>
      <c r="N605" s="2">
        <f t="shared" si="351"/>
        <v>143.36000000000001</v>
      </c>
      <c r="O605" s="2">
        <f t="shared" si="352"/>
        <v>14.34</v>
      </c>
      <c r="P605" s="2">
        <f t="shared" si="353"/>
        <v>1120</v>
      </c>
      <c r="Q605" s="2">
        <f t="shared" si="354"/>
        <v>112</v>
      </c>
      <c r="R605" s="2">
        <f t="shared" si="355"/>
        <v>23.89</v>
      </c>
      <c r="S605" s="2">
        <f t="shared" si="356"/>
        <v>2.39</v>
      </c>
      <c r="T605" s="2">
        <v>0</v>
      </c>
      <c r="U605" s="2">
        <v>0</v>
      </c>
      <c r="V605" s="2">
        <v>0</v>
      </c>
      <c r="W605" s="2">
        <v>0</v>
      </c>
      <c r="X605" s="2">
        <v>0</v>
      </c>
      <c r="Y605" s="25">
        <v>235031</v>
      </c>
      <c r="Z605" s="26" t="s">
        <v>710</v>
      </c>
      <c r="AA605" s="4">
        <v>1</v>
      </c>
      <c r="AB605" s="4">
        <v>0</v>
      </c>
      <c r="AC605" s="4"/>
      <c r="AD605" s="4">
        <f t="shared" si="367"/>
        <v>3825.8866800000005</v>
      </c>
      <c r="AF605" s="1" t="str">
        <f t="shared" si="368"/>
        <v>3</v>
      </c>
      <c r="AG605">
        <v>4</v>
      </c>
      <c r="AH605">
        <f t="shared" si="357"/>
        <v>143.35999999999999</v>
      </c>
      <c r="AI605">
        <f t="shared" si="358"/>
        <v>14.335999999999999</v>
      </c>
      <c r="AJ605">
        <f t="shared" si="359"/>
        <v>1120</v>
      </c>
      <c r="AK605">
        <f t="shared" si="360"/>
        <v>112</v>
      </c>
      <c r="AL605">
        <f t="shared" si="361"/>
        <v>23.893333333333331</v>
      </c>
      <c r="AM605">
        <f t="shared" si="362"/>
        <v>2.3893333333333331</v>
      </c>
      <c r="AN605">
        <f t="shared" si="363"/>
        <v>1.6</v>
      </c>
      <c r="AO605">
        <f t="shared" si="364"/>
        <v>1.5</v>
      </c>
      <c r="AP605">
        <f t="shared" si="365"/>
        <v>3</v>
      </c>
      <c r="AQ605">
        <v>503</v>
      </c>
      <c r="AR605">
        <v>1</v>
      </c>
    </row>
    <row r="606" spans="1:44" x14ac:dyDescent="0.15">
      <c r="A606">
        <f t="shared" si="366"/>
        <v>1304045</v>
      </c>
      <c r="B606" s="21" t="s">
        <v>274</v>
      </c>
      <c r="C606">
        <v>4</v>
      </c>
      <c r="D606">
        <v>3</v>
      </c>
      <c r="E606">
        <v>5</v>
      </c>
      <c r="F606" s="22" t="s">
        <v>743</v>
      </c>
      <c r="G606" s="22" t="s">
        <v>744</v>
      </c>
      <c r="H606">
        <v>0</v>
      </c>
      <c r="I606" s="2">
        <v>0</v>
      </c>
      <c r="J606" s="2">
        <f t="shared" si="348"/>
        <v>3</v>
      </c>
      <c r="K606" s="2">
        <f t="shared" si="349"/>
        <v>1.4000000000000001</v>
      </c>
      <c r="L606" s="2">
        <f t="shared" si="350"/>
        <v>2</v>
      </c>
      <c r="M606" s="2">
        <v>10</v>
      </c>
      <c r="N606" s="2">
        <f t="shared" si="351"/>
        <v>120.21</v>
      </c>
      <c r="O606" s="2">
        <f t="shared" si="352"/>
        <v>12.02</v>
      </c>
      <c r="P606" s="2">
        <f t="shared" si="353"/>
        <v>1168.7</v>
      </c>
      <c r="Q606" s="2">
        <f t="shared" si="354"/>
        <v>116.87</v>
      </c>
      <c r="R606" s="2">
        <f t="shared" si="355"/>
        <v>15.03</v>
      </c>
      <c r="S606" s="2">
        <f t="shared" si="356"/>
        <v>1.5</v>
      </c>
      <c r="T606" s="2">
        <v>0</v>
      </c>
      <c r="U606" s="2">
        <v>0</v>
      </c>
      <c r="V606" s="2">
        <v>0</v>
      </c>
      <c r="W606" s="2">
        <v>0</v>
      </c>
      <c r="X606" s="2">
        <v>0</v>
      </c>
      <c r="Y606" s="25">
        <v>233041</v>
      </c>
      <c r="Z606" s="26" t="s">
        <v>710</v>
      </c>
      <c r="AA606" s="4">
        <v>1</v>
      </c>
      <c r="AB606" s="4">
        <v>0</v>
      </c>
      <c r="AC606" s="4"/>
      <c r="AD606" s="4">
        <f t="shared" si="367"/>
        <v>3824.5353968250001</v>
      </c>
      <c r="AF606" s="1" t="str">
        <f t="shared" si="368"/>
        <v>4</v>
      </c>
      <c r="AG606">
        <v>4</v>
      </c>
      <c r="AH606">
        <f t="shared" si="357"/>
        <v>120.21333333333331</v>
      </c>
      <c r="AI606">
        <f t="shared" si="358"/>
        <v>12.021333333333331</v>
      </c>
      <c r="AJ606">
        <f t="shared" si="359"/>
        <v>1168.695652173913</v>
      </c>
      <c r="AK606">
        <f t="shared" si="360"/>
        <v>116.86956521739131</v>
      </c>
      <c r="AL606">
        <f t="shared" si="361"/>
        <v>15.026666666666664</v>
      </c>
      <c r="AM606">
        <f t="shared" si="362"/>
        <v>1.5026666666666664</v>
      </c>
      <c r="AN606">
        <f t="shared" si="363"/>
        <v>1.4</v>
      </c>
      <c r="AO606">
        <f t="shared" si="364"/>
        <v>2</v>
      </c>
      <c r="AP606">
        <f t="shared" si="365"/>
        <v>3</v>
      </c>
      <c r="AQ606">
        <v>304</v>
      </c>
      <c r="AR606">
        <v>1</v>
      </c>
    </row>
    <row r="607" spans="1:44" x14ac:dyDescent="0.15">
      <c r="A607">
        <f t="shared" ref="A607:A611" si="369">AR607*1000000+AQ607*1000+C607*10+E607</f>
        <v>1101011</v>
      </c>
      <c r="B607" s="21" t="s">
        <v>262</v>
      </c>
      <c r="C607">
        <v>1</v>
      </c>
      <c r="D607">
        <v>2</v>
      </c>
      <c r="E607">
        <v>1</v>
      </c>
      <c r="F607" s="6" t="s">
        <v>373</v>
      </c>
      <c r="G607" s="6" t="s">
        <v>374</v>
      </c>
      <c r="H607" s="2">
        <v>0</v>
      </c>
      <c r="I607" s="2">
        <v>0</v>
      </c>
      <c r="J607" s="2">
        <f t="shared" si="348"/>
        <v>3</v>
      </c>
      <c r="K607" s="2">
        <f t="shared" si="349"/>
        <v>1.6</v>
      </c>
      <c r="L607" s="2">
        <f t="shared" si="350"/>
        <v>1.9000000000000001</v>
      </c>
      <c r="M607" s="2">
        <v>10</v>
      </c>
      <c r="N607" s="2">
        <f t="shared" si="351"/>
        <v>85.33</v>
      </c>
      <c r="O607" s="2">
        <f t="shared" si="352"/>
        <v>8.5299999999999994</v>
      </c>
      <c r="P607" s="2">
        <f t="shared" si="353"/>
        <v>960</v>
      </c>
      <c r="Q607" s="2">
        <f t="shared" si="354"/>
        <v>96</v>
      </c>
      <c r="R607" s="2">
        <f t="shared" si="355"/>
        <v>28.44</v>
      </c>
      <c r="S607" s="2">
        <f t="shared" si="356"/>
        <v>2.84</v>
      </c>
      <c r="T607" s="2">
        <v>0</v>
      </c>
      <c r="U607" s="2">
        <v>0</v>
      </c>
      <c r="V607" s="2">
        <v>0</v>
      </c>
      <c r="W607" s="2">
        <v>0</v>
      </c>
      <c r="X607" s="2">
        <v>0</v>
      </c>
      <c r="Y607" s="25">
        <v>523011</v>
      </c>
      <c r="Z607" s="26" t="s">
        <v>710</v>
      </c>
      <c r="AA607" s="4">
        <v>1</v>
      </c>
      <c r="AB607" s="4">
        <v>0</v>
      </c>
      <c r="AC607" s="4"/>
      <c r="AD607" s="4">
        <f t="shared" ref="AD607:AD611" si="370">(N607+O607*$AD$2)*(P607+Q607*$AD$2)/K607*0.945/3000</f>
        <v>1950.7880699999996</v>
      </c>
      <c r="AF607" s="1" t="str">
        <f t="shared" ref="AF607:AF611" si="371">RIGHT(AQ607,1)</f>
        <v>1</v>
      </c>
      <c r="AG607">
        <v>1</v>
      </c>
      <c r="AH607">
        <f t="shared" si="357"/>
        <v>85.333333333333329</v>
      </c>
      <c r="AI607">
        <f t="shared" si="358"/>
        <v>8.5333333333333332</v>
      </c>
      <c r="AJ607">
        <f t="shared" si="359"/>
        <v>960</v>
      </c>
      <c r="AK607">
        <f t="shared" si="360"/>
        <v>96</v>
      </c>
      <c r="AL607">
        <f t="shared" si="361"/>
        <v>28.444444444444443</v>
      </c>
      <c r="AM607">
        <f t="shared" si="362"/>
        <v>2.8444444444444446</v>
      </c>
      <c r="AN607">
        <f t="shared" si="363"/>
        <v>1.6</v>
      </c>
      <c r="AO607">
        <f t="shared" si="364"/>
        <v>1.9</v>
      </c>
      <c r="AP607">
        <f t="shared" si="365"/>
        <v>3</v>
      </c>
      <c r="AQ607">
        <v>101</v>
      </c>
      <c r="AR607">
        <v>1</v>
      </c>
    </row>
    <row r="608" spans="1:44" x14ac:dyDescent="0.15">
      <c r="A608">
        <f t="shared" si="369"/>
        <v>1101012</v>
      </c>
      <c r="B608" s="21" t="s">
        <v>265</v>
      </c>
      <c r="C608">
        <v>1</v>
      </c>
      <c r="D608">
        <v>2</v>
      </c>
      <c r="E608">
        <v>2</v>
      </c>
      <c r="F608" s="6" t="s">
        <v>375</v>
      </c>
      <c r="G608" s="6" t="s">
        <v>376</v>
      </c>
      <c r="H608" s="2">
        <v>0</v>
      </c>
      <c r="I608" s="2">
        <v>0</v>
      </c>
      <c r="J608" s="2">
        <f t="shared" si="348"/>
        <v>3</v>
      </c>
      <c r="K608" s="2">
        <f t="shared" si="349"/>
        <v>1.6</v>
      </c>
      <c r="L608" s="2">
        <f t="shared" si="350"/>
        <v>1.9000000000000001</v>
      </c>
      <c r="M608" s="2">
        <v>10</v>
      </c>
      <c r="N608" s="2">
        <f t="shared" si="351"/>
        <v>85.33</v>
      </c>
      <c r="O608" s="2">
        <f t="shared" si="352"/>
        <v>8.5299999999999994</v>
      </c>
      <c r="P608" s="2">
        <f t="shared" si="353"/>
        <v>960</v>
      </c>
      <c r="Q608" s="2">
        <f t="shared" si="354"/>
        <v>96</v>
      </c>
      <c r="R608" s="2">
        <f t="shared" si="355"/>
        <v>28.44</v>
      </c>
      <c r="S608" s="2">
        <f t="shared" si="356"/>
        <v>2.84</v>
      </c>
      <c r="T608" s="2">
        <v>0</v>
      </c>
      <c r="U608" s="2">
        <v>0</v>
      </c>
      <c r="V608" s="2">
        <v>0</v>
      </c>
      <c r="W608" s="2">
        <v>0</v>
      </c>
      <c r="X608" s="2">
        <v>0</v>
      </c>
      <c r="Y608" s="25">
        <v>523011</v>
      </c>
      <c r="Z608" s="26" t="s">
        <v>710</v>
      </c>
      <c r="AA608" s="4">
        <v>1</v>
      </c>
      <c r="AB608" s="4">
        <v>0</v>
      </c>
      <c r="AC608" s="4"/>
      <c r="AD608" s="4">
        <f t="shared" si="370"/>
        <v>1950.7880699999996</v>
      </c>
      <c r="AF608" s="1" t="str">
        <f t="shared" si="371"/>
        <v>1</v>
      </c>
      <c r="AG608">
        <v>1</v>
      </c>
      <c r="AH608">
        <f t="shared" si="357"/>
        <v>85.333333333333329</v>
      </c>
      <c r="AI608">
        <f t="shared" si="358"/>
        <v>8.5333333333333332</v>
      </c>
      <c r="AJ608">
        <f t="shared" si="359"/>
        <v>960</v>
      </c>
      <c r="AK608">
        <f t="shared" si="360"/>
        <v>96</v>
      </c>
      <c r="AL608">
        <f t="shared" si="361"/>
        <v>28.444444444444443</v>
      </c>
      <c r="AM608">
        <f t="shared" si="362"/>
        <v>2.8444444444444446</v>
      </c>
      <c r="AN608">
        <f t="shared" si="363"/>
        <v>1.6</v>
      </c>
      <c r="AO608">
        <f t="shared" si="364"/>
        <v>1.9</v>
      </c>
      <c r="AP608">
        <f t="shared" si="365"/>
        <v>3</v>
      </c>
      <c r="AQ608">
        <v>101</v>
      </c>
      <c r="AR608">
        <v>1</v>
      </c>
    </row>
    <row r="609" spans="1:44" x14ac:dyDescent="0.15">
      <c r="A609">
        <f t="shared" si="369"/>
        <v>1101013</v>
      </c>
      <c r="B609" s="21" t="s">
        <v>268</v>
      </c>
      <c r="C609">
        <v>1</v>
      </c>
      <c r="D609">
        <v>2</v>
      </c>
      <c r="E609">
        <v>3</v>
      </c>
      <c r="F609" s="6" t="s">
        <v>377</v>
      </c>
      <c r="G609" s="6" t="s">
        <v>378</v>
      </c>
      <c r="H609" s="2">
        <v>0</v>
      </c>
      <c r="I609" s="2">
        <v>0</v>
      </c>
      <c r="J609" s="2">
        <f t="shared" si="348"/>
        <v>3</v>
      </c>
      <c r="K609" s="2">
        <f t="shared" si="349"/>
        <v>1.6</v>
      </c>
      <c r="L609" s="2">
        <f t="shared" si="350"/>
        <v>1.9000000000000001</v>
      </c>
      <c r="M609" s="2">
        <v>10</v>
      </c>
      <c r="N609" s="2">
        <f t="shared" si="351"/>
        <v>85.33</v>
      </c>
      <c r="O609" s="2">
        <f t="shared" si="352"/>
        <v>8.5299999999999994</v>
      </c>
      <c r="P609" s="2">
        <f t="shared" si="353"/>
        <v>960</v>
      </c>
      <c r="Q609" s="2">
        <f t="shared" si="354"/>
        <v>96</v>
      </c>
      <c r="R609" s="2">
        <f t="shared" si="355"/>
        <v>28.44</v>
      </c>
      <c r="S609" s="2">
        <f t="shared" si="356"/>
        <v>2.84</v>
      </c>
      <c r="T609" s="2">
        <v>0</v>
      </c>
      <c r="U609" s="2">
        <v>0</v>
      </c>
      <c r="V609" s="2">
        <v>0</v>
      </c>
      <c r="W609" s="2">
        <v>0</v>
      </c>
      <c r="X609" s="2">
        <v>0</v>
      </c>
      <c r="Y609" s="25">
        <v>523011</v>
      </c>
      <c r="Z609" s="26" t="s">
        <v>710</v>
      </c>
      <c r="AA609" s="4">
        <v>1</v>
      </c>
      <c r="AB609" s="4">
        <v>0</v>
      </c>
      <c r="AC609" s="4"/>
      <c r="AD609" s="4">
        <f t="shared" si="370"/>
        <v>1950.7880699999996</v>
      </c>
      <c r="AF609" s="1" t="str">
        <f t="shared" si="371"/>
        <v>1</v>
      </c>
      <c r="AG609">
        <v>1</v>
      </c>
      <c r="AH609">
        <f t="shared" si="357"/>
        <v>85.333333333333329</v>
      </c>
      <c r="AI609">
        <f t="shared" si="358"/>
        <v>8.5333333333333332</v>
      </c>
      <c r="AJ609">
        <f t="shared" si="359"/>
        <v>960</v>
      </c>
      <c r="AK609">
        <f t="shared" si="360"/>
        <v>96</v>
      </c>
      <c r="AL609">
        <f t="shared" si="361"/>
        <v>28.444444444444443</v>
      </c>
      <c r="AM609">
        <f t="shared" si="362"/>
        <v>2.8444444444444446</v>
      </c>
      <c r="AN609">
        <f t="shared" si="363"/>
        <v>1.6</v>
      </c>
      <c r="AO609">
        <f t="shared" si="364"/>
        <v>1.9</v>
      </c>
      <c r="AP609">
        <f t="shared" si="365"/>
        <v>3</v>
      </c>
      <c r="AQ609">
        <v>101</v>
      </c>
      <c r="AR609">
        <v>1</v>
      </c>
    </row>
    <row r="610" spans="1:44" x14ac:dyDescent="0.15">
      <c r="A610">
        <f t="shared" si="369"/>
        <v>1101014</v>
      </c>
      <c r="B610" s="21" t="s">
        <v>271</v>
      </c>
      <c r="C610">
        <v>1</v>
      </c>
      <c r="D610">
        <v>2</v>
      </c>
      <c r="E610">
        <v>4</v>
      </c>
      <c r="F610" s="6" t="s">
        <v>379</v>
      </c>
      <c r="G610" s="6" t="s">
        <v>380</v>
      </c>
      <c r="H610" s="2">
        <v>0</v>
      </c>
      <c r="I610" s="2">
        <v>0</v>
      </c>
      <c r="J610" s="2">
        <f t="shared" si="348"/>
        <v>3</v>
      </c>
      <c r="K610" s="2">
        <f t="shared" si="349"/>
        <v>1.6</v>
      </c>
      <c r="L610" s="2">
        <f t="shared" si="350"/>
        <v>1.9000000000000001</v>
      </c>
      <c r="M610" s="2">
        <v>10</v>
      </c>
      <c r="N610" s="2">
        <f t="shared" si="351"/>
        <v>85.33</v>
      </c>
      <c r="O610" s="2">
        <f t="shared" si="352"/>
        <v>8.5299999999999994</v>
      </c>
      <c r="P610" s="2">
        <f t="shared" si="353"/>
        <v>960</v>
      </c>
      <c r="Q610" s="2">
        <f t="shared" si="354"/>
        <v>96</v>
      </c>
      <c r="R610" s="2">
        <f t="shared" si="355"/>
        <v>28.44</v>
      </c>
      <c r="S610" s="2">
        <f t="shared" si="356"/>
        <v>2.84</v>
      </c>
      <c r="T610" s="2">
        <v>0</v>
      </c>
      <c r="U610" s="2">
        <v>0</v>
      </c>
      <c r="V610" s="2">
        <v>0</v>
      </c>
      <c r="W610" s="2">
        <v>0</v>
      </c>
      <c r="X610" s="2">
        <v>0</v>
      </c>
      <c r="Y610" s="25">
        <v>523011</v>
      </c>
      <c r="Z610" s="26" t="s">
        <v>710</v>
      </c>
      <c r="AA610" s="4">
        <v>1</v>
      </c>
      <c r="AB610" s="4">
        <v>0</v>
      </c>
      <c r="AC610" s="4"/>
      <c r="AD610" s="4">
        <f t="shared" si="370"/>
        <v>1950.7880699999996</v>
      </c>
      <c r="AF610" s="1" t="str">
        <f t="shared" si="371"/>
        <v>1</v>
      </c>
      <c r="AG610">
        <v>1</v>
      </c>
      <c r="AH610">
        <f t="shared" si="357"/>
        <v>85.333333333333329</v>
      </c>
      <c r="AI610">
        <f t="shared" si="358"/>
        <v>8.5333333333333332</v>
      </c>
      <c r="AJ610">
        <f t="shared" si="359"/>
        <v>960</v>
      </c>
      <c r="AK610">
        <f t="shared" si="360"/>
        <v>96</v>
      </c>
      <c r="AL610">
        <f t="shared" si="361"/>
        <v>28.444444444444443</v>
      </c>
      <c r="AM610">
        <f t="shared" si="362"/>
        <v>2.8444444444444446</v>
      </c>
      <c r="AN610">
        <f t="shared" si="363"/>
        <v>1.6</v>
      </c>
      <c r="AO610">
        <f t="shared" si="364"/>
        <v>1.9</v>
      </c>
      <c r="AP610">
        <f t="shared" si="365"/>
        <v>3</v>
      </c>
      <c r="AQ610">
        <v>101</v>
      </c>
      <c r="AR610">
        <v>1</v>
      </c>
    </row>
    <row r="611" spans="1:44" x14ac:dyDescent="0.15">
      <c r="A611">
        <f t="shared" si="369"/>
        <v>1101015</v>
      </c>
      <c r="B611" s="21" t="s">
        <v>274</v>
      </c>
      <c r="C611">
        <v>1</v>
      </c>
      <c r="D611">
        <v>2</v>
      </c>
      <c r="E611">
        <v>5</v>
      </c>
      <c r="F611" s="6" t="s">
        <v>381</v>
      </c>
      <c r="G611" s="6" t="s">
        <v>382</v>
      </c>
      <c r="H611">
        <v>0</v>
      </c>
      <c r="I611" s="2">
        <v>0</v>
      </c>
      <c r="J611" s="2">
        <f t="shared" si="348"/>
        <v>3</v>
      </c>
      <c r="K611" s="2">
        <f t="shared" si="349"/>
        <v>1.6</v>
      </c>
      <c r="L611" s="2">
        <f t="shared" si="350"/>
        <v>1.9000000000000001</v>
      </c>
      <c r="M611" s="2">
        <v>10</v>
      </c>
      <c r="N611" s="2">
        <f t="shared" si="351"/>
        <v>85.33</v>
      </c>
      <c r="O611" s="2">
        <f t="shared" si="352"/>
        <v>8.5299999999999994</v>
      </c>
      <c r="P611" s="2">
        <f t="shared" si="353"/>
        <v>960</v>
      </c>
      <c r="Q611" s="2">
        <f t="shared" si="354"/>
        <v>96</v>
      </c>
      <c r="R611" s="2">
        <f t="shared" si="355"/>
        <v>28.44</v>
      </c>
      <c r="S611" s="2">
        <f t="shared" si="356"/>
        <v>2.84</v>
      </c>
      <c r="T611" s="2">
        <v>0</v>
      </c>
      <c r="U611" s="2">
        <v>0</v>
      </c>
      <c r="V611" s="2">
        <v>0</v>
      </c>
      <c r="W611" s="2">
        <v>0</v>
      </c>
      <c r="X611" s="2">
        <v>0</v>
      </c>
      <c r="Y611" s="25">
        <v>523011</v>
      </c>
      <c r="Z611" s="26" t="s">
        <v>710</v>
      </c>
      <c r="AA611" s="4">
        <v>1</v>
      </c>
      <c r="AB611" s="4">
        <v>0</v>
      </c>
      <c r="AC611" s="4"/>
      <c r="AD611" s="4">
        <f t="shared" si="370"/>
        <v>1950.7880699999996</v>
      </c>
      <c r="AF611" s="1" t="str">
        <f t="shared" si="371"/>
        <v>1</v>
      </c>
      <c r="AG611">
        <v>1</v>
      </c>
      <c r="AH611">
        <f t="shared" si="357"/>
        <v>85.333333333333329</v>
      </c>
      <c r="AI611">
        <f t="shared" si="358"/>
        <v>8.5333333333333332</v>
      </c>
      <c r="AJ611">
        <f t="shared" si="359"/>
        <v>960</v>
      </c>
      <c r="AK611">
        <f t="shared" si="360"/>
        <v>96</v>
      </c>
      <c r="AL611">
        <f t="shared" si="361"/>
        <v>28.444444444444443</v>
      </c>
      <c r="AM611">
        <f t="shared" si="362"/>
        <v>2.8444444444444446</v>
      </c>
      <c r="AN611">
        <f t="shared" si="363"/>
        <v>1.6</v>
      </c>
      <c r="AO611">
        <f t="shared" si="364"/>
        <v>1.9</v>
      </c>
      <c r="AP611">
        <f t="shared" si="365"/>
        <v>3</v>
      </c>
      <c r="AQ611">
        <v>101</v>
      </c>
      <c r="AR611">
        <v>1</v>
      </c>
    </row>
    <row r="612" spans="1:44" x14ac:dyDescent="0.15">
      <c r="A612">
        <f t="shared" ref="A612:A675" si="372">AR612*1000000+AQ612*1000+C612*10+E612</f>
        <v>1101021</v>
      </c>
      <c r="B612" s="21" t="s">
        <v>262</v>
      </c>
      <c r="C612">
        <v>2</v>
      </c>
      <c r="D612">
        <v>2</v>
      </c>
      <c r="E612">
        <v>1</v>
      </c>
      <c r="F612" s="6" t="s">
        <v>373</v>
      </c>
      <c r="G612" s="6" t="s">
        <v>374</v>
      </c>
      <c r="H612" s="2">
        <v>0</v>
      </c>
      <c r="I612" s="2">
        <v>0</v>
      </c>
      <c r="J612" s="2">
        <f t="shared" si="348"/>
        <v>3</v>
      </c>
      <c r="K612" s="2">
        <f t="shared" si="349"/>
        <v>1.6</v>
      </c>
      <c r="L612" s="2">
        <f t="shared" si="350"/>
        <v>1.9000000000000001</v>
      </c>
      <c r="M612" s="2">
        <v>10</v>
      </c>
      <c r="N612" s="2">
        <f t="shared" si="351"/>
        <v>93.87</v>
      </c>
      <c r="O612" s="2">
        <f t="shared" si="352"/>
        <v>9.39</v>
      </c>
      <c r="P612" s="2">
        <f t="shared" si="353"/>
        <v>1056</v>
      </c>
      <c r="Q612" s="2">
        <f t="shared" si="354"/>
        <v>105.6</v>
      </c>
      <c r="R612" s="2">
        <f t="shared" si="355"/>
        <v>31.29</v>
      </c>
      <c r="S612" s="2">
        <f t="shared" si="356"/>
        <v>3.13</v>
      </c>
      <c r="T612" s="2">
        <v>0</v>
      </c>
      <c r="U612" s="2">
        <v>0</v>
      </c>
      <c r="V612" s="2">
        <v>0</v>
      </c>
      <c r="W612" s="2">
        <v>0</v>
      </c>
      <c r="X612" s="2">
        <v>0</v>
      </c>
      <c r="Y612" s="25">
        <v>523011</v>
      </c>
      <c r="Z612" s="26" t="s">
        <v>710</v>
      </c>
      <c r="AA612" s="4">
        <v>1</v>
      </c>
      <c r="AB612" s="4">
        <v>0</v>
      </c>
      <c r="AC612" s="4"/>
      <c r="AD612" s="4">
        <f t="shared" ref="AD612:AD675" si="373">(N612+O612*$AD$2)*(P612+Q612*$AD$2)/K612*0.945/3000</f>
        <v>2362.0704029999993</v>
      </c>
      <c r="AF612" s="1" t="str">
        <f t="shared" ref="AF612:AF675" si="374">RIGHT(AQ612,1)</f>
        <v>1</v>
      </c>
      <c r="AG612">
        <v>2</v>
      </c>
      <c r="AH612">
        <f t="shared" si="357"/>
        <v>93.866666666666674</v>
      </c>
      <c r="AI612">
        <f t="shared" si="358"/>
        <v>9.3866666666666685</v>
      </c>
      <c r="AJ612">
        <f t="shared" si="359"/>
        <v>1056</v>
      </c>
      <c r="AK612">
        <f t="shared" si="360"/>
        <v>105.60000000000001</v>
      </c>
      <c r="AL612">
        <f t="shared" si="361"/>
        <v>31.288888888888891</v>
      </c>
      <c r="AM612">
        <f t="shared" si="362"/>
        <v>3.1288888888888895</v>
      </c>
      <c r="AN612">
        <f t="shared" si="363"/>
        <v>1.6</v>
      </c>
      <c r="AO612">
        <f t="shared" si="364"/>
        <v>1.9</v>
      </c>
      <c r="AP612">
        <f t="shared" si="365"/>
        <v>3</v>
      </c>
      <c r="AQ612">
        <v>101</v>
      </c>
      <c r="AR612">
        <v>1</v>
      </c>
    </row>
    <row r="613" spans="1:44" x14ac:dyDescent="0.15">
      <c r="A613">
        <f t="shared" si="372"/>
        <v>1101022</v>
      </c>
      <c r="B613" s="21" t="s">
        <v>265</v>
      </c>
      <c r="C613">
        <v>2</v>
      </c>
      <c r="D613">
        <v>2</v>
      </c>
      <c r="E613">
        <v>2</v>
      </c>
      <c r="F613" s="6" t="s">
        <v>375</v>
      </c>
      <c r="G613" s="6" t="s">
        <v>376</v>
      </c>
      <c r="H613" s="2">
        <v>0</v>
      </c>
      <c r="I613" s="2">
        <v>0</v>
      </c>
      <c r="J613" s="2">
        <f t="shared" si="348"/>
        <v>3</v>
      </c>
      <c r="K613" s="2">
        <f t="shared" si="349"/>
        <v>1.6</v>
      </c>
      <c r="L613" s="2">
        <f t="shared" si="350"/>
        <v>1.9000000000000001</v>
      </c>
      <c r="M613" s="2">
        <v>10</v>
      </c>
      <c r="N613" s="2">
        <f t="shared" si="351"/>
        <v>93.87</v>
      </c>
      <c r="O613" s="2">
        <f t="shared" si="352"/>
        <v>9.39</v>
      </c>
      <c r="P613" s="2">
        <f t="shared" si="353"/>
        <v>1056</v>
      </c>
      <c r="Q613" s="2">
        <f t="shared" si="354"/>
        <v>105.6</v>
      </c>
      <c r="R613" s="2">
        <f t="shared" si="355"/>
        <v>31.29</v>
      </c>
      <c r="S613" s="2">
        <f t="shared" si="356"/>
        <v>3.13</v>
      </c>
      <c r="T613" s="2">
        <v>0</v>
      </c>
      <c r="U613" s="2">
        <v>0</v>
      </c>
      <c r="V613" s="2">
        <v>0</v>
      </c>
      <c r="W613" s="2">
        <v>0</v>
      </c>
      <c r="X613" s="2">
        <v>0</v>
      </c>
      <c r="Y613" s="25">
        <v>523011</v>
      </c>
      <c r="Z613" s="26" t="s">
        <v>710</v>
      </c>
      <c r="AA613" s="4">
        <v>1</v>
      </c>
      <c r="AB613" s="4">
        <v>0</v>
      </c>
      <c r="AC613" s="4"/>
      <c r="AD613" s="4">
        <f t="shared" si="373"/>
        <v>2362.0704029999993</v>
      </c>
      <c r="AF613" s="1" t="str">
        <f t="shared" si="374"/>
        <v>1</v>
      </c>
      <c r="AG613">
        <v>2</v>
      </c>
      <c r="AH613">
        <f t="shared" si="357"/>
        <v>93.866666666666674</v>
      </c>
      <c r="AI613">
        <f t="shared" si="358"/>
        <v>9.3866666666666685</v>
      </c>
      <c r="AJ613">
        <f t="shared" si="359"/>
        <v>1056</v>
      </c>
      <c r="AK613">
        <f t="shared" si="360"/>
        <v>105.60000000000001</v>
      </c>
      <c r="AL613">
        <f t="shared" si="361"/>
        <v>31.288888888888891</v>
      </c>
      <c r="AM613">
        <f t="shared" si="362"/>
        <v>3.1288888888888895</v>
      </c>
      <c r="AN613">
        <f t="shared" si="363"/>
        <v>1.6</v>
      </c>
      <c r="AO613">
        <f t="shared" si="364"/>
        <v>1.9</v>
      </c>
      <c r="AP613">
        <f t="shared" si="365"/>
        <v>3</v>
      </c>
      <c r="AQ613">
        <v>101</v>
      </c>
      <c r="AR613">
        <v>1</v>
      </c>
    </row>
    <row r="614" spans="1:44" x14ac:dyDescent="0.15">
      <c r="A614">
        <f t="shared" si="372"/>
        <v>1101023</v>
      </c>
      <c r="B614" s="21" t="s">
        <v>268</v>
      </c>
      <c r="C614">
        <v>2</v>
      </c>
      <c r="D614">
        <v>2</v>
      </c>
      <c r="E614">
        <v>3</v>
      </c>
      <c r="F614" s="6" t="s">
        <v>377</v>
      </c>
      <c r="G614" s="6" t="s">
        <v>378</v>
      </c>
      <c r="H614" s="2">
        <v>0</v>
      </c>
      <c r="I614" s="2">
        <v>0</v>
      </c>
      <c r="J614" s="2">
        <f t="shared" si="348"/>
        <v>3</v>
      </c>
      <c r="K614" s="2">
        <f t="shared" si="349"/>
        <v>1.6</v>
      </c>
      <c r="L614" s="2">
        <f t="shared" si="350"/>
        <v>1.9000000000000001</v>
      </c>
      <c r="M614" s="2">
        <v>10</v>
      </c>
      <c r="N614" s="2">
        <f t="shared" si="351"/>
        <v>93.87</v>
      </c>
      <c r="O614" s="2">
        <f t="shared" si="352"/>
        <v>9.39</v>
      </c>
      <c r="P614" s="2">
        <f t="shared" si="353"/>
        <v>1056</v>
      </c>
      <c r="Q614" s="2">
        <f t="shared" si="354"/>
        <v>105.6</v>
      </c>
      <c r="R614" s="2">
        <f t="shared" si="355"/>
        <v>31.29</v>
      </c>
      <c r="S614" s="2">
        <f t="shared" si="356"/>
        <v>3.13</v>
      </c>
      <c r="T614" s="2">
        <v>0</v>
      </c>
      <c r="U614" s="2">
        <v>0</v>
      </c>
      <c r="V614" s="2">
        <v>0</v>
      </c>
      <c r="W614" s="2">
        <v>0</v>
      </c>
      <c r="X614" s="2">
        <v>0</v>
      </c>
      <c r="Y614" s="25">
        <v>523011</v>
      </c>
      <c r="Z614" s="26" t="s">
        <v>710</v>
      </c>
      <c r="AA614" s="4">
        <v>1</v>
      </c>
      <c r="AB614" s="4">
        <v>0</v>
      </c>
      <c r="AC614" s="4"/>
      <c r="AD614" s="4">
        <f t="shared" si="373"/>
        <v>2362.0704029999993</v>
      </c>
      <c r="AF614" s="1" t="str">
        <f t="shared" si="374"/>
        <v>1</v>
      </c>
      <c r="AG614">
        <v>2</v>
      </c>
      <c r="AH614">
        <f t="shared" si="357"/>
        <v>93.866666666666674</v>
      </c>
      <c r="AI614">
        <f t="shared" si="358"/>
        <v>9.3866666666666685</v>
      </c>
      <c r="AJ614">
        <f t="shared" si="359"/>
        <v>1056</v>
      </c>
      <c r="AK614">
        <f t="shared" si="360"/>
        <v>105.60000000000001</v>
      </c>
      <c r="AL614">
        <f t="shared" si="361"/>
        <v>31.288888888888891</v>
      </c>
      <c r="AM614">
        <f t="shared" si="362"/>
        <v>3.1288888888888895</v>
      </c>
      <c r="AN614">
        <f t="shared" si="363"/>
        <v>1.6</v>
      </c>
      <c r="AO614">
        <f t="shared" si="364"/>
        <v>1.9</v>
      </c>
      <c r="AP614">
        <f t="shared" si="365"/>
        <v>3</v>
      </c>
      <c r="AQ614">
        <v>101</v>
      </c>
      <c r="AR614">
        <v>1</v>
      </c>
    </row>
    <row r="615" spans="1:44" x14ac:dyDescent="0.15">
      <c r="A615">
        <f t="shared" si="372"/>
        <v>1101024</v>
      </c>
      <c r="B615" s="21" t="s">
        <v>271</v>
      </c>
      <c r="C615">
        <v>2</v>
      </c>
      <c r="D615">
        <v>2</v>
      </c>
      <c r="E615">
        <v>4</v>
      </c>
      <c r="F615" s="6" t="s">
        <v>379</v>
      </c>
      <c r="G615" s="6" t="s">
        <v>380</v>
      </c>
      <c r="H615" s="2">
        <v>0</v>
      </c>
      <c r="I615" s="2">
        <v>0</v>
      </c>
      <c r="J615" s="2">
        <f t="shared" si="348"/>
        <v>3</v>
      </c>
      <c r="K615" s="2">
        <f t="shared" si="349"/>
        <v>1.6</v>
      </c>
      <c r="L615" s="2">
        <f t="shared" si="350"/>
        <v>1.9000000000000001</v>
      </c>
      <c r="M615" s="2">
        <v>10</v>
      </c>
      <c r="N615" s="2">
        <f t="shared" si="351"/>
        <v>93.87</v>
      </c>
      <c r="O615" s="2">
        <f t="shared" si="352"/>
        <v>9.39</v>
      </c>
      <c r="P615" s="2">
        <f t="shared" si="353"/>
        <v>1056</v>
      </c>
      <c r="Q615" s="2">
        <f t="shared" si="354"/>
        <v>105.6</v>
      </c>
      <c r="R615" s="2">
        <f t="shared" si="355"/>
        <v>31.29</v>
      </c>
      <c r="S615" s="2">
        <f t="shared" si="356"/>
        <v>3.13</v>
      </c>
      <c r="T615" s="2">
        <v>0</v>
      </c>
      <c r="U615" s="2">
        <v>0</v>
      </c>
      <c r="V615" s="2">
        <v>0</v>
      </c>
      <c r="W615" s="2">
        <v>0</v>
      </c>
      <c r="X615" s="2">
        <v>0</v>
      </c>
      <c r="Y615" s="25">
        <v>523011</v>
      </c>
      <c r="Z615" s="26" t="s">
        <v>710</v>
      </c>
      <c r="AA615" s="4">
        <v>1</v>
      </c>
      <c r="AB615" s="4">
        <v>0</v>
      </c>
      <c r="AC615" s="4"/>
      <c r="AD615" s="4">
        <f t="shared" si="373"/>
        <v>2362.0704029999993</v>
      </c>
      <c r="AF615" s="1" t="str">
        <f t="shared" si="374"/>
        <v>1</v>
      </c>
      <c r="AG615">
        <v>2</v>
      </c>
      <c r="AH615">
        <f t="shared" si="357"/>
        <v>93.866666666666674</v>
      </c>
      <c r="AI615">
        <f t="shared" si="358"/>
        <v>9.3866666666666685</v>
      </c>
      <c r="AJ615">
        <f t="shared" si="359"/>
        <v>1056</v>
      </c>
      <c r="AK615">
        <f t="shared" si="360"/>
        <v>105.60000000000001</v>
      </c>
      <c r="AL615">
        <f t="shared" si="361"/>
        <v>31.288888888888891</v>
      </c>
      <c r="AM615">
        <f t="shared" si="362"/>
        <v>3.1288888888888895</v>
      </c>
      <c r="AN615">
        <f t="shared" si="363"/>
        <v>1.6</v>
      </c>
      <c r="AO615">
        <f t="shared" si="364"/>
        <v>1.9</v>
      </c>
      <c r="AP615">
        <f t="shared" si="365"/>
        <v>3</v>
      </c>
      <c r="AQ615">
        <v>101</v>
      </c>
      <c r="AR615">
        <v>1</v>
      </c>
    </row>
    <row r="616" spans="1:44" x14ac:dyDescent="0.15">
      <c r="A616">
        <f t="shared" si="372"/>
        <v>1101025</v>
      </c>
      <c r="B616" s="21" t="s">
        <v>274</v>
      </c>
      <c r="C616">
        <v>2</v>
      </c>
      <c r="D616">
        <v>2</v>
      </c>
      <c r="E616">
        <v>5</v>
      </c>
      <c r="F616" s="6" t="s">
        <v>381</v>
      </c>
      <c r="G616" s="6" t="s">
        <v>382</v>
      </c>
      <c r="H616">
        <v>0</v>
      </c>
      <c r="I616" s="2">
        <v>0</v>
      </c>
      <c r="J616" s="2">
        <f t="shared" si="348"/>
        <v>3</v>
      </c>
      <c r="K616" s="2">
        <f t="shared" si="349"/>
        <v>1.6</v>
      </c>
      <c r="L616" s="2">
        <f t="shared" si="350"/>
        <v>1.9000000000000001</v>
      </c>
      <c r="M616" s="2">
        <v>10</v>
      </c>
      <c r="N616" s="2">
        <f t="shared" si="351"/>
        <v>93.87</v>
      </c>
      <c r="O616" s="2">
        <f t="shared" si="352"/>
        <v>9.39</v>
      </c>
      <c r="P616" s="2">
        <f t="shared" si="353"/>
        <v>1056</v>
      </c>
      <c r="Q616" s="2">
        <f t="shared" si="354"/>
        <v>105.6</v>
      </c>
      <c r="R616" s="2">
        <f t="shared" si="355"/>
        <v>31.29</v>
      </c>
      <c r="S616" s="2">
        <f t="shared" si="356"/>
        <v>3.13</v>
      </c>
      <c r="T616" s="2">
        <v>0</v>
      </c>
      <c r="U616" s="2">
        <v>0</v>
      </c>
      <c r="V616" s="2">
        <v>0</v>
      </c>
      <c r="W616" s="2">
        <v>0</v>
      </c>
      <c r="X616" s="2">
        <v>0</v>
      </c>
      <c r="Y616" s="25">
        <v>523011</v>
      </c>
      <c r="Z616" s="26" t="s">
        <v>710</v>
      </c>
      <c r="AA616" s="4">
        <v>1</v>
      </c>
      <c r="AB616" s="4">
        <v>0</v>
      </c>
      <c r="AC616" s="4"/>
      <c r="AD616" s="4">
        <f t="shared" si="373"/>
        <v>2362.0704029999993</v>
      </c>
      <c r="AF616" s="1" t="str">
        <f t="shared" si="374"/>
        <v>1</v>
      </c>
      <c r="AG616">
        <v>2</v>
      </c>
      <c r="AH616">
        <f t="shared" si="357"/>
        <v>93.866666666666674</v>
      </c>
      <c r="AI616">
        <f t="shared" si="358"/>
        <v>9.3866666666666685</v>
      </c>
      <c r="AJ616">
        <f t="shared" si="359"/>
        <v>1056</v>
      </c>
      <c r="AK616">
        <f t="shared" si="360"/>
        <v>105.60000000000001</v>
      </c>
      <c r="AL616">
        <f t="shared" si="361"/>
        <v>31.288888888888891</v>
      </c>
      <c r="AM616">
        <f t="shared" si="362"/>
        <v>3.1288888888888895</v>
      </c>
      <c r="AN616">
        <f t="shared" si="363"/>
        <v>1.6</v>
      </c>
      <c r="AO616">
        <f t="shared" si="364"/>
        <v>1.9</v>
      </c>
      <c r="AP616">
        <f t="shared" si="365"/>
        <v>3</v>
      </c>
      <c r="AQ616">
        <v>101</v>
      </c>
      <c r="AR616">
        <v>1</v>
      </c>
    </row>
    <row r="617" spans="1:44" x14ac:dyDescent="0.15">
      <c r="A617">
        <f t="shared" si="372"/>
        <v>1101031</v>
      </c>
      <c r="B617" s="21" t="s">
        <v>262</v>
      </c>
      <c r="C617">
        <v>3</v>
      </c>
      <c r="D617">
        <v>2</v>
      </c>
      <c r="E617">
        <v>1</v>
      </c>
      <c r="F617" s="6" t="s">
        <v>373</v>
      </c>
      <c r="G617" s="6" t="s">
        <v>374</v>
      </c>
      <c r="H617" s="2">
        <v>0</v>
      </c>
      <c r="I617" s="2">
        <v>0</v>
      </c>
      <c r="J617" s="2">
        <f t="shared" si="348"/>
        <v>3</v>
      </c>
      <c r="K617" s="2">
        <f t="shared" si="349"/>
        <v>1.6</v>
      </c>
      <c r="L617" s="2">
        <f t="shared" si="350"/>
        <v>1.9000000000000001</v>
      </c>
      <c r="M617" s="2">
        <v>10</v>
      </c>
      <c r="N617" s="2">
        <f t="shared" si="351"/>
        <v>102.4</v>
      </c>
      <c r="O617" s="2">
        <f t="shared" si="352"/>
        <v>10.24</v>
      </c>
      <c r="P617" s="2">
        <f t="shared" si="353"/>
        <v>1152</v>
      </c>
      <c r="Q617" s="2">
        <f t="shared" si="354"/>
        <v>115.2</v>
      </c>
      <c r="R617" s="2">
        <f t="shared" si="355"/>
        <v>34.130000000000003</v>
      </c>
      <c r="S617" s="2">
        <f t="shared" si="356"/>
        <v>3.41</v>
      </c>
      <c r="T617" s="2">
        <v>0</v>
      </c>
      <c r="U617" s="2">
        <v>0</v>
      </c>
      <c r="V617" s="2">
        <v>0</v>
      </c>
      <c r="W617" s="2">
        <v>0</v>
      </c>
      <c r="X617" s="2">
        <v>0</v>
      </c>
      <c r="Y617" s="25">
        <v>523011</v>
      </c>
      <c r="Z617" s="26" t="s">
        <v>710</v>
      </c>
      <c r="AA617" s="4">
        <v>1</v>
      </c>
      <c r="AB617" s="4">
        <v>0</v>
      </c>
      <c r="AC617" s="4"/>
      <c r="AD617" s="4">
        <f t="shared" si="373"/>
        <v>2810.1427199999998</v>
      </c>
      <c r="AF617" s="1" t="str">
        <f t="shared" si="374"/>
        <v>1</v>
      </c>
      <c r="AG617">
        <v>3</v>
      </c>
      <c r="AH617">
        <f t="shared" si="357"/>
        <v>102.39999999999999</v>
      </c>
      <c r="AI617">
        <f t="shared" si="358"/>
        <v>10.24</v>
      </c>
      <c r="AJ617">
        <f t="shared" si="359"/>
        <v>1152</v>
      </c>
      <c r="AK617">
        <f t="shared" si="360"/>
        <v>115.2</v>
      </c>
      <c r="AL617">
        <f t="shared" si="361"/>
        <v>34.133333333333333</v>
      </c>
      <c r="AM617">
        <f t="shared" si="362"/>
        <v>3.4133333333333336</v>
      </c>
      <c r="AN617">
        <f t="shared" si="363"/>
        <v>1.6</v>
      </c>
      <c r="AO617">
        <f t="shared" si="364"/>
        <v>1.9</v>
      </c>
      <c r="AP617">
        <f t="shared" si="365"/>
        <v>3</v>
      </c>
      <c r="AQ617">
        <v>101</v>
      </c>
      <c r="AR617">
        <v>1</v>
      </c>
    </row>
    <row r="618" spans="1:44" x14ac:dyDescent="0.15">
      <c r="A618">
        <f t="shared" si="372"/>
        <v>1101032</v>
      </c>
      <c r="B618" s="21" t="s">
        <v>265</v>
      </c>
      <c r="C618">
        <v>3</v>
      </c>
      <c r="D618">
        <v>2</v>
      </c>
      <c r="E618">
        <v>2</v>
      </c>
      <c r="F618" s="6" t="s">
        <v>375</v>
      </c>
      <c r="G618" s="6" t="s">
        <v>376</v>
      </c>
      <c r="H618" s="2">
        <v>0</v>
      </c>
      <c r="I618" s="2">
        <v>0</v>
      </c>
      <c r="J618" s="2">
        <f t="shared" si="348"/>
        <v>3</v>
      </c>
      <c r="K618" s="2">
        <f t="shared" si="349"/>
        <v>1.6</v>
      </c>
      <c r="L618" s="2">
        <f t="shared" si="350"/>
        <v>1.9000000000000001</v>
      </c>
      <c r="M618" s="2">
        <v>10</v>
      </c>
      <c r="N618" s="2">
        <f t="shared" si="351"/>
        <v>102.4</v>
      </c>
      <c r="O618" s="2">
        <f t="shared" si="352"/>
        <v>10.24</v>
      </c>
      <c r="P618" s="2">
        <f t="shared" si="353"/>
        <v>1152</v>
      </c>
      <c r="Q618" s="2">
        <f t="shared" si="354"/>
        <v>115.2</v>
      </c>
      <c r="R618" s="2">
        <f t="shared" si="355"/>
        <v>34.130000000000003</v>
      </c>
      <c r="S618" s="2">
        <f t="shared" si="356"/>
        <v>3.41</v>
      </c>
      <c r="T618" s="2">
        <v>0</v>
      </c>
      <c r="U618" s="2">
        <v>0</v>
      </c>
      <c r="V618" s="2">
        <v>0</v>
      </c>
      <c r="W618" s="2">
        <v>0</v>
      </c>
      <c r="X618" s="2">
        <v>0</v>
      </c>
      <c r="Y618" s="25">
        <v>523011</v>
      </c>
      <c r="Z618" s="26" t="s">
        <v>710</v>
      </c>
      <c r="AA618" s="4">
        <v>1</v>
      </c>
      <c r="AB618" s="4">
        <v>0</v>
      </c>
      <c r="AC618" s="4"/>
      <c r="AD618" s="4">
        <f t="shared" si="373"/>
        <v>2810.1427199999998</v>
      </c>
      <c r="AF618" s="1" t="str">
        <f t="shared" si="374"/>
        <v>1</v>
      </c>
      <c r="AG618">
        <v>3</v>
      </c>
      <c r="AH618">
        <f t="shared" si="357"/>
        <v>102.39999999999999</v>
      </c>
      <c r="AI618">
        <f t="shared" si="358"/>
        <v>10.24</v>
      </c>
      <c r="AJ618">
        <f t="shared" si="359"/>
        <v>1152</v>
      </c>
      <c r="AK618">
        <f t="shared" si="360"/>
        <v>115.2</v>
      </c>
      <c r="AL618">
        <f t="shared" si="361"/>
        <v>34.133333333333333</v>
      </c>
      <c r="AM618">
        <f t="shared" si="362"/>
        <v>3.4133333333333336</v>
      </c>
      <c r="AN618">
        <f t="shared" si="363"/>
        <v>1.6</v>
      </c>
      <c r="AO618">
        <f t="shared" si="364"/>
        <v>1.9</v>
      </c>
      <c r="AP618">
        <f t="shared" si="365"/>
        <v>3</v>
      </c>
      <c r="AQ618">
        <v>101</v>
      </c>
      <c r="AR618">
        <v>1</v>
      </c>
    </row>
    <row r="619" spans="1:44" x14ac:dyDescent="0.15">
      <c r="A619">
        <f t="shared" si="372"/>
        <v>1101033</v>
      </c>
      <c r="B619" s="21" t="s">
        <v>268</v>
      </c>
      <c r="C619">
        <v>3</v>
      </c>
      <c r="D619">
        <v>2</v>
      </c>
      <c r="E619">
        <v>3</v>
      </c>
      <c r="F619" s="6" t="s">
        <v>377</v>
      </c>
      <c r="G619" s="6" t="s">
        <v>378</v>
      </c>
      <c r="H619" s="2">
        <v>0</v>
      </c>
      <c r="I619" s="2">
        <v>0</v>
      </c>
      <c r="J619" s="2">
        <f t="shared" si="348"/>
        <v>3</v>
      </c>
      <c r="K619" s="2">
        <f t="shared" si="349"/>
        <v>1.6</v>
      </c>
      <c r="L619" s="2">
        <f t="shared" si="350"/>
        <v>1.9000000000000001</v>
      </c>
      <c r="M619" s="2">
        <v>10</v>
      </c>
      <c r="N619" s="2">
        <f t="shared" si="351"/>
        <v>102.4</v>
      </c>
      <c r="O619" s="2">
        <f t="shared" si="352"/>
        <v>10.24</v>
      </c>
      <c r="P619" s="2">
        <f t="shared" si="353"/>
        <v>1152</v>
      </c>
      <c r="Q619" s="2">
        <f t="shared" si="354"/>
        <v>115.2</v>
      </c>
      <c r="R619" s="2">
        <f t="shared" si="355"/>
        <v>34.130000000000003</v>
      </c>
      <c r="S619" s="2">
        <f t="shared" si="356"/>
        <v>3.41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25">
        <v>523011</v>
      </c>
      <c r="Z619" s="26" t="s">
        <v>710</v>
      </c>
      <c r="AA619" s="4">
        <v>1</v>
      </c>
      <c r="AB619" s="4">
        <v>0</v>
      </c>
      <c r="AC619" s="4"/>
      <c r="AD619" s="4">
        <f t="shared" si="373"/>
        <v>2810.1427199999998</v>
      </c>
      <c r="AF619" s="1" t="str">
        <f t="shared" si="374"/>
        <v>1</v>
      </c>
      <c r="AG619">
        <v>3</v>
      </c>
      <c r="AH619">
        <f t="shared" si="357"/>
        <v>102.39999999999999</v>
      </c>
      <c r="AI619">
        <f t="shared" si="358"/>
        <v>10.24</v>
      </c>
      <c r="AJ619">
        <f t="shared" si="359"/>
        <v>1152</v>
      </c>
      <c r="AK619">
        <f t="shared" si="360"/>
        <v>115.2</v>
      </c>
      <c r="AL619">
        <f t="shared" si="361"/>
        <v>34.133333333333333</v>
      </c>
      <c r="AM619">
        <f t="shared" si="362"/>
        <v>3.4133333333333336</v>
      </c>
      <c r="AN619">
        <f t="shared" si="363"/>
        <v>1.6</v>
      </c>
      <c r="AO619">
        <f t="shared" si="364"/>
        <v>1.9</v>
      </c>
      <c r="AP619">
        <f t="shared" si="365"/>
        <v>3</v>
      </c>
      <c r="AQ619">
        <v>101</v>
      </c>
      <c r="AR619">
        <v>1</v>
      </c>
    </row>
    <row r="620" spans="1:44" x14ac:dyDescent="0.15">
      <c r="A620">
        <f t="shared" si="372"/>
        <v>1101034</v>
      </c>
      <c r="B620" s="21" t="s">
        <v>271</v>
      </c>
      <c r="C620">
        <v>3</v>
      </c>
      <c r="D620">
        <v>2</v>
      </c>
      <c r="E620">
        <v>4</v>
      </c>
      <c r="F620" s="6" t="s">
        <v>379</v>
      </c>
      <c r="G620" s="6" t="s">
        <v>380</v>
      </c>
      <c r="H620" s="2">
        <v>0</v>
      </c>
      <c r="I620" s="2">
        <v>0</v>
      </c>
      <c r="J620" s="2">
        <f t="shared" si="348"/>
        <v>3</v>
      </c>
      <c r="K620" s="2">
        <f t="shared" si="349"/>
        <v>1.6</v>
      </c>
      <c r="L620" s="2">
        <f t="shared" si="350"/>
        <v>1.9000000000000001</v>
      </c>
      <c r="M620" s="2">
        <v>10</v>
      </c>
      <c r="N620" s="2">
        <f t="shared" si="351"/>
        <v>102.4</v>
      </c>
      <c r="O620" s="2">
        <f t="shared" si="352"/>
        <v>10.24</v>
      </c>
      <c r="P620" s="2">
        <f t="shared" si="353"/>
        <v>1152</v>
      </c>
      <c r="Q620" s="2">
        <f t="shared" si="354"/>
        <v>115.2</v>
      </c>
      <c r="R620" s="2">
        <f t="shared" si="355"/>
        <v>34.130000000000003</v>
      </c>
      <c r="S620" s="2">
        <f t="shared" si="356"/>
        <v>3.41</v>
      </c>
      <c r="T620" s="2">
        <v>0</v>
      </c>
      <c r="U620" s="2">
        <v>0</v>
      </c>
      <c r="V620" s="2">
        <v>0</v>
      </c>
      <c r="W620" s="2">
        <v>0</v>
      </c>
      <c r="X620" s="2">
        <v>0</v>
      </c>
      <c r="Y620" s="25">
        <v>523011</v>
      </c>
      <c r="Z620" s="26" t="s">
        <v>710</v>
      </c>
      <c r="AA620" s="4">
        <v>1</v>
      </c>
      <c r="AB620" s="4">
        <v>0</v>
      </c>
      <c r="AC620" s="4"/>
      <c r="AD620" s="4">
        <f t="shared" si="373"/>
        <v>2810.1427199999998</v>
      </c>
      <c r="AF620" s="1" t="str">
        <f t="shared" si="374"/>
        <v>1</v>
      </c>
      <c r="AG620">
        <v>3</v>
      </c>
      <c r="AH620">
        <f t="shared" si="357"/>
        <v>102.39999999999999</v>
      </c>
      <c r="AI620">
        <f t="shared" si="358"/>
        <v>10.24</v>
      </c>
      <c r="AJ620">
        <f t="shared" si="359"/>
        <v>1152</v>
      </c>
      <c r="AK620">
        <f t="shared" si="360"/>
        <v>115.2</v>
      </c>
      <c r="AL620">
        <f t="shared" si="361"/>
        <v>34.133333333333333</v>
      </c>
      <c r="AM620">
        <f t="shared" si="362"/>
        <v>3.4133333333333336</v>
      </c>
      <c r="AN620">
        <f t="shared" si="363"/>
        <v>1.6</v>
      </c>
      <c r="AO620">
        <f t="shared" si="364"/>
        <v>1.9</v>
      </c>
      <c r="AP620">
        <f t="shared" si="365"/>
        <v>3</v>
      </c>
      <c r="AQ620">
        <v>101</v>
      </c>
      <c r="AR620">
        <v>1</v>
      </c>
    </row>
    <row r="621" spans="1:44" x14ac:dyDescent="0.15">
      <c r="A621">
        <f t="shared" si="372"/>
        <v>1101035</v>
      </c>
      <c r="B621" s="21" t="s">
        <v>274</v>
      </c>
      <c r="C621">
        <v>3</v>
      </c>
      <c r="D621">
        <v>2</v>
      </c>
      <c r="E621">
        <v>5</v>
      </c>
      <c r="F621" s="6" t="s">
        <v>381</v>
      </c>
      <c r="G621" s="6" t="s">
        <v>382</v>
      </c>
      <c r="H621">
        <v>0</v>
      </c>
      <c r="I621" s="2">
        <v>0</v>
      </c>
      <c r="J621" s="2">
        <f t="shared" si="348"/>
        <v>3</v>
      </c>
      <c r="K621" s="2">
        <f t="shared" si="349"/>
        <v>1.6</v>
      </c>
      <c r="L621" s="2">
        <f t="shared" si="350"/>
        <v>1.9000000000000001</v>
      </c>
      <c r="M621" s="2">
        <v>10</v>
      </c>
      <c r="N621" s="2">
        <f t="shared" si="351"/>
        <v>102.4</v>
      </c>
      <c r="O621" s="2">
        <f t="shared" si="352"/>
        <v>10.24</v>
      </c>
      <c r="P621" s="2">
        <f t="shared" si="353"/>
        <v>1152</v>
      </c>
      <c r="Q621" s="2">
        <f t="shared" si="354"/>
        <v>115.2</v>
      </c>
      <c r="R621" s="2">
        <f t="shared" si="355"/>
        <v>34.130000000000003</v>
      </c>
      <c r="S621" s="2">
        <f t="shared" si="356"/>
        <v>3.41</v>
      </c>
      <c r="T621" s="2">
        <v>0</v>
      </c>
      <c r="U621" s="2">
        <v>0</v>
      </c>
      <c r="V621" s="2">
        <v>0</v>
      </c>
      <c r="W621" s="2">
        <v>0</v>
      </c>
      <c r="X621" s="2">
        <v>0</v>
      </c>
      <c r="Y621" s="25">
        <v>523011</v>
      </c>
      <c r="Z621" s="26" t="s">
        <v>710</v>
      </c>
      <c r="AA621" s="4">
        <v>1</v>
      </c>
      <c r="AB621" s="4">
        <v>0</v>
      </c>
      <c r="AC621" s="4"/>
      <c r="AD621" s="4">
        <f t="shared" si="373"/>
        <v>2810.1427199999998</v>
      </c>
      <c r="AF621" s="1" t="str">
        <f t="shared" si="374"/>
        <v>1</v>
      </c>
      <c r="AG621">
        <v>3</v>
      </c>
      <c r="AH621">
        <f t="shared" si="357"/>
        <v>102.39999999999999</v>
      </c>
      <c r="AI621">
        <f t="shared" si="358"/>
        <v>10.24</v>
      </c>
      <c r="AJ621">
        <f t="shared" si="359"/>
        <v>1152</v>
      </c>
      <c r="AK621">
        <f t="shared" si="360"/>
        <v>115.2</v>
      </c>
      <c r="AL621">
        <f t="shared" si="361"/>
        <v>34.133333333333333</v>
      </c>
      <c r="AM621">
        <f t="shared" si="362"/>
        <v>3.4133333333333336</v>
      </c>
      <c r="AN621">
        <f t="shared" si="363"/>
        <v>1.6</v>
      </c>
      <c r="AO621">
        <f t="shared" si="364"/>
        <v>1.9</v>
      </c>
      <c r="AP621">
        <f t="shared" si="365"/>
        <v>3</v>
      </c>
      <c r="AQ621">
        <v>101</v>
      </c>
      <c r="AR621">
        <v>1</v>
      </c>
    </row>
    <row r="622" spans="1:44" x14ac:dyDescent="0.15">
      <c r="A622">
        <f t="shared" si="372"/>
        <v>1101041</v>
      </c>
      <c r="B622" s="21" t="s">
        <v>262</v>
      </c>
      <c r="C622">
        <v>4</v>
      </c>
      <c r="D622">
        <v>2</v>
      </c>
      <c r="E622">
        <v>1</v>
      </c>
      <c r="F622" s="6" t="s">
        <v>373</v>
      </c>
      <c r="G622" s="6" t="s">
        <v>374</v>
      </c>
      <c r="H622" s="2">
        <v>0</v>
      </c>
      <c r="I622" s="2">
        <v>0</v>
      </c>
      <c r="J622" s="2">
        <f t="shared" si="348"/>
        <v>3</v>
      </c>
      <c r="K622" s="2">
        <f t="shared" si="349"/>
        <v>1.6</v>
      </c>
      <c r="L622" s="2">
        <f t="shared" si="350"/>
        <v>1.9000000000000001</v>
      </c>
      <c r="M622" s="2">
        <v>10</v>
      </c>
      <c r="N622" s="2">
        <f t="shared" si="351"/>
        <v>119.47</v>
      </c>
      <c r="O622" s="2">
        <f t="shared" si="352"/>
        <v>11.95</v>
      </c>
      <c r="P622" s="2">
        <f t="shared" si="353"/>
        <v>1344</v>
      </c>
      <c r="Q622" s="2">
        <f t="shared" si="354"/>
        <v>134.4</v>
      </c>
      <c r="R622" s="2">
        <f t="shared" si="355"/>
        <v>39.82</v>
      </c>
      <c r="S622" s="2">
        <f t="shared" si="356"/>
        <v>3.98</v>
      </c>
      <c r="T622" s="2">
        <v>0</v>
      </c>
      <c r="U622" s="2">
        <v>0</v>
      </c>
      <c r="V622" s="2">
        <v>0</v>
      </c>
      <c r="W622" s="2">
        <v>0</v>
      </c>
      <c r="X622" s="2">
        <v>0</v>
      </c>
      <c r="Y622" s="25">
        <v>523011</v>
      </c>
      <c r="Z622" s="26" t="s">
        <v>710</v>
      </c>
      <c r="AA622" s="4">
        <v>1</v>
      </c>
      <c r="AB622" s="4">
        <v>0</v>
      </c>
      <c r="AC622" s="4"/>
      <c r="AD622" s="4">
        <f t="shared" si="373"/>
        <v>3825.8963819999994</v>
      </c>
      <c r="AF622" s="1" t="str">
        <f t="shared" si="374"/>
        <v>1</v>
      </c>
      <c r="AG622">
        <v>4</v>
      </c>
      <c r="AH622">
        <f t="shared" si="357"/>
        <v>119.46666666666665</v>
      </c>
      <c r="AI622">
        <f t="shared" si="358"/>
        <v>11.946666666666665</v>
      </c>
      <c r="AJ622">
        <f t="shared" si="359"/>
        <v>1344</v>
      </c>
      <c r="AK622">
        <f t="shared" si="360"/>
        <v>134.4</v>
      </c>
      <c r="AL622">
        <f t="shared" si="361"/>
        <v>39.822222222222216</v>
      </c>
      <c r="AM622">
        <f t="shared" si="362"/>
        <v>3.9822222222222217</v>
      </c>
      <c r="AN622">
        <f t="shared" si="363"/>
        <v>1.6</v>
      </c>
      <c r="AO622">
        <f t="shared" si="364"/>
        <v>1.9</v>
      </c>
      <c r="AP622">
        <f t="shared" si="365"/>
        <v>3</v>
      </c>
      <c r="AQ622">
        <v>101</v>
      </c>
      <c r="AR622">
        <v>1</v>
      </c>
    </row>
    <row r="623" spans="1:44" x14ac:dyDescent="0.15">
      <c r="A623">
        <f t="shared" si="372"/>
        <v>1101042</v>
      </c>
      <c r="B623" s="21" t="s">
        <v>265</v>
      </c>
      <c r="C623">
        <v>4</v>
      </c>
      <c r="D623">
        <v>2</v>
      </c>
      <c r="E623">
        <v>2</v>
      </c>
      <c r="F623" s="6" t="s">
        <v>375</v>
      </c>
      <c r="G623" s="6" t="s">
        <v>376</v>
      </c>
      <c r="H623" s="2">
        <v>0</v>
      </c>
      <c r="I623" s="2">
        <v>0</v>
      </c>
      <c r="J623" s="2">
        <f t="shared" si="348"/>
        <v>3</v>
      </c>
      <c r="K623" s="2">
        <f t="shared" si="349"/>
        <v>1.6</v>
      </c>
      <c r="L623" s="2">
        <f t="shared" si="350"/>
        <v>1.9000000000000001</v>
      </c>
      <c r="M623" s="2">
        <v>10</v>
      </c>
      <c r="N623" s="2">
        <f t="shared" si="351"/>
        <v>119.47</v>
      </c>
      <c r="O623" s="2">
        <f t="shared" si="352"/>
        <v>11.95</v>
      </c>
      <c r="P623" s="2">
        <f t="shared" si="353"/>
        <v>1344</v>
      </c>
      <c r="Q623" s="2">
        <f t="shared" si="354"/>
        <v>134.4</v>
      </c>
      <c r="R623" s="2">
        <f t="shared" si="355"/>
        <v>39.82</v>
      </c>
      <c r="S623" s="2">
        <f t="shared" si="356"/>
        <v>3.98</v>
      </c>
      <c r="T623" s="2">
        <v>0</v>
      </c>
      <c r="U623" s="2">
        <v>0</v>
      </c>
      <c r="V623" s="2">
        <v>0</v>
      </c>
      <c r="W623" s="2">
        <v>0</v>
      </c>
      <c r="X623" s="2">
        <v>0</v>
      </c>
      <c r="Y623" s="25">
        <v>523011</v>
      </c>
      <c r="Z623" s="26" t="s">
        <v>710</v>
      </c>
      <c r="AA623" s="4">
        <v>1</v>
      </c>
      <c r="AB623" s="4">
        <v>0</v>
      </c>
      <c r="AC623" s="4"/>
      <c r="AD623" s="4">
        <f t="shared" si="373"/>
        <v>3825.8963819999994</v>
      </c>
      <c r="AF623" s="1" t="str">
        <f t="shared" si="374"/>
        <v>1</v>
      </c>
      <c r="AG623">
        <v>4</v>
      </c>
      <c r="AH623">
        <f t="shared" si="357"/>
        <v>119.46666666666665</v>
      </c>
      <c r="AI623">
        <f t="shared" si="358"/>
        <v>11.946666666666665</v>
      </c>
      <c r="AJ623">
        <f t="shared" si="359"/>
        <v>1344</v>
      </c>
      <c r="AK623">
        <f t="shared" si="360"/>
        <v>134.4</v>
      </c>
      <c r="AL623">
        <f t="shared" si="361"/>
        <v>39.822222222222216</v>
      </c>
      <c r="AM623">
        <f t="shared" si="362"/>
        <v>3.9822222222222217</v>
      </c>
      <c r="AN623">
        <f t="shared" si="363"/>
        <v>1.6</v>
      </c>
      <c r="AO623">
        <f t="shared" si="364"/>
        <v>1.9</v>
      </c>
      <c r="AP623">
        <f t="shared" si="365"/>
        <v>3</v>
      </c>
      <c r="AQ623">
        <v>101</v>
      </c>
      <c r="AR623">
        <v>1</v>
      </c>
    </row>
    <row r="624" spans="1:44" x14ac:dyDescent="0.15">
      <c r="A624">
        <f t="shared" si="372"/>
        <v>1101043</v>
      </c>
      <c r="B624" s="21" t="s">
        <v>268</v>
      </c>
      <c r="C624">
        <v>4</v>
      </c>
      <c r="D624">
        <v>2</v>
      </c>
      <c r="E624">
        <v>3</v>
      </c>
      <c r="F624" s="6" t="s">
        <v>377</v>
      </c>
      <c r="G624" s="6" t="s">
        <v>378</v>
      </c>
      <c r="H624" s="2">
        <v>0</v>
      </c>
      <c r="I624" s="2">
        <v>0</v>
      </c>
      <c r="J624" s="2">
        <f t="shared" si="348"/>
        <v>3</v>
      </c>
      <c r="K624" s="2">
        <f t="shared" si="349"/>
        <v>1.6</v>
      </c>
      <c r="L624" s="2">
        <f t="shared" si="350"/>
        <v>1.9000000000000001</v>
      </c>
      <c r="M624" s="2">
        <v>10</v>
      </c>
      <c r="N624" s="2">
        <f t="shared" si="351"/>
        <v>119.47</v>
      </c>
      <c r="O624" s="2">
        <f t="shared" si="352"/>
        <v>11.95</v>
      </c>
      <c r="P624" s="2">
        <f t="shared" si="353"/>
        <v>1344</v>
      </c>
      <c r="Q624" s="2">
        <f t="shared" si="354"/>
        <v>134.4</v>
      </c>
      <c r="R624" s="2">
        <f t="shared" si="355"/>
        <v>39.82</v>
      </c>
      <c r="S624" s="2">
        <f t="shared" si="356"/>
        <v>3.98</v>
      </c>
      <c r="T624" s="2">
        <v>0</v>
      </c>
      <c r="U624" s="2">
        <v>0</v>
      </c>
      <c r="V624" s="2">
        <v>0</v>
      </c>
      <c r="W624" s="2">
        <v>0</v>
      </c>
      <c r="X624" s="2">
        <v>0</v>
      </c>
      <c r="Y624" s="25">
        <v>523011</v>
      </c>
      <c r="Z624" s="26" t="s">
        <v>710</v>
      </c>
      <c r="AA624" s="4">
        <v>1</v>
      </c>
      <c r="AB624" s="4">
        <v>0</v>
      </c>
      <c r="AC624" s="4"/>
      <c r="AD624" s="4">
        <f t="shared" si="373"/>
        <v>3825.8963819999994</v>
      </c>
      <c r="AF624" s="1" t="str">
        <f t="shared" si="374"/>
        <v>1</v>
      </c>
      <c r="AG624">
        <v>4</v>
      </c>
      <c r="AH624">
        <f t="shared" si="357"/>
        <v>119.46666666666665</v>
      </c>
      <c r="AI624">
        <f t="shared" si="358"/>
        <v>11.946666666666665</v>
      </c>
      <c r="AJ624">
        <f t="shared" si="359"/>
        <v>1344</v>
      </c>
      <c r="AK624">
        <f t="shared" si="360"/>
        <v>134.4</v>
      </c>
      <c r="AL624">
        <f t="shared" si="361"/>
        <v>39.822222222222216</v>
      </c>
      <c r="AM624">
        <f t="shared" si="362"/>
        <v>3.9822222222222217</v>
      </c>
      <c r="AN624">
        <f t="shared" si="363"/>
        <v>1.6</v>
      </c>
      <c r="AO624">
        <f t="shared" si="364"/>
        <v>1.9</v>
      </c>
      <c r="AP624">
        <f t="shared" si="365"/>
        <v>3</v>
      </c>
      <c r="AQ624">
        <v>101</v>
      </c>
      <c r="AR624">
        <v>1</v>
      </c>
    </row>
    <row r="625" spans="1:44" x14ac:dyDescent="0.15">
      <c r="A625">
        <f t="shared" si="372"/>
        <v>1101044</v>
      </c>
      <c r="B625" s="21" t="s">
        <v>271</v>
      </c>
      <c r="C625">
        <v>4</v>
      </c>
      <c r="D625">
        <v>2</v>
      </c>
      <c r="E625">
        <v>4</v>
      </c>
      <c r="F625" s="6" t="s">
        <v>379</v>
      </c>
      <c r="G625" s="6" t="s">
        <v>380</v>
      </c>
      <c r="H625" s="2">
        <v>0</v>
      </c>
      <c r="I625" s="2">
        <v>0</v>
      </c>
      <c r="J625" s="2">
        <f t="shared" si="348"/>
        <v>3</v>
      </c>
      <c r="K625" s="2">
        <f t="shared" si="349"/>
        <v>1.6</v>
      </c>
      <c r="L625" s="2">
        <f t="shared" si="350"/>
        <v>1.9000000000000001</v>
      </c>
      <c r="M625" s="2">
        <v>10</v>
      </c>
      <c r="N625" s="2">
        <f t="shared" si="351"/>
        <v>119.47</v>
      </c>
      <c r="O625" s="2">
        <f t="shared" si="352"/>
        <v>11.95</v>
      </c>
      <c r="P625" s="2">
        <f t="shared" si="353"/>
        <v>1344</v>
      </c>
      <c r="Q625" s="2">
        <f t="shared" si="354"/>
        <v>134.4</v>
      </c>
      <c r="R625" s="2">
        <f t="shared" si="355"/>
        <v>39.82</v>
      </c>
      <c r="S625" s="2">
        <f t="shared" si="356"/>
        <v>3.98</v>
      </c>
      <c r="T625" s="2">
        <v>0</v>
      </c>
      <c r="U625" s="2">
        <v>0</v>
      </c>
      <c r="V625" s="2">
        <v>0</v>
      </c>
      <c r="W625" s="2">
        <v>0</v>
      </c>
      <c r="X625" s="2">
        <v>0</v>
      </c>
      <c r="Y625" s="25">
        <v>523011</v>
      </c>
      <c r="Z625" s="26" t="s">
        <v>710</v>
      </c>
      <c r="AA625" s="4">
        <v>1</v>
      </c>
      <c r="AB625" s="4">
        <v>0</v>
      </c>
      <c r="AC625" s="4"/>
      <c r="AD625" s="4">
        <f t="shared" si="373"/>
        <v>3825.8963819999994</v>
      </c>
      <c r="AF625" s="1" t="str">
        <f t="shared" si="374"/>
        <v>1</v>
      </c>
      <c r="AG625">
        <v>4</v>
      </c>
      <c r="AH625">
        <f t="shared" si="357"/>
        <v>119.46666666666665</v>
      </c>
      <c r="AI625">
        <f t="shared" si="358"/>
        <v>11.946666666666665</v>
      </c>
      <c r="AJ625">
        <f t="shared" si="359"/>
        <v>1344</v>
      </c>
      <c r="AK625">
        <f t="shared" si="360"/>
        <v>134.4</v>
      </c>
      <c r="AL625">
        <f t="shared" si="361"/>
        <v>39.822222222222216</v>
      </c>
      <c r="AM625">
        <f t="shared" si="362"/>
        <v>3.9822222222222217</v>
      </c>
      <c r="AN625">
        <f t="shared" si="363"/>
        <v>1.6</v>
      </c>
      <c r="AO625">
        <f t="shared" si="364"/>
        <v>1.9</v>
      </c>
      <c r="AP625">
        <f t="shared" si="365"/>
        <v>3</v>
      </c>
      <c r="AQ625">
        <v>101</v>
      </c>
      <c r="AR625">
        <v>1</v>
      </c>
    </row>
    <row r="626" spans="1:44" x14ac:dyDescent="0.15">
      <c r="A626">
        <f t="shared" si="372"/>
        <v>1101045</v>
      </c>
      <c r="B626" s="21" t="s">
        <v>274</v>
      </c>
      <c r="C626">
        <v>4</v>
      </c>
      <c r="D626">
        <v>2</v>
      </c>
      <c r="E626">
        <v>5</v>
      </c>
      <c r="F626" s="6" t="s">
        <v>381</v>
      </c>
      <c r="G626" s="6" t="s">
        <v>382</v>
      </c>
      <c r="H626">
        <v>0</v>
      </c>
      <c r="I626" s="2">
        <v>0</v>
      </c>
      <c r="J626" s="2">
        <f t="shared" si="348"/>
        <v>3</v>
      </c>
      <c r="K626" s="2">
        <f t="shared" si="349"/>
        <v>1.6</v>
      </c>
      <c r="L626" s="2">
        <f t="shared" si="350"/>
        <v>1.9000000000000001</v>
      </c>
      <c r="M626" s="2">
        <v>10</v>
      </c>
      <c r="N626" s="2">
        <f t="shared" si="351"/>
        <v>119.47</v>
      </c>
      <c r="O626" s="2">
        <f t="shared" si="352"/>
        <v>11.95</v>
      </c>
      <c r="P626" s="2">
        <f t="shared" si="353"/>
        <v>1344</v>
      </c>
      <c r="Q626" s="2">
        <f t="shared" si="354"/>
        <v>134.4</v>
      </c>
      <c r="R626" s="2">
        <f t="shared" si="355"/>
        <v>39.82</v>
      </c>
      <c r="S626" s="2">
        <f t="shared" si="356"/>
        <v>3.98</v>
      </c>
      <c r="T626" s="2">
        <v>0</v>
      </c>
      <c r="U626" s="2">
        <v>0</v>
      </c>
      <c r="V626" s="2">
        <v>0</v>
      </c>
      <c r="W626" s="2">
        <v>0</v>
      </c>
      <c r="X626" s="2">
        <v>0</v>
      </c>
      <c r="Y626" s="25">
        <v>523011</v>
      </c>
      <c r="Z626" s="26" t="s">
        <v>710</v>
      </c>
      <c r="AA626" s="4">
        <v>1</v>
      </c>
      <c r="AB626" s="4">
        <v>0</v>
      </c>
      <c r="AC626" s="4"/>
      <c r="AD626" s="4">
        <f t="shared" si="373"/>
        <v>3825.8963819999994</v>
      </c>
      <c r="AF626" s="1" t="str">
        <f t="shared" si="374"/>
        <v>1</v>
      </c>
      <c r="AG626">
        <v>4</v>
      </c>
      <c r="AH626">
        <f t="shared" si="357"/>
        <v>119.46666666666665</v>
      </c>
      <c r="AI626">
        <f t="shared" si="358"/>
        <v>11.946666666666665</v>
      </c>
      <c r="AJ626">
        <f t="shared" si="359"/>
        <v>1344</v>
      </c>
      <c r="AK626">
        <f t="shared" si="360"/>
        <v>134.4</v>
      </c>
      <c r="AL626">
        <f t="shared" si="361"/>
        <v>39.822222222222216</v>
      </c>
      <c r="AM626">
        <f t="shared" si="362"/>
        <v>3.9822222222222217</v>
      </c>
      <c r="AN626">
        <f t="shared" si="363"/>
        <v>1.6</v>
      </c>
      <c r="AO626">
        <f t="shared" si="364"/>
        <v>1.9</v>
      </c>
      <c r="AP626">
        <f t="shared" si="365"/>
        <v>3</v>
      </c>
      <c r="AQ626">
        <v>101</v>
      </c>
      <c r="AR626">
        <v>1</v>
      </c>
    </row>
    <row r="627" spans="1:44" x14ac:dyDescent="0.15">
      <c r="A627">
        <f t="shared" si="372"/>
        <v>1101051</v>
      </c>
      <c r="B627" s="21" t="s">
        <v>262</v>
      </c>
      <c r="C627">
        <v>5</v>
      </c>
      <c r="D627">
        <v>2</v>
      </c>
      <c r="E627">
        <v>1</v>
      </c>
      <c r="F627" s="6" t="s">
        <v>373</v>
      </c>
      <c r="G627" s="6" t="s">
        <v>374</v>
      </c>
      <c r="H627" s="2">
        <v>0</v>
      </c>
      <c r="I627" s="2">
        <v>0</v>
      </c>
      <c r="J627" s="2">
        <f t="shared" si="348"/>
        <v>3</v>
      </c>
      <c r="K627" s="2">
        <f t="shared" si="349"/>
        <v>1.6</v>
      </c>
      <c r="L627" s="2">
        <f t="shared" si="350"/>
        <v>1.9000000000000001</v>
      </c>
      <c r="M627" s="2">
        <v>10</v>
      </c>
      <c r="N627" s="2">
        <f t="shared" si="351"/>
        <v>136.53</v>
      </c>
      <c r="O627" s="2">
        <f t="shared" si="352"/>
        <v>13.65</v>
      </c>
      <c r="P627" s="2">
        <f t="shared" si="353"/>
        <v>1536</v>
      </c>
      <c r="Q627" s="2">
        <f t="shared" si="354"/>
        <v>153.6</v>
      </c>
      <c r="R627" s="2">
        <f t="shared" si="355"/>
        <v>45.51</v>
      </c>
      <c r="S627" s="2">
        <f t="shared" si="356"/>
        <v>4.55</v>
      </c>
      <c r="T627" s="2">
        <v>0</v>
      </c>
      <c r="U627" s="2">
        <v>0</v>
      </c>
      <c r="V627" s="2">
        <v>0</v>
      </c>
      <c r="W627" s="2">
        <v>0</v>
      </c>
      <c r="X627" s="2">
        <v>0</v>
      </c>
      <c r="Y627" s="25">
        <v>523011</v>
      </c>
      <c r="Z627" s="26" t="s">
        <v>710</v>
      </c>
      <c r="AA627" s="4">
        <v>1</v>
      </c>
      <c r="AB627" s="4">
        <v>0</v>
      </c>
      <c r="AC627" s="4"/>
      <c r="AD627" s="4">
        <f t="shared" si="373"/>
        <v>4994.6893919999993</v>
      </c>
      <c r="AF627" s="1" t="str">
        <f t="shared" si="374"/>
        <v>1</v>
      </c>
      <c r="AG627">
        <v>5</v>
      </c>
      <c r="AH627">
        <f t="shared" si="357"/>
        <v>136.53333333333333</v>
      </c>
      <c r="AI627">
        <f t="shared" si="358"/>
        <v>13.653333333333334</v>
      </c>
      <c r="AJ627">
        <f t="shared" si="359"/>
        <v>1536</v>
      </c>
      <c r="AK627">
        <f t="shared" si="360"/>
        <v>153.60000000000002</v>
      </c>
      <c r="AL627">
        <f t="shared" si="361"/>
        <v>45.511111111111113</v>
      </c>
      <c r="AM627">
        <f t="shared" si="362"/>
        <v>4.5511111111111111</v>
      </c>
      <c r="AN627">
        <f t="shared" si="363"/>
        <v>1.6</v>
      </c>
      <c r="AO627">
        <f t="shared" si="364"/>
        <v>1.9</v>
      </c>
      <c r="AP627">
        <f t="shared" si="365"/>
        <v>3</v>
      </c>
      <c r="AQ627">
        <v>101</v>
      </c>
      <c r="AR627">
        <v>1</v>
      </c>
    </row>
    <row r="628" spans="1:44" x14ac:dyDescent="0.15">
      <c r="A628">
        <f t="shared" si="372"/>
        <v>1101052</v>
      </c>
      <c r="B628" s="21" t="s">
        <v>265</v>
      </c>
      <c r="C628">
        <v>5</v>
      </c>
      <c r="D628">
        <v>2</v>
      </c>
      <c r="E628">
        <v>2</v>
      </c>
      <c r="F628" s="6" t="s">
        <v>375</v>
      </c>
      <c r="G628" s="6" t="s">
        <v>376</v>
      </c>
      <c r="H628" s="2">
        <v>0</v>
      </c>
      <c r="I628" s="2">
        <v>0</v>
      </c>
      <c r="J628" s="2">
        <f t="shared" si="348"/>
        <v>3</v>
      </c>
      <c r="K628" s="2">
        <f t="shared" si="349"/>
        <v>1.6</v>
      </c>
      <c r="L628" s="2">
        <f t="shared" si="350"/>
        <v>1.9000000000000001</v>
      </c>
      <c r="M628" s="2">
        <v>10</v>
      </c>
      <c r="N628" s="2">
        <f t="shared" si="351"/>
        <v>136.53</v>
      </c>
      <c r="O628" s="2">
        <f t="shared" si="352"/>
        <v>13.65</v>
      </c>
      <c r="P628" s="2">
        <f t="shared" si="353"/>
        <v>1536</v>
      </c>
      <c r="Q628" s="2">
        <f t="shared" si="354"/>
        <v>153.6</v>
      </c>
      <c r="R628" s="2">
        <f t="shared" si="355"/>
        <v>45.51</v>
      </c>
      <c r="S628" s="2">
        <f t="shared" si="356"/>
        <v>4.55</v>
      </c>
      <c r="T628" s="2">
        <v>0</v>
      </c>
      <c r="U628" s="2">
        <v>0</v>
      </c>
      <c r="V628" s="2">
        <v>0</v>
      </c>
      <c r="W628" s="2">
        <v>0</v>
      </c>
      <c r="X628" s="2">
        <v>0</v>
      </c>
      <c r="Y628" s="25">
        <v>523011</v>
      </c>
      <c r="Z628" s="26" t="s">
        <v>710</v>
      </c>
      <c r="AA628" s="4">
        <v>1</v>
      </c>
      <c r="AB628" s="4">
        <v>0</v>
      </c>
      <c r="AC628" s="4"/>
      <c r="AD628" s="4">
        <f t="shared" si="373"/>
        <v>4994.6893919999993</v>
      </c>
      <c r="AF628" s="1" t="str">
        <f t="shared" si="374"/>
        <v>1</v>
      </c>
      <c r="AG628">
        <v>5</v>
      </c>
      <c r="AH628">
        <f t="shared" si="357"/>
        <v>136.53333333333333</v>
      </c>
      <c r="AI628">
        <f t="shared" si="358"/>
        <v>13.653333333333334</v>
      </c>
      <c r="AJ628">
        <f t="shared" si="359"/>
        <v>1536</v>
      </c>
      <c r="AK628">
        <f t="shared" si="360"/>
        <v>153.60000000000002</v>
      </c>
      <c r="AL628">
        <f t="shared" si="361"/>
        <v>45.511111111111113</v>
      </c>
      <c r="AM628">
        <f t="shared" si="362"/>
        <v>4.5511111111111111</v>
      </c>
      <c r="AN628">
        <f t="shared" si="363"/>
        <v>1.6</v>
      </c>
      <c r="AO628">
        <f t="shared" si="364"/>
        <v>1.9</v>
      </c>
      <c r="AP628">
        <f t="shared" si="365"/>
        <v>3</v>
      </c>
      <c r="AQ628">
        <v>101</v>
      </c>
      <c r="AR628">
        <v>1</v>
      </c>
    </row>
    <row r="629" spans="1:44" x14ac:dyDescent="0.15">
      <c r="A629">
        <f t="shared" si="372"/>
        <v>1101053</v>
      </c>
      <c r="B629" s="21" t="s">
        <v>268</v>
      </c>
      <c r="C629">
        <v>5</v>
      </c>
      <c r="D629">
        <v>2</v>
      </c>
      <c r="E629">
        <v>3</v>
      </c>
      <c r="F629" s="6" t="s">
        <v>377</v>
      </c>
      <c r="G629" s="6" t="s">
        <v>378</v>
      </c>
      <c r="H629" s="2">
        <v>0</v>
      </c>
      <c r="I629" s="2">
        <v>0</v>
      </c>
      <c r="J629" s="2">
        <f t="shared" si="348"/>
        <v>3</v>
      </c>
      <c r="K629" s="2">
        <f t="shared" si="349"/>
        <v>1.6</v>
      </c>
      <c r="L629" s="2">
        <f t="shared" si="350"/>
        <v>1.9000000000000001</v>
      </c>
      <c r="M629" s="2">
        <v>10</v>
      </c>
      <c r="N629" s="2">
        <f t="shared" si="351"/>
        <v>136.53</v>
      </c>
      <c r="O629" s="2">
        <f t="shared" si="352"/>
        <v>13.65</v>
      </c>
      <c r="P629" s="2">
        <f t="shared" si="353"/>
        <v>1536</v>
      </c>
      <c r="Q629" s="2">
        <f t="shared" si="354"/>
        <v>153.6</v>
      </c>
      <c r="R629" s="2">
        <f t="shared" si="355"/>
        <v>45.51</v>
      </c>
      <c r="S629" s="2">
        <f t="shared" si="356"/>
        <v>4.55</v>
      </c>
      <c r="T629" s="2">
        <v>0</v>
      </c>
      <c r="U629" s="2">
        <v>0</v>
      </c>
      <c r="V629" s="2">
        <v>0</v>
      </c>
      <c r="W629" s="2">
        <v>0</v>
      </c>
      <c r="X629" s="2">
        <v>0</v>
      </c>
      <c r="Y629" s="25">
        <v>523011</v>
      </c>
      <c r="Z629" s="26" t="s">
        <v>710</v>
      </c>
      <c r="AA629" s="4">
        <v>1</v>
      </c>
      <c r="AB629" s="4">
        <v>0</v>
      </c>
      <c r="AC629" s="4"/>
      <c r="AD629" s="4">
        <f t="shared" si="373"/>
        <v>4994.6893919999993</v>
      </c>
      <c r="AF629" s="1" t="str">
        <f t="shared" si="374"/>
        <v>1</v>
      </c>
      <c r="AG629">
        <v>5</v>
      </c>
      <c r="AH629">
        <f t="shared" si="357"/>
        <v>136.53333333333333</v>
      </c>
      <c r="AI629">
        <f t="shared" si="358"/>
        <v>13.653333333333334</v>
      </c>
      <c r="AJ629">
        <f t="shared" si="359"/>
        <v>1536</v>
      </c>
      <c r="AK629">
        <f t="shared" si="360"/>
        <v>153.60000000000002</v>
      </c>
      <c r="AL629">
        <f t="shared" si="361"/>
        <v>45.511111111111113</v>
      </c>
      <c r="AM629">
        <f t="shared" si="362"/>
        <v>4.5511111111111111</v>
      </c>
      <c r="AN629">
        <f t="shared" si="363"/>
        <v>1.6</v>
      </c>
      <c r="AO629">
        <f t="shared" si="364"/>
        <v>1.9</v>
      </c>
      <c r="AP629">
        <f t="shared" si="365"/>
        <v>3</v>
      </c>
      <c r="AQ629">
        <v>101</v>
      </c>
      <c r="AR629">
        <v>1</v>
      </c>
    </row>
    <row r="630" spans="1:44" x14ac:dyDescent="0.15">
      <c r="A630">
        <f t="shared" si="372"/>
        <v>1101054</v>
      </c>
      <c r="B630" s="21" t="s">
        <v>271</v>
      </c>
      <c r="C630">
        <v>5</v>
      </c>
      <c r="D630">
        <v>2</v>
      </c>
      <c r="E630">
        <v>4</v>
      </c>
      <c r="F630" s="6" t="s">
        <v>379</v>
      </c>
      <c r="G630" s="6" t="s">
        <v>380</v>
      </c>
      <c r="H630" s="2">
        <v>0</v>
      </c>
      <c r="I630" s="2">
        <v>0</v>
      </c>
      <c r="J630" s="2">
        <f t="shared" si="348"/>
        <v>3</v>
      </c>
      <c r="K630" s="2">
        <f t="shared" si="349"/>
        <v>1.6</v>
      </c>
      <c r="L630" s="2">
        <f t="shared" si="350"/>
        <v>1.9000000000000001</v>
      </c>
      <c r="M630" s="2">
        <v>10</v>
      </c>
      <c r="N630" s="2">
        <f t="shared" si="351"/>
        <v>136.53</v>
      </c>
      <c r="O630" s="2">
        <f t="shared" si="352"/>
        <v>13.65</v>
      </c>
      <c r="P630" s="2">
        <f t="shared" si="353"/>
        <v>1536</v>
      </c>
      <c r="Q630" s="2">
        <f t="shared" si="354"/>
        <v>153.6</v>
      </c>
      <c r="R630" s="2">
        <f t="shared" si="355"/>
        <v>45.51</v>
      </c>
      <c r="S630" s="2">
        <f t="shared" si="356"/>
        <v>4.55</v>
      </c>
      <c r="T630" s="2">
        <v>0</v>
      </c>
      <c r="U630" s="2">
        <v>0</v>
      </c>
      <c r="V630" s="2">
        <v>0</v>
      </c>
      <c r="W630" s="2">
        <v>0</v>
      </c>
      <c r="X630" s="2">
        <v>0</v>
      </c>
      <c r="Y630" s="25">
        <v>523011</v>
      </c>
      <c r="Z630" s="26" t="s">
        <v>710</v>
      </c>
      <c r="AA630" s="4">
        <v>1</v>
      </c>
      <c r="AB630" s="4">
        <v>0</v>
      </c>
      <c r="AC630" s="4"/>
      <c r="AD630" s="4">
        <f t="shared" si="373"/>
        <v>4994.6893919999993</v>
      </c>
      <c r="AF630" s="1" t="str">
        <f t="shared" si="374"/>
        <v>1</v>
      </c>
      <c r="AG630">
        <v>5</v>
      </c>
      <c r="AH630">
        <f t="shared" si="357"/>
        <v>136.53333333333333</v>
      </c>
      <c r="AI630">
        <f t="shared" si="358"/>
        <v>13.653333333333334</v>
      </c>
      <c r="AJ630">
        <f t="shared" si="359"/>
        <v>1536</v>
      </c>
      <c r="AK630">
        <f t="shared" si="360"/>
        <v>153.60000000000002</v>
      </c>
      <c r="AL630">
        <f t="shared" si="361"/>
        <v>45.511111111111113</v>
      </c>
      <c r="AM630">
        <f t="shared" si="362"/>
        <v>4.5511111111111111</v>
      </c>
      <c r="AN630">
        <f t="shared" si="363"/>
        <v>1.6</v>
      </c>
      <c r="AO630">
        <f t="shared" si="364"/>
        <v>1.9</v>
      </c>
      <c r="AP630">
        <f t="shared" si="365"/>
        <v>3</v>
      </c>
      <c r="AQ630">
        <v>101</v>
      </c>
      <c r="AR630">
        <v>1</v>
      </c>
    </row>
    <row r="631" spans="1:44" x14ac:dyDescent="0.15">
      <c r="A631">
        <f t="shared" si="372"/>
        <v>1101055</v>
      </c>
      <c r="B631" s="21" t="s">
        <v>274</v>
      </c>
      <c r="C631">
        <v>5</v>
      </c>
      <c r="D631">
        <v>2</v>
      </c>
      <c r="E631">
        <v>5</v>
      </c>
      <c r="F631" s="6" t="s">
        <v>381</v>
      </c>
      <c r="G631" s="6" t="s">
        <v>382</v>
      </c>
      <c r="H631">
        <v>0</v>
      </c>
      <c r="I631" s="2">
        <v>0</v>
      </c>
      <c r="J631" s="2">
        <f t="shared" si="348"/>
        <v>3</v>
      </c>
      <c r="K631" s="2">
        <f t="shared" si="349"/>
        <v>1.6</v>
      </c>
      <c r="L631" s="2">
        <f t="shared" si="350"/>
        <v>1.9000000000000001</v>
      </c>
      <c r="M631" s="2">
        <v>10</v>
      </c>
      <c r="N631" s="2">
        <f t="shared" si="351"/>
        <v>136.53</v>
      </c>
      <c r="O631" s="2">
        <f t="shared" si="352"/>
        <v>13.65</v>
      </c>
      <c r="P631" s="2">
        <f t="shared" si="353"/>
        <v>1536</v>
      </c>
      <c r="Q631" s="2">
        <f t="shared" si="354"/>
        <v>153.6</v>
      </c>
      <c r="R631" s="2">
        <f t="shared" si="355"/>
        <v>45.51</v>
      </c>
      <c r="S631" s="2">
        <f t="shared" si="356"/>
        <v>4.55</v>
      </c>
      <c r="T631" s="2">
        <v>0</v>
      </c>
      <c r="U631" s="2">
        <v>0</v>
      </c>
      <c r="V631" s="2">
        <v>0</v>
      </c>
      <c r="W631" s="2">
        <v>0</v>
      </c>
      <c r="X631" s="2">
        <v>0</v>
      </c>
      <c r="Y631" s="25">
        <v>523011</v>
      </c>
      <c r="Z631" s="26" t="s">
        <v>710</v>
      </c>
      <c r="AA631" s="4">
        <v>1</v>
      </c>
      <c r="AB631" s="4">
        <v>0</v>
      </c>
      <c r="AC631" s="4"/>
      <c r="AD631" s="4">
        <f t="shared" si="373"/>
        <v>4994.6893919999993</v>
      </c>
      <c r="AF631" s="1" t="str">
        <f t="shared" si="374"/>
        <v>1</v>
      </c>
      <c r="AG631">
        <v>5</v>
      </c>
      <c r="AH631">
        <f t="shared" si="357"/>
        <v>136.53333333333333</v>
      </c>
      <c r="AI631">
        <f t="shared" si="358"/>
        <v>13.653333333333334</v>
      </c>
      <c r="AJ631">
        <f t="shared" si="359"/>
        <v>1536</v>
      </c>
      <c r="AK631">
        <f t="shared" si="360"/>
        <v>153.60000000000002</v>
      </c>
      <c r="AL631">
        <f t="shared" si="361"/>
        <v>45.511111111111113</v>
      </c>
      <c r="AM631">
        <f t="shared" si="362"/>
        <v>4.5511111111111111</v>
      </c>
      <c r="AN631">
        <f t="shared" si="363"/>
        <v>1.6</v>
      </c>
      <c r="AO631">
        <f t="shared" si="364"/>
        <v>1.9</v>
      </c>
      <c r="AP631">
        <f t="shared" si="365"/>
        <v>3</v>
      </c>
      <c r="AQ631">
        <v>101</v>
      </c>
      <c r="AR631">
        <v>1</v>
      </c>
    </row>
    <row r="632" spans="1:44" x14ac:dyDescent="0.15">
      <c r="A632">
        <f t="shared" si="372"/>
        <v>1101061</v>
      </c>
      <c r="B632" s="21" t="s">
        <v>262</v>
      </c>
      <c r="C632">
        <v>6</v>
      </c>
      <c r="D632">
        <v>2</v>
      </c>
      <c r="E632">
        <v>1</v>
      </c>
      <c r="F632" s="6" t="s">
        <v>373</v>
      </c>
      <c r="G632" s="6" t="s">
        <v>374</v>
      </c>
      <c r="H632" s="2">
        <v>0</v>
      </c>
      <c r="I632" s="2">
        <v>0</v>
      </c>
      <c r="J632" s="2">
        <f t="shared" si="348"/>
        <v>3</v>
      </c>
      <c r="K632" s="2">
        <f t="shared" si="349"/>
        <v>1.6</v>
      </c>
      <c r="L632" s="2">
        <f t="shared" si="350"/>
        <v>1.9000000000000001</v>
      </c>
      <c r="M632" s="2">
        <v>10</v>
      </c>
      <c r="N632" s="2">
        <f t="shared" si="351"/>
        <v>153.6</v>
      </c>
      <c r="O632" s="2">
        <f t="shared" si="352"/>
        <v>15.36</v>
      </c>
      <c r="P632" s="2">
        <f t="shared" si="353"/>
        <v>1728</v>
      </c>
      <c r="Q632" s="2">
        <f t="shared" si="354"/>
        <v>172.8</v>
      </c>
      <c r="R632" s="2">
        <f t="shared" si="355"/>
        <v>51.2</v>
      </c>
      <c r="S632" s="2">
        <f t="shared" si="356"/>
        <v>5.12</v>
      </c>
      <c r="T632" s="2">
        <v>0</v>
      </c>
      <c r="U632" s="2">
        <v>0</v>
      </c>
      <c r="V632" s="2">
        <v>0</v>
      </c>
      <c r="W632" s="2">
        <v>0</v>
      </c>
      <c r="X632" s="2">
        <v>0</v>
      </c>
      <c r="Y632" s="25">
        <v>523011</v>
      </c>
      <c r="Z632" s="26" t="s">
        <v>710</v>
      </c>
      <c r="AA632" s="4">
        <v>1</v>
      </c>
      <c r="AB632" s="4">
        <v>0</v>
      </c>
      <c r="AC632" s="4"/>
      <c r="AD632" s="4">
        <f t="shared" si="373"/>
        <v>6322.8211199999987</v>
      </c>
      <c r="AF632" s="1" t="str">
        <f t="shared" si="374"/>
        <v>1</v>
      </c>
      <c r="AG632">
        <v>6</v>
      </c>
      <c r="AH632">
        <f t="shared" si="357"/>
        <v>153.6</v>
      </c>
      <c r="AI632">
        <f t="shared" si="358"/>
        <v>15.36</v>
      </c>
      <c r="AJ632">
        <f t="shared" si="359"/>
        <v>1728</v>
      </c>
      <c r="AK632">
        <f t="shared" si="360"/>
        <v>172.8</v>
      </c>
      <c r="AL632">
        <f t="shared" si="361"/>
        <v>51.199999999999996</v>
      </c>
      <c r="AM632">
        <f t="shared" si="362"/>
        <v>5.12</v>
      </c>
      <c r="AN632">
        <f t="shared" si="363"/>
        <v>1.6</v>
      </c>
      <c r="AO632">
        <f t="shared" si="364"/>
        <v>1.9</v>
      </c>
      <c r="AP632">
        <f t="shared" si="365"/>
        <v>3</v>
      </c>
      <c r="AQ632">
        <v>101</v>
      </c>
      <c r="AR632">
        <v>1</v>
      </c>
    </row>
    <row r="633" spans="1:44" x14ac:dyDescent="0.15">
      <c r="A633">
        <f t="shared" si="372"/>
        <v>1101062</v>
      </c>
      <c r="B633" s="21" t="s">
        <v>265</v>
      </c>
      <c r="C633">
        <v>6</v>
      </c>
      <c r="D633">
        <v>2</v>
      </c>
      <c r="E633">
        <v>2</v>
      </c>
      <c r="F633" s="6" t="s">
        <v>375</v>
      </c>
      <c r="G633" s="6" t="s">
        <v>376</v>
      </c>
      <c r="H633" s="2">
        <v>0</v>
      </c>
      <c r="I633" s="2">
        <v>0</v>
      </c>
      <c r="J633" s="2">
        <f t="shared" si="348"/>
        <v>3</v>
      </c>
      <c r="K633" s="2">
        <f t="shared" si="349"/>
        <v>1.6</v>
      </c>
      <c r="L633" s="2">
        <f t="shared" si="350"/>
        <v>1.9000000000000001</v>
      </c>
      <c r="M633" s="2">
        <v>10</v>
      </c>
      <c r="N633" s="2">
        <f t="shared" si="351"/>
        <v>153.6</v>
      </c>
      <c r="O633" s="2">
        <f t="shared" si="352"/>
        <v>15.36</v>
      </c>
      <c r="P633" s="2">
        <f t="shared" si="353"/>
        <v>1728</v>
      </c>
      <c r="Q633" s="2">
        <f t="shared" si="354"/>
        <v>172.8</v>
      </c>
      <c r="R633" s="2">
        <f t="shared" si="355"/>
        <v>51.2</v>
      </c>
      <c r="S633" s="2">
        <f t="shared" si="356"/>
        <v>5.12</v>
      </c>
      <c r="T633" s="2">
        <v>0</v>
      </c>
      <c r="U633" s="2">
        <v>0</v>
      </c>
      <c r="V633" s="2">
        <v>0</v>
      </c>
      <c r="W633" s="2">
        <v>0</v>
      </c>
      <c r="X633" s="2">
        <v>0</v>
      </c>
      <c r="Y633" s="25">
        <v>523011</v>
      </c>
      <c r="Z633" s="26" t="s">
        <v>710</v>
      </c>
      <c r="AA633" s="4">
        <v>1</v>
      </c>
      <c r="AB633" s="4">
        <v>0</v>
      </c>
      <c r="AC633" s="4"/>
      <c r="AD633" s="4">
        <f t="shared" si="373"/>
        <v>6322.8211199999987</v>
      </c>
      <c r="AF633" s="1" t="str">
        <f t="shared" si="374"/>
        <v>1</v>
      </c>
      <c r="AG633">
        <v>6</v>
      </c>
      <c r="AH633">
        <f t="shared" si="357"/>
        <v>153.6</v>
      </c>
      <c r="AI633">
        <f t="shared" si="358"/>
        <v>15.36</v>
      </c>
      <c r="AJ633">
        <f t="shared" si="359"/>
        <v>1728</v>
      </c>
      <c r="AK633">
        <f t="shared" si="360"/>
        <v>172.8</v>
      </c>
      <c r="AL633">
        <f t="shared" si="361"/>
        <v>51.199999999999996</v>
      </c>
      <c r="AM633">
        <f t="shared" si="362"/>
        <v>5.12</v>
      </c>
      <c r="AN633">
        <f t="shared" si="363"/>
        <v>1.6</v>
      </c>
      <c r="AO633">
        <f t="shared" si="364"/>
        <v>1.9</v>
      </c>
      <c r="AP633">
        <f t="shared" si="365"/>
        <v>3</v>
      </c>
      <c r="AQ633">
        <v>101</v>
      </c>
      <c r="AR633">
        <v>1</v>
      </c>
    </row>
    <row r="634" spans="1:44" x14ac:dyDescent="0.15">
      <c r="A634">
        <f t="shared" si="372"/>
        <v>1101063</v>
      </c>
      <c r="B634" s="21" t="s">
        <v>268</v>
      </c>
      <c r="C634">
        <v>6</v>
      </c>
      <c r="D634">
        <v>2</v>
      </c>
      <c r="E634">
        <v>3</v>
      </c>
      <c r="F634" s="6" t="s">
        <v>377</v>
      </c>
      <c r="G634" s="6" t="s">
        <v>378</v>
      </c>
      <c r="H634" s="2">
        <v>0</v>
      </c>
      <c r="I634" s="2">
        <v>0</v>
      </c>
      <c r="J634" s="2">
        <f t="shared" si="348"/>
        <v>3</v>
      </c>
      <c r="K634" s="2">
        <f t="shared" si="349"/>
        <v>1.6</v>
      </c>
      <c r="L634" s="2">
        <f t="shared" si="350"/>
        <v>1.9000000000000001</v>
      </c>
      <c r="M634" s="2">
        <v>10</v>
      </c>
      <c r="N634" s="2">
        <f t="shared" si="351"/>
        <v>153.6</v>
      </c>
      <c r="O634" s="2">
        <f t="shared" si="352"/>
        <v>15.36</v>
      </c>
      <c r="P634" s="2">
        <f t="shared" si="353"/>
        <v>1728</v>
      </c>
      <c r="Q634" s="2">
        <f t="shared" si="354"/>
        <v>172.8</v>
      </c>
      <c r="R634" s="2">
        <f t="shared" si="355"/>
        <v>51.2</v>
      </c>
      <c r="S634" s="2">
        <f t="shared" si="356"/>
        <v>5.12</v>
      </c>
      <c r="T634" s="2">
        <v>0</v>
      </c>
      <c r="U634" s="2">
        <v>0</v>
      </c>
      <c r="V634" s="2">
        <v>0</v>
      </c>
      <c r="W634" s="2">
        <v>0</v>
      </c>
      <c r="X634" s="2">
        <v>0</v>
      </c>
      <c r="Y634" s="25">
        <v>523011</v>
      </c>
      <c r="Z634" s="26" t="s">
        <v>710</v>
      </c>
      <c r="AA634" s="4">
        <v>1</v>
      </c>
      <c r="AB634" s="4">
        <v>0</v>
      </c>
      <c r="AC634" s="4"/>
      <c r="AD634" s="4">
        <f t="shared" si="373"/>
        <v>6322.8211199999987</v>
      </c>
      <c r="AF634" s="1" t="str">
        <f t="shared" si="374"/>
        <v>1</v>
      </c>
      <c r="AG634">
        <v>6</v>
      </c>
      <c r="AH634">
        <f t="shared" si="357"/>
        <v>153.6</v>
      </c>
      <c r="AI634">
        <f t="shared" si="358"/>
        <v>15.36</v>
      </c>
      <c r="AJ634">
        <f t="shared" si="359"/>
        <v>1728</v>
      </c>
      <c r="AK634">
        <f t="shared" si="360"/>
        <v>172.8</v>
      </c>
      <c r="AL634">
        <f t="shared" si="361"/>
        <v>51.199999999999996</v>
      </c>
      <c r="AM634">
        <f t="shared" si="362"/>
        <v>5.12</v>
      </c>
      <c r="AN634">
        <f t="shared" si="363"/>
        <v>1.6</v>
      </c>
      <c r="AO634">
        <f t="shared" si="364"/>
        <v>1.9</v>
      </c>
      <c r="AP634">
        <f t="shared" si="365"/>
        <v>3</v>
      </c>
      <c r="AQ634">
        <v>101</v>
      </c>
      <c r="AR634">
        <v>1</v>
      </c>
    </row>
    <row r="635" spans="1:44" x14ac:dyDescent="0.15">
      <c r="A635">
        <f t="shared" si="372"/>
        <v>1101064</v>
      </c>
      <c r="B635" s="21" t="s">
        <v>271</v>
      </c>
      <c r="C635">
        <v>6</v>
      </c>
      <c r="D635">
        <v>2</v>
      </c>
      <c r="E635">
        <v>4</v>
      </c>
      <c r="F635" s="6" t="s">
        <v>379</v>
      </c>
      <c r="G635" s="6" t="s">
        <v>380</v>
      </c>
      <c r="H635" s="2">
        <v>0</v>
      </c>
      <c r="I635" s="2">
        <v>0</v>
      </c>
      <c r="J635" s="2">
        <f t="shared" si="348"/>
        <v>3</v>
      </c>
      <c r="K635" s="2">
        <f t="shared" si="349"/>
        <v>1.6</v>
      </c>
      <c r="L635" s="2">
        <f t="shared" si="350"/>
        <v>1.9000000000000001</v>
      </c>
      <c r="M635" s="2">
        <v>10</v>
      </c>
      <c r="N635" s="2">
        <f t="shared" si="351"/>
        <v>153.6</v>
      </c>
      <c r="O635" s="2">
        <f t="shared" si="352"/>
        <v>15.36</v>
      </c>
      <c r="P635" s="2">
        <f t="shared" si="353"/>
        <v>1728</v>
      </c>
      <c r="Q635" s="2">
        <f t="shared" si="354"/>
        <v>172.8</v>
      </c>
      <c r="R635" s="2">
        <f t="shared" si="355"/>
        <v>51.2</v>
      </c>
      <c r="S635" s="2">
        <f t="shared" si="356"/>
        <v>5.12</v>
      </c>
      <c r="T635" s="2">
        <v>0</v>
      </c>
      <c r="U635" s="2">
        <v>0</v>
      </c>
      <c r="V635" s="2">
        <v>0</v>
      </c>
      <c r="W635" s="2">
        <v>0</v>
      </c>
      <c r="X635" s="2">
        <v>0</v>
      </c>
      <c r="Y635" s="25">
        <v>523011</v>
      </c>
      <c r="Z635" s="26" t="s">
        <v>710</v>
      </c>
      <c r="AA635" s="4">
        <v>1</v>
      </c>
      <c r="AB635" s="4">
        <v>0</v>
      </c>
      <c r="AC635" s="4"/>
      <c r="AD635" s="4">
        <f t="shared" si="373"/>
        <v>6322.8211199999987</v>
      </c>
      <c r="AF635" s="1" t="str">
        <f t="shared" si="374"/>
        <v>1</v>
      </c>
      <c r="AG635">
        <v>6</v>
      </c>
      <c r="AH635">
        <f t="shared" si="357"/>
        <v>153.6</v>
      </c>
      <c r="AI635">
        <f t="shared" si="358"/>
        <v>15.36</v>
      </c>
      <c r="AJ635">
        <f t="shared" si="359"/>
        <v>1728</v>
      </c>
      <c r="AK635">
        <f t="shared" si="360"/>
        <v>172.8</v>
      </c>
      <c r="AL635">
        <f t="shared" si="361"/>
        <v>51.199999999999996</v>
      </c>
      <c r="AM635">
        <f t="shared" si="362"/>
        <v>5.12</v>
      </c>
      <c r="AN635">
        <f t="shared" si="363"/>
        <v>1.6</v>
      </c>
      <c r="AO635">
        <f t="shared" si="364"/>
        <v>1.9</v>
      </c>
      <c r="AP635">
        <f t="shared" si="365"/>
        <v>3</v>
      </c>
      <c r="AQ635">
        <v>101</v>
      </c>
      <c r="AR635">
        <v>1</v>
      </c>
    </row>
    <row r="636" spans="1:44" x14ac:dyDescent="0.15">
      <c r="A636">
        <f t="shared" si="372"/>
        <v>1101065</v>
      </c>
      <c r="B636" s="21" t="s">
        <v>274</v>
      </c>
      <c r="C636">
        <v>6</v>
      </c>
      <c r="D636">
        <v>2</v>
      </c>
      <c r="E636">
        <v>5</v>
      </c>
      <c r="F636" s="6" t="s">
        <v>381</v>
      </c>
      <c r="G636" s="6" t="s">
        <v>382</v>
      </c>
      <c r="H636">
        <v>0</v>
      </c>
      <c r="I636" s="2">
        <v>0</v>
      </c>
      <c r="J636" s="2">
        <f t="shared" si="348"/>
        <v>3</v>
      </c>
      <c r="K636" s="2">
        <f t="shared" si="349"/>
        <v>1.6</v>
      </c>
      <c r="L636" s="2">
        <f t="shared" si="350"/>
        <v>1.9000000000000001</v>
      </c>
      <c r="M636" s="2">
        <v>10</v>
      </c>
      <c r="N636" s="2">
        <f t="shared" si="351"/>
        <v>153.6</v>
      </c>
      <c r="O636" s="2">
        <f t="shared" si="352"/>
        <v>15.36</v>
      </c>
      <c r="P636" s="2">
        <f t="shared" si="353"/>
        <v>1728</v>
      </c>
      <c r="Q636" s="2">
        <f t="shared" si="354"/>
        <v>172.8</v>
      </c>
      <c r="R636" s="2">
        <f t="shared" si="355"/>
        <v>51.2</v>
      </c>
      <c r="S636" s="2">
        <f t="shared" si="356"/>
        <v>5.12</v>
      </c>
      <c r="T636" s="2">
        <v>0</v>
      </c>
      <c r="U636" s="2">
        <v>0</v>
      </c>
      <c r="V636" s="2">
        <v>0</v>
      </c>
      <c r="W636" s="2">
        <v>0</v>
      </c>
      <c r="X636" s="2">
        <v>0</v>
      </c>
      <c r="Y636" s="25">
        <v>523011</v>
      </c>
      <c r="Z636" s="26" t="s">
        <v>710</v>
      </c>
      <c r="AA636" s="4">
        <v>1</v>
      </c>
      <c r="AB636" s="4">
        <v>0</v>
      </c>
      <c r="AC636" s="4"/>
      <c r="AD636" s="4">
        <f t="shared" si="373"/>
        <v>6322.8211199999987</v>
      </c>
      <c r="AF636" s="1" t="str">
        <f t="shared" si="374"/>
        <v>1</v>
      </c>
      <c r="AG636">
        <v>6</v>
      </c>
      <c r="AH636">
        <f t="shared" si="357"/>
        <v>153.6</v>
      </c>
      <c r="AI636">
        <f t="shared" si="358"/>
        <v>15.36</v>
      </c>
      <c r="AJ636">
        <f t="shared" si="359"/>
        <v>1728</v>
      </c>
      <c r="AK636">
        <f t="shared" si="360"/>
        <v>172.8</v>
      </c>
      <c r="AL636">
        <f t="shared" si="361"/>
        <v>51.199999999999996</v>
      </c>
      <c r="AM636">
        <f t="shared" si="362"/>
        <v>5.12</v>
      </c>
      <c r="AN636">
        <f t="shared" si="363"/>
        <v>1.6</v>
      </c>
      <c r="AO636">
        <f t="shared" si="364"/>
        <v>1.9</v>
      </c>
      <c r="AP636">
        <f t="shared" si="365"/>
        <v>3</v>
      </c>
      <c r="AQ636">
        <v>101</v>
      </c>
      <c r="AR636">
        <v>1</v>
      </c>
    </row>
    <row r="637" spans="1:44" x14ac:dyDescent="0.15">
      <c r="A637">
        <f t="shared" si="372"/>
        <v>1101071</v>
      </c>
      <c r="B637" s="21" t="s">
        <v>262</v>
      </c>
      <c r="C637">
        <v>7</v>
      </c>
      <c r="D637">
        <v>2</v>
      </c>
      <c r="E637">
        <v>1</v>
      </c>
      <c r="F637" s="6" t="s">
        <v>373</v>
      </c>
      <c r="G637" s="6" t="s">
        <v>374</v>
      </c>
      <c r="H637" s="2">
        <v>0</v>
      </c>
      <c r="I637" s="2">
        <v>0</v>
      </c>
      <c r="J637" s="2">
        <f t="shared" si="348"/>
        <v>3</v>
      </c>
      <c r="K637" s="2">
        <f t="shared" si="349"/>
        <v>1.6</v>
      </c>
      <c r="L637" s="2">
        <f t="shared" si="350"/>
        <v>1.9000000000000001</v>
      </c>
      <c r="M637" s="2">
        <v>10</v>
      </c>
      <c r="N637" s="2">
        <f t="shared" si="351"/>
        <v>170.67</v>
      </c>
      <c r="O637" s="2">
        <f t="shared" si="352"/>
        <v>17.07</v>
      </c>
      <c r="P637" s="2">
        <f t="shared" si="353"/>
        <v>1920</v>
      </c>
      <c r="Q637" s="2">
        <f t="shared" si="354"/>
        <v>192</v>
      </c>
      <c r="R637" s="2">
        <f t="shared" si="355"/>
        <v>56.89</v>
      </c>
      <c r="S637" s="2">
        <f t="shared" si="356"/>
        <v>5.69</v>
      </c>
      <c r="T637" s="2">
        <v>0</v>
      </c>
      <c r="U637" s="2">
        <v>0</v>
      </c>
      <c r="V637" s="2">
        <v>0</v>
      </c>
      <c r="W637" s="2">
        <v>0</v>
      </c>
      <c r="X637" s="2">
        <v>0</v>
      </c>
      <c r="Y637" s="25">
        <v>523011</v>
      </c>
      <c r="Z637" s="26" t="s">
        <v>710</v>
      </c>
      <c r="AA637" s="4">
        <v>1</v>
      </c>
      <c r="AB637" s="4">
        <v>0</v>
      </c>
      <c r="AC637" s="4"/>
      <c r="AD637" s="4">
        <f t="shared" si="373"/>
        <v>7807.3518599999979</v>
      </c>
      <c r="AF637" s="1" t="str">
        <f t="shared" si="374"/>
        <v>1</v>
      </c>
      <c r="AG637">
        <v>7</v>
      </c>
      <c r="AH637">
        <f t="shared" si="357"/>
        <v>170.66666666666666</v>
      </c>
      <c r="AI637">
        <f t="shared" si="358"/>
        <v>17.066666666666666</v>
      </c>
      <c r="AJ637">
        <f t="shared" si="359"/>
        <v>1920</v>
      </c>
      <c r="AK637">
        <f t="shared" si="360"/>
        <v>192</v>
      </c>
      <c r="AL637">
        <f t="shared" si="361"/>
        <v>56.888888888888886</v>
      </c>
      <c r="AM637">
        <f t="shared" si="362"/>
        <v>5.6888888888888891</v>
      </c>
      <c r="AN637">
        <f t="shared" si="363"/>
        <v>1.6</v>
      </c>
      <c r="AO637">
        <f t="shared" si="364"/>
        <v>1.9</v>
      </c>
      <c r="AP637">
        <f t="shared" si="365"/>
        <v>3</v>
      </c>
      <c r="AQ637">
        <v>101</v>
      </c>
      <c r="AR637">
        <v>1</v>
      </c>
    </row>
    <row r="638" spans="1:44" x14ac:dyDescent="0.15">
      <c r="A638">
        <f t="shared" si="372"/>
        <v>1101072</v>
      </c>
      <c r="B638" s="21" t="s">
        <v>265</v>
      </c>
      <c r="C638">
        <v>7</v>
      </c>
      <c r="D638">
        <v>2</v>
      </c>
      <c r="E638">
        <v>2</v>
      </c>
      <c r="F638" s="6" t="s">
        <v>375</v>
      </c>
      <c r="G638" s="6" t="s">
        <v>376</v>
      </c>
      <c r="H638" s="2">
        <v>0</v>
      </c>
      <c r="I638" s="2">
        <v>0</v>
      </c>
      <c r="J638" s="2">
        <f t="shared" si="348"/>
        <v>3</v>
      </c>
      <c r="K638" s="2">
        <f t="shared" si="349"/>
        <v>1.6</v>
      </c>
      <c r="L638" s="2">
        <f t="shared" si="350"/>
        <v>1.9000000000000001</v>
      </c>
      <c r="M638" s="2">
        <v>10</v>
      </c>
      <c r="N638" s="2">
        <f t="shared" si="351"/>
        <v>170.67</v>
      </c>
      <c r="O638" s="2">
        <f t="shared" si="352"/>
        <v>17.07</v>
      </c>
      <c r="P638" s="2">
        <f t="shared" si="353"/>
        <v>1920</v>
      </c>
      <c r="Q638" s="2">
        <f t="shared" si="354"/>
        <v>192</v>
      </c>
      <c r="R638" s="2">
        <f t="shared" si="355"/>
        <v>56.89</v>
      </c>
      <c r="S638" s="2">
        <f t="shared" si="356"/>
        <v>5.69</v>
      </c>
      <c r="T638" s="2">
        <v>0</v>
      </c>
      <c r="U638" s="2">
        <v>0</v>
      </c>
      <c r="V638" s="2">
        <v>0</v>
      </c>
      <c r="W638" s="2">
        <v>0</v>
      </c>
      <c r="X638" s="2">
        <v>0</v>
      </c>
      <c r="Y638" s="25">
        <v>523011</v>
      </c>
      <c r="Z638" s="26" t="s">
        <v>710</v>
      </c>
      <c r="AA638" s="4">
        <v>1</v>
      </c>
      <c r="AB638" s="4">
        <v>0</v>
      </c>
      <c r="AC638" s="4"/>
      <c r="AD638" s="4">
        <f t="shared" si="373"/>
        <v>7807.3518599999979</v>
      </c>
      <c r="AF638" s="1" t="str">
        <f t="shared" si="374"/>
        <v>1</v>
      </c>
      <c r="AG638">
        <v>7</v>
      </c>
      <c r="AH638">
        <f t="shared" si="357"/>
        <v>170.66666666666666</v>
      </c>
      <c r="AI638">
        <f t="shared" si="358"/>
        <v>17.066666666666666</v>
      </c>
      <c r="AJ638">
        <f t="shared" si="359"/>
        <v>1920</v>
      </c>
      <c r="AK638">
        <f t="shared" si="360"/>
        <v>192</v>
      </c>
      <c r="AL638">
        <f t="shared" si="361"/>
        <v>56.888888888888886</v>
      </c>
      <c r="AM638">
        <f t="shared" si="362"/>
        <v>5.6888888888888891</v>
      </c>
      <c r="AN638">
        <f t="shared" si="363"/>
        <v>1.6</v>
      </c>
      <c r="AO638">
        <f t="shared" si="364"/>
        <v>1.9</v>
      </c>
      <c r="AP638">
        <f t="shared" si="365"/>
        <v>3</v>
      </c>
      <c r="AQ638">
        <v>101</v>
      </c>
      <c r="AR638">
        <v>1</v>
      </c>
    </row>
    <row r="639" spans="1:44" x14ac:dyDescent="0.15">
      <c r="A639">
        <f t="shared" si="372"/>
        <v>1101073</v>
      </c>
      <c r="B639" s="21" t="s">
        <v>268</v>
      </c>
      <c r="C639">
        <v>7</v>
      </c>
      <c r="D639">
        <v>2</v>
      </c>
      <c r="E639">
        <v>3</v>
      </c>
      <c r="F639" s="6" t="s">
        <v>377</v>
      </c>
      <c r="G639" s="6" t="s">
        <v>378</v>
      </c>
      <c r="H639" s="2">
        <v>0</v>
      </c>
      <c r="I639" s="2">
        <v>0</v>
      </c>
      <c r="J639" s="2">
        <f t="shared" si="348"/>
        <v>3</v>
      </c>
      <c r="K639" s="2">
        <f t="shared" si="349"/>
        <v>1.6</v>
      </c>
      <c r="L639" s="2">
        <f t="shared" si="350"/>
        <v>1.9000000000000001</v>
      </c>
      <c r="M639" s="2">
        <v>10</v>
      </c>
      <c r="N639" s="2">
        <f t="shared" si="351"/>
        <v>170.67</v>
      </c>
      <c r="O639" s="2">
        <f t="shared" si="352"/>
        <v>17.07</v>
      </c>
      <c r="P639" s="2">
        <f t="shared" si="353"/>
        <v>1920</v>
      </c>
      <c r="Q639" s="2">
        <f t="shared" si="354"/>
        <v>192</v>
      </c>
      <c r="R639" s="2">
        <f t="shared" si="355"/>
        <v>56.89</v>
      </c>
      <c r="S639" s="2">
        <f t="shared" si="356"/>
        <v>5.69</v>
      </c>
      <c r="T639" s="2">
        <v>0</v>
      </c>
      <c r="U639" s="2">
        <v>0</v>
      </c>
      <c r="V639" s="2">
        <v>0</v>
      </c>
      <c r="W639" s="2">
        <v>0</v>
      </c>
      <c r="X639" s="2">
        <v>0</v>
      </c>
      <c r="Y639" s="25">
        <v>523011</v>
      </c>
      <c r="Z639" s="26" t="s">
        <v>710</v>
      </c>
      <c r="AA639" s="4">
        <v>1</v>
      </c>
      <c r="AB639" s="4">
        <v>0</v>
      </c>
      <c r="AC639" s="4"/>
      <c r="AD639" s="4">
        <f t="shared" si="373"/>
        <v>7807.3518599999979</v>
      </c>
      <c r="AF639" s="1" t="str">
        <f t="shared" si="374"/>
        <v>1</v>
      </c>
      <c r="AG639">
        <v>7</v>
      </c>
      <c r="AH639">
        <f t="shared" si="357"/>
        <v>170.66666666666666</v>
      </c>
      <c r="AI639">
        <f t="shared" si="358"/>
        <v>17.066666666666666</v>
      </c>
      <c r="AJ639">
        <f t="shared" si="359"/>
        <v>1920</v>
      </c>
      <c r="AK639">
        <f t="shared" si="360"/>
        <v>192</v>
      </c>
      <c r="AL639">
        <f t="shared" si="361"/>
        <v>56.888888888888886</v>
      </c>
      <c r="AM639">
        <f t="shared" si="362"/>
        <v>5.6888888888888891</v>
      </c>
      <c r="AN639">
        <f t="shared" si="363"/>
        <v>1.6</v>
      </c>
      <c r="AO639">
        <f t="shared" si="364"/>
        <v>1.9</v>
      </c>
      <c r="AP639">
        <f t="shared" si="365"/>
        <v>3</v>
      </c>
      <c r="AQ639">
        <v>101</v>
      </c>
      <c r="AR639">
        <v>1</v>
      </c>
    </row>
    <row r="640" spans="1:44" x14ac:dyDescent="0.15">
      <c r="A640">
        <f t="shared" si="372"/>
        <v>1101074</v>
      </c>
      <c r="B640" s="21" t="s">
        <v>271</v>
      </c>
      <c r="C640">
        <v>7</v>
      </c>
      <c r="D640">
        <v>2</v>
      </c>
      <c r="E640">
        <v>4</v>
      </c>
      <c r="F640" s="6" t="s">
        <v>379</v>
      </c>
      <c r="G640" s="6" t="s">
        <v>380</v>
      </c>
      <c r="H640" s="2">
        <v>0</v>
      </c>
      <c r="I640" s="2">
        <v>0</v>
      </c>
      <c r="J640" s="2">
        <f t="shared" si="348"/>
        <v>3</v>
      </c>
      <c r="K640" s="2">
        <f t="shared" si="349"/>
        <v>1.6</v>
      </c>
      <c r="L640" s="2">
        <f t="shared" si="350"/>
        <v>1.9000000000000001</v>
      </c>
      <c r="M640" s="2">
        <v>10</v>
      </c>
      <c r="N640" s="2">
        <f t="shared" si="351"/>
        <v>170.67</v>
      </c>
      <c r="O640" s="2">
        <f t="shared" si="352"/>
        <v>17.07</v>
      </c>
      <c r="P640" s="2">
        <f t="shared" si="353"/>
        <v>1920</v>
      </c>
      <c r="Q640" s="2">
        <f t="shared" si="354"/>
        <v>192</v>
      </c>
      <c r="R640" s="2">
        <f t="shared" si="355"/>
        <v>56.89</v>
      </c>
      <c r="S640" s="2">
        <f t="shared" si="356"/>
        <v>5.69</v>
      </c>
      <c r="T640" s="2">
        <v>0</v>
      </c>
      <c r="U640" s="2">
        <v>0</v>
      </c>
      <c r="V640" s="2">
        <v>0</v>
      </c>
      <c r="W640" s="2">
        <v>0</v>
      </c>
      <c r="X640" s="2">
        <v>0</v>
      </c>
      <c r="Y640" s="25">
        <v>523011</v>
      </c>
      <c r="Z640" s="26" t="s">
        <v>710</v>
      </c>
      <c r="AA640" s="4">
        <v>1</v>
      </c>
      <c r="AB640" s="4">
        <v>0</v>
      </c>
      <c r="AC640" s="4"/>
      <c r="AD640" s="4">
        <f t="shared" si="373"/>
        <v>7807.3518599999979</v>
      </c>
      <c r="AF640" s="1" t="str">
        <f t="shared" si="374"/>
        <v>1</v>
      </c>
      <c r="AG640">
        <v>7</v>
      </c>
      <c r="AH640">
        <f t="shared" si="357"/>
        <v>170.66666666666666</v>
      </c>
      <c r="AI640">
        <f t="shared" si="358"/>
        <v>17.066666666666666</v>
      </c>
      <c r="AJ640">
        <f t="shared" si="359"/>
        <v>1920</v>
      </c>
      <c r="AK640">
        <f t="shared" si="360"/>
        <v>192</v>
      </c>
      <c r="AL640">
        <f t="shared" si="361"/>
        <v>56.888888888888886</v>
      </c>
      <c r="AM640">
        <f t="shared" si="362"/>
        <v>5.6888888888888891</v>
      </c>
      <c r="AN640">
        <f t="shared" si="363"/>
        <v>1.6</v>
      </c>
      <c r="AO640">
        <f t="shared" si="364"/>
        <v>1.9</v>
      </c>
      <c r="AP640">
        <f t="shared" si="365"/>
        <v>3</v>
      </c>
      <c r="AQ640">
        <v>101</v>
      </c>
      <c r="AR640">
        <v>1</v>
      </c>
    </row>
    <row r="641" spans="1:44" x14ac:dyDescent="0.15">
      <c r="A641">
        <f t="shared" si="372"/>
        <v>1101075</v>
      </c>
      <c r="B641" s="21" t="s">
        <v>274</v>
      </c>
      <c r="C641">
        <v>7</v>
      </c>
      <c r="D641">
        <v>2</v>
      </c>
      <c r="E641">
        <v>5</v>
      </c>
      <c r="F641" s="6" t="s">
        <v>381</v>
      </c>
      <c r="G641" s="6" t="s">
        <v>382</v>
      </c>
      <c r="H641">
        <v>0</v>
      </c>
      <c r="I641" s="2">
        <v>0</v>
      </c>
      <c r="J641" s="2">
        <f t="shared" si="348"/>
        <v>3</v>
      </c>
      <c r="K641" s="2">
        <f t="shared" si="349"/>
        <v>1.6</v>
      </c>
      <c r="L641" s="2">
        <f t="shared" si="350"/>
        <v>1.9000000000000001</v>
      </c>
      <c r="M641" s="2">
        <v>10</v>
      </c>
      <c r="N641" s="2">
        <f t="shared" si="351"/>
        <v>170.67</v>
      </c>
      <c r="O641" s="2">
        <f t="shared" si="352"/>
        <v>17.07</v>
      </c>
      <c r="P641" s="2">
        <f t="shared" si="353"/>
        <v>1920</v>
      </c>
      <c r="Q641" s="2">
        <f t="shared" si="354"/>
        <v>192</v>
      </c>
      <c r="R641" s="2">
        <f t="shared" si="355"/>
        <v>56.89</v>
      </c>
      <c r="S641" s="2">
        <f t="shared" si="356"/>
        <v>5.69</v>
      </c>
      <c r="T641" s="2">
        <v>0</v>
      </c>
      <c r="U641" s="2">
        <v>0</v>
      </c>
      <c r="V641" s="2">
        <v>0</v>
      </c>
      <c r="W641" s="2">
        <v>0</v>
      </c>
      <c r="X641" s="2">
        <v>0</v>
      </c>
      <c r="Y641" s="25">
        <v>523011</v>
      </c>
      <c r="Z641" s="26" t="s">
        <v>710</v>
      </c>
      <c r="AA641" s="4">
        <v>1</v>
      </c>
      <c r="AB641" s="4">
        <v>0</v>
      </c>
      <c r="AC641" s="4"/>
      <c r="AD641" s="4">
        <f t="shared" si="373"/>
        <v>7807.3518599999979</v>
      </c>
      <c r="AF641" s="1" t="str">
        <f t="shared" si="374"/>
        <v>1</v>
      </c>
      <c r="AG641">
        <v>7</v>
      </c>
      <c r="AH641">
        <f t="shared" si="357"/>
        <v>170.66666666666666</v>
      </c>
      <c r="AI641">
        <f t="shared" si="358"/>
        <v>17.066666666666666</v>
      </c>
      <c r="AJ641">
        <f t="shared" si="359"/>
        <v>1920</v>
      </c>
      <c r="AK641">
        <f t="shared" si="360"/>
        <v>192</v>
      </c>
      <c r="AL641">
        <f t="shared" si="361"/>
        <v>56.888888888888886</v>
      </c>
      <c r="AM641">
        <f t="shared" si="362"/>
        <v>5.6888888888888891</v>
      </c>
      <c r="AN641">
        <f t="shared" si="363"/>
        <v>1.6</v>
      </c>
      <c r="AO641">
        <f t="shared" si="364"/>
        <v>1.9</v>
      </c>
      <c r="AP641">
        <f t="shared" si="365"/>
        <v>3</v>
      </c>
      <c r="AQ641">
        <v>101</v>
      </c>
      <c r="AR641">
        <v>1</v>
      </c>
    </row>
    <row r="642" spans="1:44" x14ac:dyDescent="0.15">
      <c r="A642">
        <f t="shared" si="372"/>
        <v>1101081</v>
      </c>
      <c r="B642" s="21" t="s">
        <v>262</v>
      </c>
      <c r="C642">
        <v>8</v>
      </c>
      <c r="D642">
        <v>2</v>
      </c>
      <c r="E642">
        <v>1</v>
      </c>
      <c r="F642" s="6" t="s">
        <v>373</v>
      </c>
      <c r="G642" s="6" t="s">
        <v>374</v>
      </c>
      <c r="H642" s="2">
        <v>0</v>
      </c>
      <c r="I642" s="2">
        <v>0</v>
      </c>
      <c r="J642" s="2">
        <f t="shared" si="348"/>
        <v>3</v>
      </c>
      <c r="K642" s="2">
        <f t="shared" si="349"/>
        <v>1.6</v>
      </c>
      <c r="L642" s="2">
        <f t="shared" si="350"/>
        <v>1.9000000000000001</v>
      </c>
      <c r="M642" s="2">
        <v>10</v>
      </c>
      <c r="N642" s="2">
        <f t="shared" si="351"/>
        <v>187.73</v>
      </c>
      <c r="O642" s="2">
        <f t="shared" si="352"/>
        <v>18.77</v>
      </c>
      <c r="P642" s="2">
        <f t="shared" si="353"/>
        <v>2112</v>
      </c>
      <c r="Q642" s="2">
        <f t="shared" si="354"/>
        <v>211.2</v>
      </c>
      <c r="R642" s="2">
        <f t="shared" si="355"/>
        <v>62.58</v>
      </c>
      <c r="S642" s="2">
        <f t="shared" si="356"/>
        <v>6.26</v>
      </c>
      <c r="T642" s="2">
        <v>0</v>
      </c>
      <c r="U642" s="2">
        <v>0</v>
      </c>
      <c r="V642" s="2">
        <v>0</v>
      </c>
      <c r="W642" s="2">
        <v>0</v>
      </c>
      <c r="X642" s="2">
        <v>0</v>
      </c>
      <c r="Y642" s="25">
        <v>523011</v>
      </c>
      <c r="Z642" s="26" t="s">
        <v>710</v>
      </c>
      <c r="AA642" s="4">
        <v>1</v>
      </c>
      <c r="AB642" s="4">
        <v>0</v>
      </c>
      <c r="AC642" s="4"/>
      <c r="AD642" s="4">
        <f t="shared" si="373"/>
        <v>9443.662073999998</v>
      </c>
      <c r="AF642" s="1" t="str">
        <f t="shared" si="374"/>
        <v>1</v>
      </c>
      <c r="AG642">
        <v>8</v>
      </c>
      <c r="AH642">
        <f t="shared" si="357"/>
        <v>187.73333333333335</v>
      </c>
      <c r="AI642">
        <f t="shared" si="358"/>
        <v>18.773333333333337</v>
      </c>
      <c r="AJ642">
        <f t="shared" si="359"/>
        <v>2112</v>
      </c>
      <c r="AK642">
        <f t="shared" si="360"/>
        <v>211.20000000000002</v>
      </c>
      <c r="AL642">
        <f t="shared" si="361"/>
        <v>62.577777777777783</v>
      </c>
      <c r="AM642">
        <f t="shared" si="362"/>
        <v>6.257777777777779</v>
      </c>
      <c r="AN642">
        <f t="shared" si="363"/>
        <v>1.6</v>
      </c>
      <c r="AO642">
        <f t="shared" si="364"/>
        <v>1.9</v>
      </c>
      <c r="AP642">
        <f t="shared" si="365"/>
        <v>3</v>
      </c>
      <c r="AQ642">
        <v>101</v>
      </c>
      <c r="AR642">
        <v>1</v>
      </c>
    </row>
    <row r="643" spans="1:44" x14ac:dyDescent="0.15">
      <c r="A643">
        <f t="shared" si="372"/>
        <v>1101082</v>
      </c>
      <c r="B643" s="21" t="s">
        <v>265</v>
      </c>
      <c r="C643">
        <v>8</v>
      </c>
      <c r="D643">
        <v>2</v>
      </c>
      <c r="E643">
        <v>2</v>
      </c>
      <c r="F643" s="6" t="s">
        <v>375</v>
      </c>
      <c r="G643" s="6" t="s">
        <v>376</v>
      </c>
      <c r="H643" s="2">
        <v>0</v>
      </c>
      <c r="I643" s="2">
        <v>0</v>
      </c>
      <c r="J643" s="2">
        <f t="shared" si="348"/>
        <v>3</v>
      </c>
      <c r="K643" s="2">
        <f t="shared" si="349"/>
        <v>1.6</v>
      </c>
      <c r="L643" s="2">
        <f t="shared" si="350"/>
        <v>1.9000000000000001</v>
      </c>
      <c r="M643" s="2">
        <v>10</v>
      </c>
      <c r="N643" s="2">
        <f t="shared" si="351"/>
        <v>187.73</v>
      </c>
      <c r="O643" s="2">
        <f t="shared" si="352"/>
        <v>18.77</v>
      </c>
      <c r="P643" s="2">
        <f t="shared" si="353"/>
        <v>2112</v>
      </c>
      <c r="Q643" s="2">
        <f t="shared" si="354"/>
        <v>211.2</v>
      </c>
      <c r="R643" s="2">
        <f t="shared" si="355"/>
        <v>62.58</v>
      </c>
      <c r="S643" s="2">
        <f t="shared" si="356"/>
        <v>6.26</v>
      </c>
      <c r="T643" s="2">
        <v>0</v>
      </c>
      <c r="U643" s="2">
        <v>0</v>
      </c>
      <c r="V643" s="2">
        <v>0</v>
      </c>
      <c r="W643" s="2">
        <v>0</v>
      </c>
      <c r="X643" s="2">
        <v>0</v>
      </c>
      <c r="Y643" s="25">
        <v>523011</v>
      </c>
      <c r="Z643" s="26" t="s">
        <v>710</v>
      </c>
      <c r="AA643" s="4">
        <v>1</v>
      </c>
      <c r="AB643" s="4">
        <v>0</v>
      </c>
      <c r="AC643" s="4"/>
      <c r="AD643" s="4">
        <f t="shared" si="373"/>
        <v>9443.662073999998</v>
      </c>
      <c r="AF643" s="1" t="str">
        <f t="shared" si="374"/>
        <v>1</v>
      </c>
      <c r="AG643">
        <v>8</v>
      </c>
      <c r="AH643">
        <f t="shared" si="357"/>
        <v>187.73333333333335</v>
      </c>
      <c r="AI643">
        <f t="shared" si="358"/>
        <v>18.773333333333337</v>
      </c>
      <c r="AJ643">
        <f t="shared" si="359"/>
        <v>2112</v>
      </c>
      <c r="AK643">
        <f t="shared" si="360"/>
        <v>211.20000000000002</v>
      </c>
      <c r="AL643">
        <f t="shared" si="361"/>
        <v>62.577777777777783</v>
      </c>
      <c r="AM643">
        <f t="shared" si="362"/>
        <v>6.257777777777779</v>
      </c>
      <c r="AN643">
        <f t="shared" si="363"/>
        <v>1.6</v>
      </c>
      <c r="AO643">
        <f t="shared" si="364"/>
        <v>1.9</v>
      </c>
      <c r="AP643">
        <f t="shared" si="365"/>
        <v>3</v>
      </c>
      <c r="AQ643">
        <v>101</v>
      </c>
      <c r="AR643">
        <v>1</v>
      </c>
    </row>
    <row r="644" spans="1:44" x14ac:dyDescent="0.15">
      <c r="A644">
        <f t="shared" si="372"/>
        <v>1101083</v>
      </c>
      <c r="B644" s="21" t="s">
        <v>268</v>
      </c>
      <c r="C644">
        <v>8</v>
      </c>
      <c r="D644">
        <v>2</v>
      </c>
      <c r="E644">
        <v>3</v>
      </c>
      <c r="F644" s="6" t="s">
        <v>377</v>
      </c>
      <c r="G644" s="6" t="s">
        <v>378</v>
      </c>
      <c r="H644" s="2">
        <v>0</v>
      </c>
      <c r="I644" s="2">
        <v>0</v>
      </c>
      <c r="J644" s="2">
        <f t="shared" si="348"/>
        <v>3</v>
      </c>
      <c r="K644" s="2">
        <f t="shared" si="349"/>
        <v>1.6</v>
      </c>
      <c r="L644" s="2">
        <f t="shared" si="350"/>
        <v>1.9000000000000001</v>
      </c>
      <c r="M644" s="2">
        <v>10</v>
      </c>
      <c r="N644" s="2">
        <f t="shared" si="351"/>
        <v>187.73</v>
      </c>
      <c r="O644" s="2">
        <f t="shared" si="352"/>
        <v>18.77</v>
      </c>
      <c r="P644" s="2">
        <f t="shared" si="353"/>
        <v>2112</v>
      </c>
      <c r="Q644" s="2">
        <f t="shared" si="354"/>
        <v>211.2</v>
      </c>
      <c r="R644" s="2">
        <f t="shared" si="355"/>
        <v>62.58</v>
      </c>
      <c r="S644" s="2">
        <f t="shared" si="356"/>
        <v>6.26</v>
      </c>
      <c r="T644" s="2">
        <v>0</v>
      </c>
      <c r="U644" s="2">
        <v>0</v>
      </c>
      <c r="V644" s="2">
        <v>0</v>
      </c>
      <c r="W644" s="2">
        <v>0</v>
      </c>
      <c r="X644" s="2">
        <v>0</v>
      </c>
      <c r="Y644" s="25">
        <v>523011</v>
      </c>
      <c r="Z644" s="26" t="s">
        <v>710</v>
      </c>
      <c r="AA644" s="4">
        <v>1</v>
      </c>
      <c r="AB644" s="4">
        <v>0</v>
      </c>
      <c r="AC644" s="4"/>
      <c r="AD644" s="4">
        <f t="shared" si="373"/>
        <v>9443.662073999998</v>
      </c>
      <c r="AF644" s="1" t="str">
        <f t="shared" si="374"/>
        <v>1</v>
      </c>
      <c r="AG644">
        <v>8</v>
      </c>
      <c r="AH644">
        <f t="shared" si="357"/>
        <v>187.73333333333335</v>
      </c>
      <c r="AI644">
        <f t="shared" si="358"/>
        <v>18.773333333333337</v>
      </c>
      <c r="AJ644">
        <f t="shared" si="359"/>
        <v>2112</v>
      </c>
      <c r="AK644">
        <f t="shared" si="360"/>
        <v>211.20000000000002</v>
      </c>
      <c r="AL644">
        <f t="shared" si="361"/>
        <v>62.577777777777783</v>
      </c>
      <c r="AM644">
        <f t="shared" si="362"/>
        <v>6.257777777777779</v>
      </c>
      <c r="AN644">
        <f t="shared" si="363"/>
        <v>1.6</v>
      </c>
      <c r="AO644">
        <f t="shared" si="364"/>
        <v>1.9</v>
      </c>
      <c r="AP644">
        <f t="shared" si="365"/>
        <v>3</v>
      </c>
      <c r="AQ644">
        <v>101</v>
      </c>
      <c r="AR644">
        <v>1</v>
      </c>
    </row>
    <row r="645" spans="1:44" x14ac:dyDescent="0.15">
      <c r="A645">
        <f t="shared" si="372"/>
        <v>1101084</v>
      </c>
      <c r="B645" s="21" t="s">
        <v>271</v>
      </c>
      <c r="C645">
        <v>8</v>
      </c>
      <c r="D645">
        <v>2</v>
      </c>
      <c r="E645">
        <v>4</v>
      </c>
      <c r="F645" s="6" t="s">
        <v>379</v>
      </c>
      <c r="G645" s="6" t="s">
        <v>380</v>
      </c>
      <c r="H645" s="2">
        <v>0</v>
      </c>
      <c r="I645" s="2">
        <v>0</v>
      </c>
      <c r="J645" s="2">
        <f t="shared" si="348"/>
        <v>3</v>
      </c>
      <c r="K645" s="2">
        <f t="shared" si="349"/>
        <v>1.6</v>
      </c>
      <c r="L645" s="2">
        <f t="shared" si="350"/>
        <v>1.9000000000000001</v>
      </c>
      <c r="M645" s="2">
        <v>10</v>
      </c>
      <c r="N645" s="2">
        <f t="shared" si="351"/>
        <v>187.73</v>
      </c>
      <c r="O645" s="2">
        <f t="shared" si="352"/>
        <v>18.77</v>
      </c>
      <c r="P645" s="2">
        <f t="shared" si="353"/>
        <v>2112</v>
      </c>
      <c r="Q645" s="2">
        <f t="shared" si="354"/>
        <v>211.2</v>
      </c>
      <c r="R645" s="2">
        <f t="shared" si="355"/>
        <v>62.58</v>
      </c>
      <c r="S645" s="2">
        <f t="shared" si="356"/>
        <v>6.26</v>
      </c>
      <c r="T645" s="2">
        <v>0</v>
      </c>
      <c r="U645" s="2">
        <v>0</v>
      </c>
      <c r="V645" s="2">
        <v>0</v>
      </c>
      <c r="W645" s="2">
        <v>0</v>
      </c>
      <c r="X645" s="2">
        <v>0</v>
      </c>
      <c r="Y645" s="25">
        <v>523011</v>
      </c>
      <c r="Z645" s="26" t="s">
        <v>710</v>
      </c>
      <c r="AA645" s="4">
        <v>1</v>
      </c>
      <c r="AB645" s="4">
        <v>0</v>
      </c>
      <c r="AC645" s="4"/>
      <c r="AD645" s="4">
        <f t="shared" si="373"/>
        <v>9443.662073999998</v>
      </c>
      <c r="AF645" s="1" t="str">
        <f t="shared" si="374"/>
        <v>1</v>
      </c>
      <c r="AG645">
        <v>8</v>
      </c>
      <c r="AH645">
        <f t="shared" si="357"/>
        <v>187.73333333333335</v>
      </c>
      <c r="AI645">
        <f t="shared" si="358"/>
        <v>18.773333333333337</v>
      </c>
      <c r="AJ645">
        <f t="shared" si="359"/>
        <v>2112</v>
      </c>
      <c r="AK645">
        <f t="shared" si="360"/>
        <v>211.20000000000002</v>
      </c>
      <c r="AL645">
        <f t="shared" si="361"/>
        <v>62.577777777777783</v>
      </c>
      <c r="AM645">
        <f t="shared" si="362"/>
        <v>6.257777777777779</v>
      </c>
      <c r="AN645">
        <f t="shared" si="363"/>
        <v>1.6</v>
      </c>
      <c r="AO645">
        <f t="shared" si="364"/>
        <v>1.9</v>
      </c>
      <c r="AP645">
        <f t="shared" si="365"/>
        <v>3</v>
      </c>
      <c r="AQ645">
        <v>101</v>
      </c>
      <c r="AR645">
        <v>1</v>
      </c>
    </row>
    <row r="646" spans="1:44" x14ac:dyDescent="0.15">
      <c r="A646">
        <f t="shared" si="372"/>
        <v>1101085</v>
      </c>
      <c r="B646" s="21" t="s">
        <v>274</v>
      </c>
      <c r="C646">
        <v>8</v>
      </c>
      <c r="D646">
        <v>2</v>
      </c>
      <c r="E646">
        <v>5</v>
      </c>
      <c r="F646" s="6" t="s">
        <v>381</v>
      </c>
      <c r="G646" s="6" t="s">
        <v>382</v>
      </c>
      <c r="H646">
        <v>0</v>
      </c>
      <c r="I646" s="2">
        <v>0</v>
      </c>
      <c r="J646" s="2">
        <f t="shared" si="348"/>
        <v>3</v>
      </c>
      <c r="K646" s="2">
        <f t="shared" si="349"/>
        <v>1.6</v>
      </c>
      <c r="L646" s="2">
        <f t="shared" si="350"/>
        <v>1.9000000000000001</v>
      </c>
      <c r="M646" s="2">
        <v>10</v>
      </c>
      <c r="N646" s="2">
        <f t="shared" si="351"/>
        <v>187.73</v>
      </c>
      <c r="O646" s="2">
        <f t="shared" si="352"/>
        <v>18.77</v>
      </c>
      <c r="P646" s="2">
        <f t="shared" si="353"/>
        <v>2112</v>
      </c>
      <c r="Q646" s="2">
        <f t="shared" si="354"/>
        <v>211.2</v>
      </c>
      <c r="R646" s="2">
        <f t="shared" si="355"/>
        <v>62.58</v>
      </c>
      <c r="S646" s="2">
        <f t="shared" si="356"/>
        <v>6.26</v>
      </c>
      <c r="T646" s="2">
        <v>0</v>
      </c>
      <c r="U646" s="2">
        <v>0</v>
      </c>
      <c r="V646" s="2">
        <v>0</v>
      </c>
      <c r="W646" s="2">
        <v>0</v>
      </c>
      <c r="X646" s="2">
        <v>0</v>
      </c>
      <c r="Y646" s="25">
        <v>523011</v>
      </c>
      <c r="Z646" s="26" t="s">
        <v>710</v>
      </c>
      <c r="AA646" s="4">
        <v>1</v>
      </c>
      <c r="AB646" s="4">
        <v>0</v>
      </c>
      <c r="AC646" s="4"/>
      <c r="AD646" s="4">
        <f t="shared" si="373"/>
        <v>9443.662073999998</v>
      </c>
      <c r="AF646" s="1" t="str">
        <f t="shared" si="374"/>
        <v>1</v>
      </c>
      <c r="AG646">
        <v>8</v>
      </c>
      <c r="AH646">
        <f t="shared" si="357"/>
        <v>187.73333333333335</v>
      </c>
      <c r="AI646">
        <f t="shared" si="358"/>
        <v>18.773333333333337</v>
      </c>
      <c r="AJ646">
        <f t="shared" si="359"/>
        <v>2112</v>
      </c>
      <c r="AK646">
        <f t="shared" si="360"/>
        <v>211.20000000000002</v>
      </c>
      <c r="AL646">
        <f t="shared" si="361"/>
        <v>62.577777777777783</v>
      </c>
      <c r="AM646">
        <f t="shared" si="362"/>
        <v>6.257777777777779</v>
      </c>
      <c r="AN646">
        <f t="shared" si="363"/>
        <v>1.6</v>
      </c>
      <c r="AO646">
        <f t="shared" si="364"/>
        <v>1.9</v>
      </c>
      <c r="AP646">
        <f t="shared" si="365"/>
        <v>3</v>
      </c>
      <c r="AQ646">
        <v>101</v>
      </c>
      <c r="AR646">
        <v>1</v>
      </c>
    </row>
    <row r="647" spans="1:44" x14ac:dyDescent="0.15">
      <c r="A647">
        <f t="shared" si="372"/>
        <v>1101091</v>
      </c>
      <c r="B647" s="21" t="s">
        <v>262</v>
      </c>
      <c r="C647">
        <v>9</v>
      </c>
      <c r="D647">
        <v>2</v>
      </c>
      <c r="E647">
        <v>1</v>
      </c>
      <c r="F647" s="6" t="s">
        <v>373</v>
      </c>
      <c r="G647" s="6" t="s">
        <v>374</v>
      </c>
      <c r="H647" s="2">
        <v>0</v>
      </c>
      <c r="I647" s="2">
        <v>0</v>
      </c>
      <c r="J647" s="2">
        <f t="shared" si="348"/>
        <v>3</v>
      </c>
      <c r="K647" s="2">
        <f t="shared" si="349"/>
        <v>1.6</v>
      </c>
      <c r="L647" s="2">
        <f t="shared" si="350"/>
        <v>1.9000000000000001</v>
      </c>
      <c r="M647" s="2">
        <v>10</v>
      </c>
      <c r="N647" s="2">
        <f t="shared" si="351"/>
        <v>204.8</v>
      </c>
      <c r="O647" s="2">
        <f t="shared" si="352"/>
        <v>20.48</v>
      </c>
      <c r="P647" s="2">
        <f t="shared" si="353"/>
        <v>2304</v>
      </c>
      <c r="Q647" s="2">
        <f t="shared" si="354"/>
        <v>230.4</v>
      </c>
      <c r="R647" s="2">
        <f t="shared" si="355"/>
        <v>68.27</v>
      </c>
      <c r="S647" s="2">
        <f t="shared" si="356"/>
        <v>6.83</v>
      </c>
      <c r="T647" s="2">
        <v>0</v>
      </c>
      <c r="U647" s="2">
        <v>0</v>
      </c>
      <c r="V647" s="2">
        <v>0</v>
      </c>
      <c r="W647" s="2">
        <v>0</v>
      </c>
      <c r="X647" s="2">
        <v>0</v>
      </c>
      <c r="Y647" s="25">
        <v>523011</v>
      </c>
      <c r="Z647" s="26" t="s">
        <v>710</v>
      </c>
      <c r="AA647" s="4">
        <v>1</v>
      </c>
      <c r="AB647" s="4">
        <v>0</v>
      </c>
      <c r="AC647" s="4"/>
      <c r="AD647" s="4">
        <f t="shared" si="373"/>
        <v>11240.570879999999</v>
      </c>
      <c r="AF647" s="1" t="str">
        <f t="shared" si="374"/>
        <v>1</v>
      </c>
      <c r="AG647">
        <v>9</v>
      </c>
      <c r="AH647">
        <f t="shared" si="357"/>
        <v>204.79999999999998</v>
      </c>
      <c r="AI647">
        <f t="shared" si="358"/>
        <v>20.48</v>
      </c>
      <c r="AJ647">
        <f t="shared" si="359"/>
        <v>2304</v>
      </c>
      <c r="AK647">
        <f t="shared" si="360"/>
        <v>230.4</v>
      </c>
      <c r="AL647">
        <f t="shared" si="361"/>
        <v>68.266666666666666</v>
      </c>
      <c r="AM647">
        <f t="shared" si="362"/>
        <v>6.8266666666666671</v>
      </c>
      <c r="AN647">
        <f t="shared" si="363"/>
        <v>1.6</v>
      </c>
      <c r="AO647">
        <f t="shared" si="364"/>
        <v>1.9</v>
      </c>
      <c r="AP647">
        <f t="shared" si="365"/>
        <v>3</v>
      </c>
      <c r="AQ647">
        <v>101</v>
      </c>
      <c r="AR647">
        <v>1</v>
      </c>
    </row>
    <row r="648" spans="1:44" x14ac:dyDescent="0.15">
      <c r="A648">
        <f t="shared" si="372"/>
        <v>1101092</v>
      </c>
      <c r="B648" s="21" t="s">
        <v>265</v>
      </c>
      <c r="C648">
        <v>9</v>
      </c>
      <c r="D648">
        <v>2</v>
      </c>
      <c r="E648">
        <v>2</v>
      </c>
      <c r="F648" s="6" t="s">
        <v>375</v>
      </c>
      <c r="G648" s="6" t="s">
        <v>376</v>
      </c>
      <c r="H648" s="2">
        <v>0</v>
      </c>
      <c r="I648" s="2">
        <v>0</v>
      </c>
      <c r="J648" s="2">
        <f t="shared" si="348"/>
        <v>3</v>
      </c>
      <c r="K648" s="2">
        <f t="shared" si="349"/>
        <v>1.6</v>
      </c>
      <c r="L648" s="2">
        <f t="shared" si="350"/>
        <v>1.9000000000000001</v>
      </c>
      <c r="M648" s="2">
        <v>10</v>
      </c>
      <c r="N648" s="2">
        <f t="shared" si="351"/>
        <v>204.8</v>
      </c>
      <c r="O648" s="2">
        <f t="shared" si="352"/>
        <v>20.48</v>
      </c>
      <c r="P648" s="2">
        <f t="shared" si="353"/>
        <v>2304</v>
      </c>
      <c r="Q648" s="2">
        <f t="shared" si="354"/>
        <v>230.4</v>
      </c>
      <c r="R648" s="2">
        <f t="shared" si="355"/>
        <v>68.27</v>
      </c>
      <c r="S648" s="2">
        <f t="shared" si="356"/>
        <v>6.83</v>
      </c>
      <c r="T648" s="2">
        <v>0</v>
      </c>
      <c r="U648" s="2">
        <v>0</v>
      </c>
      <c r="V648" s="2">
        <v>0</v>
      </c>
      <c r="W648" s="2">
        <v>0</v>
      </c>
      <c r="X648" s="2">
        <v>0</v>
      </c>
      <c r="Y648" s="25">
        <v>523011</v>
      </c>
      <c r="Z648" s="26" t="s">
        <v>710</v>
      </c>
      <c r="AA648" s="4">
        <v>1</v>
      </c>
      <c r="AB648" s="4">
        <v>0</v>
      </c>
      <c r="AC648" s="4"/>
      <c r="AD648" s="4">
        <f t="shared" si="373"/>
        <v>11240.570879999999</v>
      </c>
      <c r="AF648" s="1" t="str">
        <f t="shared" si="374"/>
        <v>1</v>
      </c>
      <c r="AG648">
        <v>9</v>
      </c>
      <c r="AH648">
        <f t="shared" si="357"/>
        <v>204.79999999999998</v>
      </c>
      <c r="AI648">
        <f t="shared" si="358"/>
        <v>20.48</v>
      </c>
      <c r="AJ648">
        <f t="shared" si="359"/>
        <v>2304</v>
      </c>
      <c r="AK648">
        <f t="shared" si="360"/>
        <v>230.4</v>
      </c>
      <c r="AL648">
        <f t="shared" si="361"/>
        <v>68.266666666666666</v>
      </c>
      <c r="AM648">
        <f t="shared" si="362"/>
        <v>6.8266666666666671</v>
      </c>
      <c r="AN648">
        <f t="shared" si="363"/>
        <v>1.6</v>
      </c>
      <c r="AO648">
        <f t="shared" si="364"/>
        <v>1.9</v>
      </c>
      <c r="AP648">
        <f t="shared" si="365"/>
        <v>3</v>
      </c>
      <c r="AQ648">
        <v>101</v>
      </c>
      <c r="AR648">
        <v>1</v>
      </c>
    </row>
    <row r="649" spans="1:44" x14ac:dyDescent="0.15">
      <c r="A649">
        <f t="shared" si="372"/>
        <v>1101093</v>
      </c>
      <c r="B649" s="21" t="s">
        <v>268</v>
      </c>
      <c r="C649">
        <v>9</v>
      </c>
      <c r="D649">
        <v>2</v>
      </c>
      <c r="E649">
        <v>3</v>
      </c>
      <c r="F649" s="6" t="s">
        <v>377</v>
      </c>
      <c r="G649" s="6" t="s">
        <v>378</v>
      </c>
      <c r="H649" s="2">
        <v>0</v>
      </c>
      <c r="I649" s="2">
        <v>0</v>
      </c>
      <c r="J649" s="2">
        <f t="shared" si="348"/>
        <v>3</v>
      </c>
      <c r="K649" s="2">
        <f t="shared" si="349"/>
        <v>1.6</v>
      </c>
      <c r="L649" s="2">
        <f t="shared" si="350"/>
        <v>1.9000000000000001</v>
      </c>
      <c r="M649" s="2">
        <v>10</v>
      </c>
      <c r="N649" s="2">
        <f t="shared" si="351"/>
        <v>204.8</v>
      </c>
      <c r="O649" s="2">
        <f t="shared" si="352"/>
        <v>20.48</v>
      </c>
      <c r="P649" s="2">
        <f t="shared" si="353"/>
        <v>2304</v>
      </c>
      <c r="Q649" s="2">
        <f t="shared" si="354"/>
        <v>230.4</v>
      </c>
      <c r="R649" s="2">
        <f t="shared" si="355"/>
        <v>68.27</v>
      </c>
      <c r="S649" s="2">
        <f t="shared" si="356"/>
        <v>6.83</v>
      </c>
      <c r="T649" s="2">
        <v>0</v>
      </c>
      <c r="U649" s="2">
        <v>0</v>
      </c>
      <c r="V649" s="2">
        <v>0</v>
      </c>
      <c r="W649" s="2">
        <v>0</v>
      </c>
      <c r="X649" s="2">
        <v>0</v>
      </c>
      <c r="Y649" s="25">
        <v>523011</v>
      </c>
      <c r="Z649" s="26" t="s">
        <v>710</v>
      </c>
      <c r="AA649" s="4">
        <v>1</v>
      </c>
      <c r="AB649" s="4">
        <v>0</v>
      </c>
      <c r="AC649" s="4"/>
      <c r="AD649" s="4">
        <f t="shared" si="373"/>
        <v>11240.570879999999</v>
      </c>
      <c r="AF649" s="1" t="str">
        <f t="shared" si="374"/>
        <v>1</v>
      </c>
      <c r="AG649">
        <v>9</v>
      </c>
      <c r="AH649">
        <f t="shared" si="357"/>
        <v>204.79999999999998</v>
      </c>
      <c r="AI649">
        <f t="shared" si="358"/>
        <v>20.48</v>
      </c>
      <c r="AJ649">
        <f t="shared" si="359"/>
        <v>2304</v>
      </c>
      <c r="AK649">
        <f t="shared" si="360"/>
        <v>230.4</v>
      </c>
      <c r="AL649">
        <f t="shared" si="361"/>
        <v>68.266666666666666</v>
      </c>
      <c r="AM649">
        <f t="shared" si="362"/>
        <v>6.8266666666666671</v>
      </c>
      <c r="AN649">
        <f t="shared" si="363"/>
        <v>1.6</v>
      </c>
      <c r="AO649">
        <f t="shared" si="364"/>
        <v>1.9</v>
      </c>
      <c r="AP649">
        <f t="shared" si="365"/>
        <v>3</v>
      </c>
      <c r="AQ649">
        <v>101</v>
      </c>
      <c r="AR649">
        <v>1</v>
      </c>
    </row>
    <row r="650" spans="1:44" x14ac:dyDescent="0.15">
      <c r="A650">
        <f t="shared" si="372"/>
        <v>1101094</v>
      </c>
      <c r="B650" s="21" t="s">
        <v>271</v>
      </c>
      <c r="C650">
        <v>9</v>
      </c>
      <c r="D650">
        <v>2</v>
      </c>
      <c r="E650">
        <v>4</v>
      </c>
      <c r="F650" s="6" t="s">
        <v>379</v>
      </c>
      <c r="G650" s="6" t="s">
        <v>380</v>
      </c>
      <c r="H650" s="2">
        <v>0</v>
      </c>
      <c r="I650" s="2">
        <v>0</v>
      </c>
      <c r="J650" s="2">
        <f t="shared" si="348"/>
        <v>3</v>
      </c>
      <c r="K650" s="2">
        <f t="shared" si="349"/>
        <v>1.6</v>
      </c>
      <c r="L650" s="2">
        <f t="shared" si="350"/>
        <v>1.9000000000000001</v>
      </c>
      <c r="M650" s="2">
        <v>10</v>
      </c>
      <c r="N650" s="2">
        <f t="shared" si="351"/>
        <v>204.8</v>
      </c>
      <c r="O650" s="2">
        <f t="shared" si="352"/>
        <v>20.48</v>
      </c>
      <c r="P650" s="2">
        <f t="shared" si="353"/>
        <v>2304</v>
      </c>
      <c r="Q650" s="2">
        <f t="shared" si="354"/>
        <v>230.4</v>
      </c>
      <c r="R650" s="2">
        <f t="shared" si="355"/>
        <v>68.27</v>
      </c>
      <c r="S650" s="2">
        <f t="shared" si="356"/>
        <v>6.83</v>
      </c>
      <c r="T650" s="2">
        <v>0</v>
      </c>
      <c r="U650" s="2">
        <v>0</v>
      </c>
      <c r="V650" s="2">
        <v>0</v>
      </c>
      <c r="W650" s="2">
        <v>0</v>
      </c>
      <c r="X650" s="2">
        <v>0</v>
      </c>
      <c r="Y650" s="25">
        <v>523011</v>
      </c>
      <c r="Z650" s="26" t="s">
        <v>710</v>
      </c>
      <c r="AA650" s="4">
        <v>1</v>
      </c>
      <c r="AB650" s="4">
        <v>0</v>
      </c>
      <c r="AC650" s="4"/>
      <c r="AD650" s="4">
        <f t="shared" si="373"/>
        <v>11240.570879999999</v>
      </c>
      <c r="AF650" s="1" t="str">
        <f t="shared" si="374"/>
        <v>1</v>
      </c>
      <c r="AG650">
        <v>9</v>
      </c>
      <c r="AH650">
        <f t="shared" si="357"/>
        <v>204.79999999999998</v>
      </c>
      <c r="AI650">
        <f t="shared" si="358"/>
        <v>20.48</v>
      </c>
      <c r="AJ650">
        <f t="shared" si="359"/>
        <v>2304</v>
      </c>
      <c r="AK650">
        <f t="shared" si="360"/>
        <v>230.4</v>
      </c>
      <c r="AL650">
        <f t="shared" si="361"/>
        <v>68.266666666666666</v>
      </c>
      <c r="AM650">
        <f t="shared" si="362"/>
        <v>6.8266666666666671</v>
      </c>
      <c r="AN650">
        <f t="shared" si="363"/>
        <v>1.6</v>
      </c>
      <c r="AO650">
        <f t="shared" si="364"/>
        <v>1.9</v>
      </c>
      <c r="AP650">
        <f t="shared" si="365"/>
        <v>3</v>
      </c>
      <c r="AQ650">
        <v>101</v>
      </c>
      <c r="AR650">
        <v>1</v>
      </c>
    </row>
    <row r="651" spans="1:44" x14ac:dyDescent="0.15">
      <c r="A651">
        <f t="shared" si="372"/>
        <v>1101095</v>
      </c>
      <c r="B651" s="21" t="s">
        <v>274</v>
      </c>
      <c r="C651">
        <v>9</v>
      </c>
      <c r="D651">
        <v>2</v>
      </c>
      <c r="E651">
        <v>5</v>
      </c>
      <c r="F651" s="6" t="s">
        <v>381</v>
      </c>
      <c r="G651" s="6" t="s">
        <v>382</v>
      </c>
      <c r="H651">
        <v>0</v>
      </c>
      <c r="I651" s="2">
        <v>0</v>
      </c>
      <c r="J651" s="2">
        <f t="shared" si="348"/>
        <v>3</v>
      </c>
      <c r="K651" s="2">
        <f t="shared" si="349"/>
        <v>1.6</v>
      </c>
      <c r="L651" s="2">
        <f t="shared" si="350"/>
        <v>1.9000000000000001</v>
      </c>
      <c r="M651" s="2">
        <v>10</v>
      </c>
      <c r="N651" s="2">
        <f t="shared" si="351"/>
        <v>204.8</v>
      </c>
      <c r="O651" s="2">
        <f t="shared" si="352"/>
        <v>20.48</v>
      </c>
      <c r="P651" s="2">
        <f t="shared" si="353"/>
        <v>2304</v>
      </c>
      <c r="Q651" s="2">
        <f t="shared" si="354"/>
        <v>230.4</v>
      </c>
      <c r="R651" s="2">
        <f t="shared" si="355"/>
        <v>68.27</v>
      </c>
      <c r="S651" s="2">
        <f t="shared" si="356"/>
        <v>6.83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25">
        <v>523011</v>
      </c>
      <c r="Z651" s="26" t="s">
        <v>710</v>
      </c>
      <c r="AA651" s="4">
        <v>1</v>
      </c>
      <c r="AB651" s="4">
        <v>0</v>
      </c>
      <c r="AC651" s="4"/>
      <c r="AD651" s="4">
        <f t="shared" si="373"/>
        <v>11240.570879999999</v>
      </c>
      <c r="AF651" s="1" t="str">
        <f t="shared" si="374"/>
        <v>1</v>
      </c>
      <c r="AG651">
        <v>9</v>
      </c>
      <c r="AH651">
        <f t="shared" si="357"/>
        <v>204.79999999999998</v>
      </c>
      <c r="AI651">
        <f t="shared" si="358"/>
        <v>20.48</v>
      </c>
      <c r="AJ651">
        <f t="shared" si="359"/>
        <v>2304</v>
      </c>
      <c r="AK651">
        <f t="shared" si="360"/>
        <v>230.4</v>
      </c>
      <c r="AL651">
        <f t="shared" si="361"/>
        <v>68.266666666666666</v>
      </c>
      <c r="AM651">
        <f t="shared" si="362"/>
        <v>6.8266666666666671</v>
      </c>
      <c r="AN651">
        <f t="shared" si="363"/>
        <v>1.6</v>
      </c>
      <c r="AO651">
        <f t="shared" si="364"/>
        <v>1.9</v>
      </c>
      <c r="AP651">
        <f t="shared" si="365"/>
        <v>3</v>
      </c>
      <c r="AQ651">
        <v>101</v>
      </c>
      <c r="AR651">
        <v>1</v>
      </c>
    </row>
    <row r="652" spans="1:44" x14ac:dyDescent="0.15">
      <c r="A652">
        <f t="shared" si="372"/>
        <v>1101101</v>
      </c>
      <c r="B652" s="21" t="s">
        <v>262</v>
      </c>
      <c r="C652">
        <v>10</v>
      </c>
      <c r="D652">
        <v>2</v>
      </c>
      <c r="E652">
        <v>1</v>
      </c>
      <c r="F652" s="6" t="s">
        <v>373</v>
      </c>
      <c r="G652" s="6" t="s">
        <v>374</v>
      </c>
      <c r="H652" s="2">
        <v>0</v>
      </c>
      <c r="I652" s="2">
        <v>0</v>
      </c>
      <c r="J652" s="2">
        <f t="shared" si="348"/>
        <v>3</v>
      </c>
      <c r="K652" s="2">
        <f t="shared" si="349"/>
        <v>1.6</v>
      </c>
      <c r="L652" s="2">
        <f t="shared" si="350"/>
        <v>1.9000000000000001</v>
      </c>
      <c r="M652" s="2">
        <v>10</v>
      </c>
      <c r="N652" s="2">
        <f t="shared" si="351"/>
        <v>221.87</v>
      </c>
      <c r="O652" s="2">
        <f t="shared" si="352"/>
        <v>22.19</v>
      </c>
      <c r="P652" s="2">
        <f t="shared" si="353"/>
        <v>2496</v>
      </c>
      <c r="Q652" s="2">
        <f t="shared" si="354"/>
        <v>249.6</v>
      </c>
      <c r="R652" s="2">
        <f t="shared" si="355"/>
        <v>73.959999999999994</v>
      </c>
      <c r="S652" s="2">
        <f t="shared" si="356"/>
        <v>7.4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25">
        <v>523011</v>
      </c>
      <c r="Z652" s="26" t="s">
        <v>710</v>
      </c>
      <c r="AA652" s="4">
        <v>1</v>
      </c>
      <c r="AB652" s="4">
        <v>0</v>
      </c>
      <c r="AC652" s="4"/>
      <c r="AD652" s="4">
        <f t="shared" si="373"/>
        <v>13193.878697999999</v>
      </c>
      <c r="AF652" s="1" t="str">
        <f t="shared" si="374"/>
        <v>1</v>
      </c>
      <c r="AG652">
        <v>10</v>
      </c>
      <c r="AH652">
        <f t="shared" si="357"/>
        <v>221.86666666666667</v>
      </c>
      <c r="AI652">
        <f t="shared" si="358"/>
        <v>22.186666666666667</v>
      </c>
      <c r="AJ652">
        <f t="shared" si="359"/>
        <v>2496</v>
      </c>
      <c r="AK652">
        <f t="shared" si="360"/>
        <v>249.60000000000002</v>
      </c>
      <c r="AL652">
        <f t="shared" si="361"/>
        <v>73.955555555555563</v>
      </c>
      <c r="AM652">
        <f t="shared" si="362"/>
        <v>7.395555555555557</v>
      </c>
      <c r="AN652">
        <f t="shared" si="363"/>
        <v>1.6</v>
      </c>
      <c r="AO652">
        <f t="shared" si="364"/>
        <v>1.9</v>
      </c>
      <c r="AP652">
        <f t="shared" si="365"/>
        <v>3</v>
      </c>
      <c r="AQ652">
        <v>101</v>
      </c>
      <c r="AR652">
        <v>1</v>
      </c>
    </row>
    <row r="653" spans="1:44" x14ac:dyDescent="0.15">
      <c r="A653">
        <f t="shared" si="372"/>
        <v>1101102</v>
      </c>
      <c r="B653" s="21" t="s">
        <v>265</v>
      </c>
      <c r="C653">
        <v>10</v>
      </c>
      <c r="D653">
        <v>2</v>
      </c>
      <c r="E653">
        <v>2</v>
      </c>
      <c r="F653" s="6" t="s">
        <v>375</v>
      </c>
      <c r="G653" s="6" t="s">
        <v>376</v>
      </c>
      <c r="H653" s="2">
        <v>0</v>
      </c>
      <c r="I653" s="2">
        <v>0</v>
      </c>
      <c r="J653" s="2">
        <f t="shared" si="348"/>
        <v>3</v>
      </c>
      <c r="K653" s="2">
        <f t="shared" si="349"/>
        <v>1.6</v>
      </c>
      <c r="L653" s="2">
        <f t="shared" si="350"/>
        <v>1.9000000000000001</v>
      </c>
      <c r="M653" s="2">
        <v>10</v>
      </c>
      <c r="N653" s="2">
        <f t="shared" si="351"/>
        <v>221.87</v>
      </c>
      <c r="O653" s="2">
        <f t="shared" si="352"/>
        <v>22.19</v>
      </c>
      <c r="P653" s="2">
        <f t="shared" si="353"/>
        <v>2496</v>
      </c>
      <c r="Q653" s="2">
        <f t="shared" si="354"/>
        <v>249.6</v>
      </c>
      <c r="R653" s="2">
        <f t="shared" si="355"/>
        <v>73.959999999999994</v>
      </c>
      <c r="S653" s="2">
        <f t="shared" si="356"/>
        <v>7.4</v>
      </c>
      <c r="T653" s="2">
        <v>0</v>
      </c>
      <c r="U653" s="2">
        <v>0</v>
      </c>
      <c r="V653" s="2">
        <v>0</v>
      </c>
      <c r="W653" s="2">
        <v>0</v>
      </c>
      <c r="X653" s="2">
        <v>0</v>
      </c>
      <c r="Y653" s="25">
        <v>523011</v>
      </c>
      <c r="Z653" s="26" t="s">
        <v>710</v>
      </c>
      <c r="AA653" s="4">
        <v>1</v>
      </c>
      <c r="AB653" s="4">
        <v>0</v>
      </c>
      <c r="AC653" s="4"/>
      <c r="AD653" s="4">
        <f t="shared" si="373"/>
        <v>13193.878697999999</v>
      </c>
      <c r="AF653" s="1" t="str">
        <f t="shared" si="374"/>
        <v>1</v>
      </c>
      <c r="AG653">
        <v>10</v>
      </c>
      <c r="AH653">
        <f t="shared" si="357"/>
        <v>221.86666666666667</v>
      </c>
      <c r="AI653">
        <f t="shared" si="358"/>
        <v>22.186666666666667</v>
      </c>
      <c r="AJ653">
        <f t="shared" si="359"/>
        <v>2496</v>
      </c>
      <c r="AK653">
        <f t="shared" si="360"/>
        <v>249.60000000000002</v>
      </c>
      <c r="AL653">
        <f t="shared" si="361"/>
        <v>73.955555555555563</v>
      </c>
      <c r="AM653">
        <f t="shared" si="362"/>
        <v>7.395555555555557</v>
      </c>
      <c r="AN653">
        <f t="shared" si="363"/>
        <v>1.6</v>
      </c>
      <c r="AO653">
        <f t="shared" si="364"/>
        <v>1.9</v>
      </c>
      <c r="AP653">
        <f t="shared" si="365"/>
        <v>3</v>
      </c>
      <c r="AQ653">
        <v>101</v>
      </c>
      <c r="AR653">
        <v>1</v>
      </c>
    </row>
    <row r="654" spans="1:44" x14ac:dyDescent="0.15">
      <c r="A654">
        <f t="shared" si="372"/>
        <v>1101103</v>
      </c>
      <c r="B654" s="21" t="s">
        <v>268</v>
      </c>
      <c r="C654">
        <v>10</v>
      </c>
      <c r="D654">
        <v>2</v>
      </c>
      <c r="E654">
        <v>3</v>
      </c>
      <c r="F654" s="6" t="s">
        <v>377</v>
      </c>
      <c r="G654" s="6" t="s">
        <v>378</v>
      </c>
      <c r="H654" s="2">
        <v>0</v>
      </c>
      <c r="I654" s="2">
        <v>0</v>
      </c>
      <c r="J654" s="2">
        <f t="shared" ref="J654:J717" si="375">AP654</f>
        <v>3</v>
      </c>
      <c r="K654" s="2">
        <f t="shared" ref="K654:K717" si="376">FLOOR(AN654/1,0.01)</f>
        <v>1.6</v>
      </c>
      <c r="L654" s="2">
        <f t="shared" ref="L654:L717" si="377">FLOOR(AO654/1,0.01)</f>
        <v>1.9000000000000001</v>
      </c>
      <c r="M654" s="2">
        <v>10</v>
      </c>
      <c r="N654" s="2">
        <f t="shared" ref="N654:N717" si="378">ROUND(AH654,2)</f>
        <v>221.87</v>
      </c>
      <c r="O654" s="2">
        <f t="shared" ref="O654:O717" si="379">ROUND(AI654,2)</f>
        <v>22.19</v>
      </c>
      <c r="P654" s="2">
        <f t="shared" ref="P654:P717" si="380">ROUND(AJ654,2)</f>
        <v>2496</v>
      </c>
      <c r="Q654" s="2">
        <f t="shared" ref="Q654:Q717" si="381">ROUND(AK654,2)</f>
        <v>249.6</v>
      </c>
      <c r="R654" s="2">
        <f t="shared" ref="R654:R717" si="382">ROUND(AL654,2)</f>
        <v>73.959999999999994</v>
      </c>
      <c r="S654" s="2">
        <f t="shared" ref="S654:S717" si="383">ROUND(AM654,2)</f>
        <v>7.4</v>
      </c>
      <c r="T654" s="2">
        <v>0</v>
      </c>
      <c r="U654" s="2">
        <v>0</v>
      </c>
      <c r="V654" s="2">
        <v>0</v>
      </c>
      <c r="W654" s="2">
        <v>0</v>
      </c>
      <c r="X654" s="2">
        <v>0</v>
      </c>
      <c r="Y654" s="25">
        <v>523011</v>
      </c>
      <c r="Z654" s="26" t="s">
        <v>710</v>
      </c>
      <c r="AA654" s="4">
        <v>1</v>
      </c>
      <c r="AB654" s="4">
        <v>0</v>
      </c>
      <c r="AC654" s="4"/>
      <c r="AD654" s="4">
        <f t="shared" si="373"/>
        <v>13193.878697999999</v>
      </c>
      <c r="AF654" s="1" t="str">
        <f t="shared" si="374"/>
        <v>1</v>
      </c>
      <c r="AG654">
        <v>10</v>
      </c>
      <c r="AH654">
        <f t="shared" ref="AH654:AH717" si="384">INDEX($AV$5:$AV$50,MATCH($AQ654,$AT$5:$AT$50))*$AN654/1.5*$AZ$4*INDEX($AV$87:$BI$87,MATCH($AG654,$AV$86:$BI$86))</f>
        <v>221.86666666666667</v>
      </c>
      <c r="AI654">
        <f t="shared" ref="AI654:AI717" si="385">(INDEX($AV$5:$AV$50,MATCH($AQ654,$AT$5:$AT$50))*$AN654/1.5*$AZ$4*INDEX($AV$87:$BI$87,MATCH($AG654,$AV$86:$BI$86)))*0.1</f>
        <v>22.186666666666667</v>
      </c>
      <c r="AJ654">
        <f t="shared" ref="AJ654:AJ717" si="386">INDEX($AW$5:$AW$50,MATCH($AQ654,$AT$5:$AT$50))*$BA$4*INDEX($AV$87:$BI$87,MATCH($AG654,$AV$86:$BI$86))</f>
        <v>2496</v>
      </c>
      <c r="AK654">
        <f t="shared" ref="AK654:AK717" si="387">(INDEX($AW$5:$AW$50,MATCH($AQ654,$AT$5:$AT$50))*$BA$4*INDEX($AV$87:$BI$87,MATCH($AG654,$AV$86:$BI$86)))*0.1</f>
        <v>249.60000000000002</v>
      </c>
      <c r="AL654">
        <f t="shared" ref="AL654:AL717" si="388">$AH654/INDEX($AX$5:$AX$50,MATCH($AQ654,$AT$5:$AT$50))</f>
        <v>73.955555555555563</v>
      </c>
      <c r="AM654">
        <f t="shared" ref="AM654:AM717" si="389">AL654*0.1</f>
        <v>7.395555555555557</v>
      </c>
      <c r="AN654">
        <f t="shared" ref="AN654:AN717" si="390">INDEX($AY$5:$AY$50,MATCH($AQ654,$AT$5:$AT$50,0))</f>
        <v>1.6</v>
      </c>
      <c r="AO654">
        <f t="shared" ref="AO654:AO717" si="391">ROUND(IF(INDEX($BG$5:$BG$50,MATCH($AQ654,$AT$5:$AT$50,0))&lt;2,INDEX($BG$5:$BG$49,MATCH($AQ654,$AT$5:$AT$49,0))+0.2,2),1)</f>
        <v>1.9</v>
      </c>
      <c r="AP654">
        <f t="shared" ref="AP654:AP717" si="392">INDEX($BC$5:$BC$50,MATCH($AQ654,$AT$5:$AT$50,0))</f>
        <v>3</v>
      </c>
      <c r="AQ654">
        <v>101</v>
      </c>
      <c r="AR654">
        <v>1</v>
      </c>
    </row>
    <row r="655" spans="1:44" x14ac:dyDescent="0.15">
      <c r="A655">
        <f t="shared" si="372"/>
        <v>1101104</v>
      </c>
      <c r="B655" s="21" t="s">
        <v>271</v>
      </c>
      <c r="C655">
        <v>10</v>
      </c>
      <c r="D655">
        <v>2</v>
      </c>
      <c r="E655">
        <v>4</v>
      </c>
      <c r="F655" s="6" t="s">
        <v>379</v>
      </c>
      <c r="G655" s="6" t="s">
        <v>380</v>
      </c>
      <c r="H655" s="2">
        <v>0</v>
      </c>
      <c r="I655" s="2">
        <v>0</v>
      </c>
      <c r="J655" s="2">
        <f t="shared" si="375"/>
        <v>3</v>
      </c>
      <c r="K655" s="2">
        <f t="shared" si="376"/>
        <v>1.6</v>
      </c>
      <c r="L655" s="2">
        <f t="shared" si="377"/>
        <v>1.9000000000000001</v>
      </c>
      <c r="M655" s="2">
        <v>10</v>
      </c>
      <c r="N655" s="2">
        <f t="shared" si="378"/>
        <v>221.87</v>
      </c>
      <c r="O655" s="2">
        <f t="shared" si="379"/>
        <v>22.19</v>
      </c>
      <c r="P655" s="2">
        <f t="shared" si="380"/>
        <v>2496</v>
      </c>
      <c r="Q655" s="2">
        <f t="shared" si="381"/>
        <v>249.6</v>
      </c>
      <c r="R655" s="2">
        <f t="shared" si="382"/>
        <v>73.959999999999994</v>
      </c>
      <c r="S655" s="2">
        <f t="shared" si="383"/>
        <v>7.4</v>
      </c>
      <c r="T655" s="2">
        <v>0</v>
      </c>
      <c r="U655" s="2">
        <v>0</v>
      </c>
      <c r="V655" s="2">
        <v>0</v>
      </c>
      <c r="W655" s="2">
        <v>0</v>
      </c>
      <c r="X655" s="2">
        <v>0</v>
      </c>
      <c r="Y655" s="25">
        <v>523011</v>
      </c>
      <c r="Z655" s="26" t="s">
        <v>710</v>
      </c>
      <c r="AA655" s="4">
        <v>1</v>
      </c>
      <c r="AB655" s="4">
        <v>0</v>
      </c>
      <c r="AC655" s="4"/>
      <c r="AD655" s="4">
        <f t="shared" si="373"/>
        <v>13193.878697999999</v>
      </c>
      <c r="AF655" s="1" t="str">
        <f t="shared" si="374"/>
        <v>1</v>
      </c>
      <c r="AG655">
        <v>10</v>
      </c>
      <c r="AH655">
        <f t="shared" si="384"/>
        <v>221.86666666666667</v>
      </c>
      <c r="AI655">
        <f t="shared" si="385"/>
        <v>22.186666666666667</v>
      </c>
      <c r="AJ655">
        <f t="shared" si="386"/>
        <v>2496</v>
      </c>
      <c r="AK655">
        <f t="shared" si="387"/>
        <v>249.60000000000002</v>
      </c>
      <c r="AL655">
        <f t="shared" si="388"/>
        <v>73.955555555555563</v>
      </c>
      <c r="AM655">
        <f t="shared" si="389"/>
        <v>7.395555555555557</v>
      </c>
      <c r="AN655">
        <f t="shared" si="390"/>
        <v>1.6</v>
      </c>
      <c r="AO655">
        <f t="shared" si="391"/>
        <v>1.9</v>
      </c>
      <c r="AP655">
        <f t="shared" si="392"/>
        <v>3</v>
      </c>
      <c r="AQ655">
        <v>101</v>
      </c>
      <c r="AR655">
        <v>1</v>
      </c>
    </row>
    <row r="656" spans="1:44" x14ac:dyDescent="0.15">
      <c r="A656">
        <f t="shared" si="372"/>
        <v>1101105</v>
      </c>
      <c r="B656" s="21" t="s">
        <v>274</v>
      </c>
      <c r="C656">
        <v>10</v>
      </c>
      <c r="D656">
        <v>2</v>
      </c>
      <c r="E656">
        <v>5</v>
      </c>
      <c r="F656" s="6" t="s">
        <v>381</v>
      </c>
      <c r="G656" s="6" t="s">
        <v>382</v>
      </c>
      <c r="H656">
        <v>0</v>
      </c>
      <c r="I656" s="2">
        <v>0</v>
      </c>
      <c r="J656" s="2">
        <f t="shared" si="375"/>
        <v>3</v>
      </c>
      <c r="K656" s="2">
        <f t="shared" si="376"/>
        <v>1.6</v>
      </c>
      <c r="L656" s="2">
        <f t="shared" si="377"/>
        <v>1.9000000000000001</v>
      </c>
      <c r="M656" s="2">
        <v>10</v>
      </c>
      <c r="N656" s="2">
        <f t="shared" si="378"/>
        <v>221.87</v>
      </c>
      <c r="O656" s="2">
        <f t="shared" si="379"/>
        <v>22.19</v>
      </c>
      <c r="P656" s="2">
        <f t="shared" si="380"/>
        <v>2496</v>
      </c>
      <c r="Q656" s="2">
        <f t="shared" si="381"/>
        <v>249.6</v>
      </c>
      <c r="R656" s="2">
        <f t="shared" si="382"/>
        <v>73.959999999999994</v>
      </c>
      <c r="S656" s="2">
        <f t="shared" si="383"/>
        <v>7.4</v>
      </c>
      <c r="T656" s="2">
        <v>0</v>
      </c>
      <c r="U656" s="2">
        <v>0</v>
      </c>
      <c r="V656" s="2">
        <v>0</v>
      </c>
      <c r="W656" s="2">
        <v>0</v>
      </c>
      <c r="X656" s="2">
        <v>0</v>
      </c>
      <c r="Y656" s="25">
        <v>523011</v>
      </c>
      <c r="Z656" s="26" t="s">
        <v>710</v>
      </c>
      <c r="AA656" s="4">
        <v>1</v>
      </c>
      <c r="AB656" s="4">
        <v>0</v>
      </c>
      <c r="AC656" s="4"/>
      <c r="AD656" s="4">
        <f t="shared" si="373"/>
        <v>13193.878697999999</v>
      </c>
      <c r="AF656" s="1" t="str">
        <f t="shared" si="374"/>
        <v>1</v>
      </c>
      <c r="AG656">
        <v>10</v>
      </c>
      <c r="AH656">
        <f t="shared" si="384"/>
        <v>221.86666666666667</v>
      </c>
      <c r="AI656">
        <f t="shared" si="385"/>
        <v>22.186666666666667</v>
      </c>
      <c r="AJ656">
        <f t="shared" si="386"/>
        <v>2496</v>
      </c>
      <c r="AK656">
        <f t="shared" si="387"/>
        <v>249.60000000000002</v>
      </c>
      <c r="AL656">
        <f t="shared" si="388"/>
        <v>73.955555555555563</v>
      </c>
      <c r="AM656">
        <f t="shared" si="389"/>
        <v>7.395555555555557</v>
      </c>
      <c r="AN656">
        <f t="shared" si="390"/>
        <v>1.6</v>
      </c>
      <c r="AO656">
        <f t="shared" si="391"/>
        <v>1.9</v>
      </c>
      <c r="AP656">
        <f t="shared" si="392"/>
        <v>3</v>
      </c>
      <c r="AQ656">
        <v>101</v>
      </c>
      <c r="AR656">
        <v>1</v>
      </c>
    </row>
    <row r="657" spans="1:44" x14ac:dyDescent="0.15">
      <c r="A657">
        <f t="shared" si="372"/>
        <v>1101111</v>
      </c>
      <c r="B657" s="21" t="s">
        <v>262</v>
      </c>
      <c r="C657">
        <v>11</v>
      </c>
      <c r="D657">
        <v>2</v>
      </c>
      <c r="E657">
        <v>1</v>
      </c>
      <c r="F657" s="6" t="s">
        <v>373</v>
      </c>
      <c r="G657" s="6" t="s">
        <v>374</v>
      </c>
      <c r="H657" s="2">
        <v>0</v>
      </c>
      <c r="I657" s="2">
        <v>0</v>
      </c>
      <c r="J657" s="2">
        <f t="shared" si="375"/>
        <v>3</v>
      </c>
      <c r="K657" s="2">
        <f t="shared" si="376"/>
        <v>1.6</v>
      </c>
      <c r="L657" s="2">
        <f t="shared" si="377"/>
        <v>1.9000000000000001</v>
      </c>
      <c r="M657" s="2">
        <v>10</v>
      </c>
      <c r="N657" s="2">
        <f t="shared" si="378"/>
        <v>238.93</v>
      </c>
      <c r="O657" s="2">
        <f t="shared" si="379"/>
        <v>23.89</v>
      </c>
      <c r="P657" s="2">
        <f t="shared" si="380"/>
        <v>2688</v>
      </c>
      <c r="Q657" s="2">
        <f t="shared" si="381"/>
        <v>268.8</v>
      </c>
      <c r="R657" s="2">
        <f t="shared" si="382"/>
        <v>79.64</v>
      </c>
      <c r="S657" s="2">
        <f t="shared" si="383"/>
        <v>7.96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25">
        <v>523011</v>
      </c>
      <c r="Z657" s="26" t="s">
        <v>710</v>
      </c>
      <c r="AA657" s="4">
        <v>1</v>
      </c>
      <c r="AB657" s="4">
        <v>0</v>
      </c>
      <c r="AC657" s="4"/>
      <c r="AD657" s="4">
        <f t="shared" si="373"/>
        <v>15297.706115999998</v>
      </c>
      <c r="AF657" s="1" t="str">
        <f t="shared" si="374"/>
        <v>1</v>
      </c>
      <c r="AG657">
        <v>11</v>
      </c>
      <c r="AH657">
        <f t="shared" si="384"/>
        <v>238.93333333333331</v>
      </c>
      <c r="AI657">
        <f t="shared" si="385"/>
        <v>23.893333333333331</v>
      </c>
      <c r="AJ657">
        <f t="shared" si="386"/>
        <v>2688</v>
      </c>
      <c r="AK657">
        <f t="shared" si="387"/>
        <v>268.8</v>
      </c>
      <c r="AL657">
        <f t="shared" si="388"/>
        <v>79.644444444444431</v>
      </c>
      <c r="AM657">
        <f t="shared" si="389"/>
        <v>7.9644444444444433</v>
      </c>
      <c r="AN657">
        <f t="shared" si="390"/>
        <v>1.6</v>
      </c>
      <c r="AO657">
        <f t="shared" si="391"/>
        <v>1.9</v>
      </c>
      <c r="AP657">
        <f t="shared" si="392"/>
        <v>3</v>
      </c>
      <c r="AQ657">
        <v>101</v>
      </c>
      <c r="AR657">
        <v>1</v>
      </c>
    </row>
    <row r="658" spans="1:44" x14ac:dyDescent="0.15">
      <c r="A658">
        <f t="shared" si="372"/>
        <v>1101112</v>
      </c>
      <c r="B658" s="21" t="s">
        <v>265</v>
      </c>
      <c r="C658">
        <v>11</v>
      </c>
      <c r="D658">
        <v>2</v>
      </c>
      <c r="E658">
        <v>2</v>
      </c>
      <c r="F658" s="6" t="s">
        <v>375</v>
      </c>
      <c r="G658" s="6" t="s">
        <v>376</v>
      </c>
      <c r="H658" s="2">
        <v>0</v>
      </c>
      <c r="I658" s="2">
        <v>0</v>
      </c>
      <c r="J658" s="2">
        <f t="shared" si="375"/>
        <v>3</v>
      </c>
      <c r="K658" s="2">
        <f t="shared" si="376"/>
        <v>1.6</v>
      </c>
      <c r="L658" s="2">
        <f t="shared" si="377"/>
        <v>1.9000000000000001</v>
      </c>
      <c r="M658" s="2">
        <v>10</v>
      </c>
      <c r="N658" s="2">
        <f t="shared" si="378"/>
        <v>238.93</v>
      </c>
      <c r="O658" s="2">
        <f t="shared" si="379"/>
        <v>23.89</v>
      </c>
      <c r="P658" s="2">
        <f t="shared" si="380"/>
        <v>2688</v>
      </c>
      <c r="Q658" s="2">
        <f t="shared" si="381"/>
        <v>268.8</v>
      </c>
      <c r="R658" s="2">
        <f t="shared" si="382"/>
        <v>79.64</v>
      </c>
      <c r="S658" s="2">
        <f t="shared" si="383"/>
        <v>7.96</v>
      </c>
      <c r="T658" s="2">
        <v>0</v>
      </c>
      <c r="U658" s="2">
        <v>0</v>
      </c>
      <c r="V658" s="2">
        <v>0</v>
      </c>
      <c r="W658" s="2">
        <v>0</v>
      </c>
      <c r="X658" s="2">
        <v>0</v>
      </c>
      <c r="Y658" s="25">
        <v>523011</v>
      </c>
      <c r="Z658" s="26" t="s">
        <v>710</v>
      </c>
      <c r="AA658" s="4">
        <v>1</v>
      </c>
      <c r="AB658" s="4">
        <v>0</v>
      </c>
      <c r="AC658" s="4"/>
      <c r="AD658" s="4">
        <f t="shared" si="373"/>
        <v>15297.706115999998</v>
      </c>
      <c r="AF658" s="1" t="str">
        <f t="shared" si="374"/>
        <v>1</v>
      </c>
      <c r="AG658">
        <v>11</v>
      </c>
      <c r="AH658">
        <f t="shared" si="384"/>
        <v>238.93333333333331</v>
      </c>
      <c r="AI658">
        <f t="shared" si="385"/>
        <v>23.893333333333331</v>
      </c>
      <c r="AJ658">
        <f t="shared" si="386"/>
        <v>2688</v>
      </c>
      <c r="AK658">
        <f t="shared" si="387"/>
        <v>268.8</v>
      </c>
      <c r="AL658">
        <f t="shared" si="388"/>
        <v>79.644444444444431</v>
      </c>
      <c r="AM658">
        <f t="shared" si="389"/>
        <v>7.9644444444444433</v>
      </c>
      <c r="AN658">
        <f t="shared" si="390"/>
        <v>1.6</v>
      </c>
      <c r="AO658">
        <f t="shared" si="391"/>
        <v>1.9</v>
      </c>
      <c r="AP658">
        <f t="shared" si="392"/>
        <v>3</v>
      </c>
      <c r="AQ658">
        <v>101</v>
      </c>
      <c r="AR658">
        <v>1</v>
      </c>
    </row>
    <row r="659" spans="1:44" x14ac:dyDescent="0.15">
      <c r="A659">
        <f t="shared" si="372"/>
        <v>1101113</v>
      </c>
      <c r="B659" s="21" t="s">
        <v>268</v>
      </c>
      <c r="C659">
        <v>11</v>
      </c>
      <c r="D659">
        <v>2</v>
      </c>
      <c r="E659">
        <v>3</v>
      </c>
      <c r="F659" s="6" t="s">
        <v>377</v>
      </c>
      <c r="G659" s="6" t="s">
        <v>378</v>
      </c>
      <c r="H659" s="2">
        <v>0</v>
      </c>
      <c r="I659" s="2">
        <v>0</v>
      </c>
      <c r="J659" s="2">
        <f t="shared" si="375"/>
        <v>3</v>
      </c>
      <c r="K659" s="2">
        <f t="shared" si="376"/>
        <v>1.6</v>
      </c>
      <c r="L659" s="2">
        <f t="shared" si="377"/>
        <v>1.9000000000000001</v>
      </c>
      <c r="M659" s="2">
        <v>10</v>
      </c>
      <c r="N659" s="2">
        <f t="shared" si="378"/>
        <v>238.93</v>
      </c>
      <c r="O659" s="2">
        <f t="shared" si="379"/>
        <v>23.89</v>
      </c>
      <c r="P659" s="2">
        <f t="shared" si="380"/>
        <v>2688</v>
      </c>
      <c r="Q659" s="2">
        <f t="shared" si="381"/>
        <v>268.8</v>
      </c>
      <c r="R659" s="2">
        <f t="shared" si="382"/>
        <v>79.64</v>
      </c>
      <c r="S659" s="2">
        <f t="shared" si="383"/>
        <v>7.96</v>
      </c>
      <c r="T659" s="2">
        <v>0</v>
      </c>
      <c r="U659" s="2">
        <v>0</v>
      </c>
      <c r="V659" s="2">
        <v>0</v>
      </c>
      <c r="W659" s="2">
        <v>0</v>
      </c>
      <c r="X659" s="2">
        <v>0</v>
      </c>
      <c r="Y659" s="25">
        <v>523011</v>
      </c>
      <c r="Z659" s="26" t="s">
        <v>710</v>
      </c>
      <c r="AA659" s="4">
        <v>1</v>
      </c>
      <c r="AB659" s="4">
        <v>0</v>
      </c>
      <c r="AC659" s="4"/>
      <c r="AD659" s="4">
        <f t="shared" si="373"/>
        <v>15297.706115999998</v>
      </c>
      <c r="AF659" s="1" t="str">
        <f t="shared" si="374"/>
        <v>1</v>
      </c>
      <c r="AG659">
        <v>11</v>
      </c>
      <c r="AH659">
        <f t="shared" si="384"/>
        <v>238.93333333333331</v>
      </c>
      <c r="AI659">
        <f t="shared" si="385"/>
        <v>23.893333333333331</v>
      </c>
      <c r="AJ659">
        <f t="shared" si="386"/>
        <v>2688</v>
      </c>
      <c r="AK659">
        <f t="shared" si="387"/>
        <v>268.8</v>
      </c>
      <c r="AL659">
        <f t="shared" si="388"/>
        <v>79.644444444444431</v>
      </c>
      <c r="AM659">
        <f t="shared" si="389"/>
        <v>7.9644444444444433</v>
      </c>
      <c r="AN659">
        <f t="shared" si="390"/>
        <v>1.6</v>
      </c>
      <c r="AO659">
        <f t="shared" si="391"/>
        <v>1.9</v>
      </c>
      <c r="AP659">
        <f t="shared" si="392"/>
        <v>3</v>
      </c>
      <c r="AQ659">
        <v>101</v>
      </c>
      <c r="AR659">
        <v>1</v>
      </c>
    </row>
    <row r="660" spans="1:44" x14ac:dyDescent="0.15">
      <c r="A660">
        <f t="shared" si="372"/>
        <v>1101114</v>
      </c>
      <c r="B660" s="21" t="s">
        <v>271</v>
      </c>
      <c r="C660">
        <v>11</v>
      </c>
      <c r="D660">
        <v>2</v>
      </c>
      <c r="E660">
        <v>4</v>
      </c>
      <c r="F660" s="6" t="s">
        <v>379</v>
      </c>
      <c r="G660" s="6" t="s">
        <v>380</v>
      </c>
      <c r="H660" s="2">
        <v>0</v>
      </c>
      <c r="I660" s="2">
        <v>0</v>
      </c>
      <c r="J660" s="2">
        <f t="shared" si="375"/>
        <v>3</v>
      </c>
      <c r="K660" s="2">
        <f t="shared" si="376"/>
        <v>1.6</v>
      </c>
      <c r="L660" s="2">
        <f t="shared" si="377"/>
        <v>1.9000000000000001</v>
      </c>
      <c r="M660" s="2">
        <v>10</v>
      </c>
      <c r="N660" s="2">
        <f t="shared" si="378"/>
        <v>238.93</v>
      </c>
      <c r="O660" s="2">
        <f t="shared" si="379"/>
        <v>23.89</v>
      </c>
      <c r="P660" s="2">
        <f t="shared" si="380"/>
        <v>2688</v>
      </c>
      <c r="Q660" s="2">
        <f t="shared" si="381"/>
        <v>268.8</v>
      </c>
      <c r="R660" s="2">
        <f t="shared" si="382"/>
        <v>79.64</v>
      </c>
      <c r="S660" s="2">
        <f t="shared" si="383"/>
        <v>7.96</v>
      </c>
      <c r="T660" s="2">
        <v>0</v>
      </c>
      <c r="U660" s="2">
        <v>0</v>
      </c>
      <c r="V660" s="2">
        <v>0</v>
      </c>
      <c r="W660" s="2">
        <v>0</v>
      </c>
      <c r="X660" s="2">
        <v>0</v>
      </c>
      <c r="Y660" s="25">
        <v>523011</v>
      </c>
      <c r="Z660" s="26" t="s">
        <v>710</v>
      </c>
      <c r="AA660" s="4">
        <v>1</v>
      </c>
      <c r="AB660" s="4">
        <v>0</v>
      </c>
      <c r="AC660" s="4"/>
      <c r="AD660" s="4">
        <f t="shared" si="373"/>
        <v>15297.706115999998</v>
      </c>
      <c r="AF660" s="1" t="str">
        <f t="shared" si="374"/>
        <v>1</v>
      </c>
      <c r="AG660">
        <v>11</v>
      </c>
      <c r="AH660">
        <f t="shared" si="384"/>
        <v>238.93333333333331</v>
      </c>
      <c r="AI660">
        <f t="shared" si="385"/>
        <v>23.893333333333331</v>
      </c>
      <c r="AJ660">
        <f t="shared" si="386"/>
        <v>2688</v>
      </c>
      <c r="AK660">
        <f t="shared" si="387"/>
        <v>268.8</v>
      </c>
      <c r="AL660">
        <f t="shared" si="388"/>
        <v>79.644444444444431</v>
      </c>
      <c r="AM660">
        <f t="shared" si="389"/>
        <v>7.9644444444444433</v>
      </c>
      <c r="AN660">
        <f t="shared" si="390"/>
        <v>1.6</v>
      </c>
      <c r="AO660">
        <f t="shared" si="391"/>
        <v>1.9</v>
      </c>
      <c r="AP660">
        <f t="shared" si="392"/>
        <v>3</v>
      </c>
      <c r="AQ660">
        <v>101</v>
      </c>
      <c r="AR660">
        <v>1</v>
      </c>
    </row>
    <row r="661" spans="1:44" x14ac:dyDescent="0.15">
      <c r="A661">
        <f t="shared" si="372"/>
        <v>1101115</v>
      </c>
      <c r="B661" s="21" t="s">
        <v>274</v>
      </c>
      <c r="C661">
        <v>11</v>
      </c>
      <c r="D661">
        <v>2</v>
      </c>
      <c r="E661">
        <v>5</v>
      </c>
      <c r="F661" s="6" t="s">
        <v>381</v>
      </c>
      <c r="G661" s="6" t="s">
        <v>382</v>
      </c>
      <c r="H661">
        <v>0</v>
      </c>
      <c r="I661" s="2">
        <v>0</v>
      </c>
      <c r="J661" s="2">
        <f t="shared" si="375"/>
        <v>3</v>
      </c>
      <c r="K661" s="2">
        <f t="shared" si="376"/>
        <v>1.6</v>
      </c>
      <c r="L661" s="2">
        <f t="shared" si="377"/>
        <v>1.9000000000000001</v>
      </c>
      <c r="M661" s="2">
        <v>10</v>
      </c>
      <c r="N661" s="2">
        <f t="shared" si="378"/>
        <v>238.93</v>
      </c>
      <c r="O661" s="2">
        <f t="shared" si="379"/>
        <v>23.89</v>
      </c>
      <c r="P661" s="2">
        <f t="shared" si="380"/>
        <v>2688</v>
      </c>
      <c r="Q661" s="2">
        <f t="shared" si="381"/>
        <v>268.8</v>
      </c>
      <c r="R661" s="2">
        <f t="shared" si="382"/>
        <v>79.64</v>
      </c>
      <c r="S661" s="2">
        <f t="shared" si="383"/>
        <v>7.96</v>
      </c>
      <c r="T661" s="2">
        <v>0</v>
      </c>
      <c r="U661" s="2">
        <v>0</v>
      </c>
      <c r="V661" s="2">
        <v>0</v>
      </c>
      <c r="W661" s="2">
        <v>0</v>
      </c>
      <c r="X661" s="2">
        <v>0</v>
      </c>
      <c r="Y661" s="25">
        <v>523011</v>
      </c>
      <c r="Z661" s="26" t="s">
        <v>710</v>
      </c>
      <c r="AA661" s="4">
        <v>1</v>
      </c>
      <c r="AB661" s="4">
        <v>0</v>
      </c>
      <c r="AC661" s="4"/>
      <c r="AD661" s="4">
        <f t="shared" si="373"/>
        <v>15297.706115999998</v>
      </c>
      <c r="AF661" s="1" t="str">
        <f t="shared" si="374"/>
        <v>1</v>
      </c>
      <c r="AG661">
        <v>11</v>
      </c>
      <c r="AH661">
        <f t="shared" si="384"/>
        <v>238.93333333333331</v>
      </c>
      <c r="AI661">
        <f t="shared" si="385"/>
        <v>23.893333333333331</v>
      </c>
      <c r="AJ661">
        <f t="shared" si="386"/>
        <v>2688</v>
      </c>
      <c r="AK661">
        <f t="shared" si="387"/>
        <v>268.8</v>
      </c>
      <c r="AL661">
        <f t="shared" si="388"/>
        <v>79.644444444444431</v>
      </c>
      <c r="AM661">
        <f t="shared" si="389"/>
        <v>7.9644444444444433</v>
      </c>
      <c r="AN661">
        <f t="shared" si="390"/>
        <v>1.6</v>
      </c>
      <c r="AO661">
        <f t="shared" si="391"/>
        <v>1.9</v>
      </c>
      <c r="AP661">
        <f t="shared" si="392"/>
        <v>3</v>
      </c>
      <c r="AQ661">
        <v>101</v>
      </c>
      <c r="AR661">
        <v>1</v>
      </c>
    </row>
    <row r="662" spans="1:44" x14ac:dyDescent="0.15">
      <c r="A662">
        <f t="shared" si="372"/>
        <v>1101121</v>
      </c>
      <c r="B662" s="21" t="s">
        <v>262</v>
      </c>
      <c r="C662">
        <v>12</v>
      </c>
      <c r="D662">
        <v>2</v>
      </c>
      <c r="E662">
        <v>1</v>
      </c>
      <c r="F662" s="6" t="s">
        <v>373</v>
      </c>
      <c r="G662" s="6" t="s">
        <v>374</v>
      </c>
      <c r="H662" s="2">
        <v>0</v>
      </c>
      <c r="I662" s="2">
        <v>0</v>
      </c>
      <c r="J662" s="2">
        <f t="shared" si="375"/>
        <v>3</v>
      </c>
      <c r="K662" s="2">
        <f t="shared" si="376"/>
        <v>1.6</v>
      </c>
      <c r="L662" s="2">
        <f t="shared" si="377"/>
        <v>1.9000000000000001</v>
      </c>
      <c r="M662" s="2">
        <v>10</v>
      </c>
      <c r="N662" s="2">
        <f t="shared" si="378"/>
        <v>256</v>
      </c>
      <c r="O662" s="2">
        <f t="shared" si="379"/>
        <v>25.6</v>
      </c>
      <c r="P662" s="2">
        <f t="shared" si="380"/>
        <v>2880</v>
      </c>
      <c r="Q662" s="2">
        <f t="shared" si="381"/>
        <v>288</v>
      </c>
      <c r="R662" s="2">
        <f t="shared" si="382"/>
        <v>85.33</v>
      </c>
      <c r="S662" s="2">
        <f t="shared" si="383"/>
        <v>8.5299999999999994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25">
        <v>523011</v>
      </c>
      <c r="Z662" s="26" t="s">
        <v>710</v>
      </c>
      <c r="AA662" s="4">
        <v>1</v>
      </c>
      <c r="AB662" s="4">
        <v>0</v>
      </c>
      <c r="AC662" s="4"/>
      <c r="AD662" s="4">
        <f t="shared" si="373"/>
        <v>17563.392</v>
      </c>
      <c r="AF662" s="1" t="str">
        <f t="shared" si="374"/>
        <v>1</v>
      </c>
      <c r="AG662">
        <v>12</v>
      </c>
      <c r="AH662">
        <f t="shared" si="384"/>
        <v>256</v>
      </c>
      <c r="AI662">
        <f t="shared" si="385"/>
        <v>25.6</v>
      </c>
      <c r="AJ662">
        <f t="shared" si="386"/>
        <v>2880</v>
      </c>
      <c r="AK662">
        <f t="shared" si="387"/>
        <v>288</v>
      </c>
      <c r="AL662">
        <f t="shared" si="388"/>
        <v>85.333333333333329</v>
      </c>
      <c r="AM662">
        <f t="shared" si="389"/>
        <v>8.5333333333333332</v>
      </c>
      <c r="AN662">
        <f t="shared" si="390"/>
        <v>1.6</v>
      </c>
      <c r="AO662">
        <f t="shared" si="391"/>
        <v>1.9</v>
      </c>
      <c r="AP662">
        <f t="shared" si="392"/>
        <v>3</v>
      </c>
      <c r="AQ662">
        <v>101</v>
      </c>
      <c r="AR662">
        <v>1</v>
      </c>
    </row>
    <row r="663" spans="1:44" x14ac:dyDescent="0.15">
      <c r="A663">
        <f t="shared" si="372"/>
        <v>1101122</v>
      </c>
      <c r="B663" s="21" t="s">
        <v>265</v>
      </c>
      <c r="C663">
        <v>12</v>
      </c>
      <c r="D663">
        <v>2</v>
      </c>
      <c r="E663">
        <v>2</v>
      </c>
      <c r="F663" s="6" t="s">
        <v>375</v>
      </c>
      <c r="G663" s="6" t="s">
        <v>376</v>
      </c>
      <c r="H663" s="2">
        <v>0</v>
      </c>
      <c r="I663" s="2">
        <v>0</v>
      </c>
      <c r="J663" s="2">
        <f t="shared" si="375"/>
        <v>3</v>
      </c>
      <c r="K663" s="2">
        <f t="shared" si="376"/>
        <v>1.6</v>
      </c>
      <c r="L663" s="2">
        <f t="shared" si="377"/>
        <v>1.9000000000000001</v>
      </c>
      <c r="M663" s="2">
        <v>10</v>
      </c>
      <c r="N663" s="2">
        <f t="shared" si="378"/>
        <v>256</v>
      </c>
      <c r="O663" s="2">
        <f t="shared" si="379"/>
        <v>25.6</v>
      </c>
      <c r="P663" s="2">
        <f t="shared" si="380"/>
        <v>2880</v>
      </c>
      <c r="Q663" s="2">
        <f t="shared" si="381"/>
        <v>288</v>
      </c>
      <c r="R663" s="2">
        <f t="shared" si="382"/>
        <v>85.33</v>
      </c>
      <c r="S663" s="2">
        <f t="shared" si="383"/>
        <v>8.5299999999999994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25">
        <v>523011</v>
      </c>
      <c r="Z663" s="26" t="s">
        <v>710</v>
      </c>
      <c r="AA663" s="4">
        <v>1</v>
      </c>
      <c r="AB663" s="4">
        <v>0</v>
      </c>
      <c r="AC663" s="4"/>
      <c r="AD663" s="4">
        <f t="shared" si="373"/>
        <v>17563.392</v>
      </c>
      <c r="AF663" s="1" t="str">
        <f t="shared" si="374"/>
        <v>1</v>
      </c>
      <c r="AG663">
        <v>12</v>
      </c>
      <c r="AH663">
        <f t="shared" si="384"/>
        <v>256</v>
      </c>
      <c r="AI663">
        <f t="shared" si="385"/>
        <v>25.6</v>
      </c>
      <c r="AJ663">
        <f t="shared" si="386"/>
        <v>2880</v>
      </c>
      <c r="AK663">
        <f t="shared" si="387"/>
        <v>288</v>
      </c>
      <c r="AL663">
        <f t="shared" si="388"/>
        <v>85.333333333333329</v>
      </c>
      <c r="AM663">
        <f t="shared" si="389"/>
        <v>8.5333333333333332</v>
      </c>
      <c r="AN663">
        <f t="shared" si="390"/>
        <v>1.6</v>
      </c>
      <c r="AO663">
        <f t="shared" si="391"/>
        <v>1.9</v>
      </c>
      <c r="AP663">
        <f t="shared" si="392"/>
        <v>3</v>
      </c>
      <c r="AQ663">
        <v>101</v>
      </c>
      <c r="AR663">
        <v>1</v>
      </c>
    </row>
    <row r="664" spans="1:44" x14ac:dyDescent="0.15">
      <c r="A664">
        <f t="shared" si="372"/>
        <v>1101123</v>
      </c>
      <c r="B664" s="21" t="s">
        <v>268</v>
      </c>
      <c r="C664">
        <v>12</v>
      </c>
      <c r="D664">
        <v>2</v>
      </c>
      <c r="E664">
        <v>3</v>
      </c>
      <c r="F664" s="6" t="s">
        <v>377</v>
      </c>
      <c r="G664" s="6" t="s">
        <v>378</v>
      </c>
      <c r="H664" s="2">
        <v>0</v>
      </c>
      <c r="I664" s="2">
        <v>0</v>
      </c>
      <c r="J664" s="2">
        <f t="shared" si="375"/>
        <v>3</v>
      </c>
      <c r="K664" s="2">
        <f t="shared" si="376"/>
        <v>1.6</v>
      </c>
      <c r="L664" s="2">
        <f t="shared" si="377"/>
        <v>1.9000000000000001</v>
      </c>
      <c r="M664" s="2">
        <v>10</v>
      </c>
      <c r="N664" s="2">
        <f t="shared" si="378"/>
        <v>256</v>
      </c>
      <c r="O664" s="2">
        <f t="shared" si="379"/>
        <v>25.6</v>
      </c>
      <c r="P664" s="2">
        <f t="shared" si="380"/>
        <v>2880</v>
      </c>
      <c r="Q664" s="2">
        <f t="shared" si="381"/>
        <v>288</v>
      </c>
      <c r="R664" s="2">
        <f t="shared" si="382"/>
        <v>85.33</v>
      </c>
      <c r="S664" s="2">
        <f t="shared" si="383"/>
        <v>8.5299999999999994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25">
        <v>523011</v>
      </c>
      <c r="Z664" s="26" t="s">
        <v>710</v>
      </c>
      <c r="AA664" s="4">
        <v>1</v>
      </c>
      <c r="AB664" s="4">
        <v>0</v>
      </c>
      <c r="AC664" s="4"/>
      <c r="AD664" s="4">
        <f t="shared" si="373"/>
        <v>17563.392</v>
      </c>
      <c r="AF664" s="1" t="str">
        <f t="shared" si="374"/>
        <v>1</v>
      </c>
      <c r="AG664">
        <v>12</v>
      </c>
      <c r="AH664">
        <f t="shared" si="384"/>
        <v>256</v>
      </c>
      <c r="AI664">
        <f t="shared" si="385"/>
        <v>25.6</v>
      </c>
      <c r="AJ664">
        <f t="shared" si="386"/>
        <v>2880</v>
      </c>
      <c r="AK664">
        <f t="shared" si="387"/>
        <v>288</v>
      </c>
      <c r="AL664">
        <f t="shared" si="388"/>
        <v>85.333333333333329</v>
      </c>
      <c r="AM664">
        <f t="shared" si="389"/>
        <v>8.5333333333333332</v>
      </c>
      <c r="AN664">
        <f t="shared" si="390"/>
        <v>1.6</v>
      </c>
      <c r="AO664">
        <f t="shared" si="391"/>
        <v>1.9</v>
      </c>
      <c r="AP664">
        <f t="shared" si="392"/>
        <v>3</v>
      </c>
      <c r="AQ664">
        <v>101</v>
      </c>
      <c r="AR664">
        <v>1</v>
      </c>
    </row>
    <row r="665" spans="1:44" x14ac:dyDescent="0.15">
      <c r="A665">
        <f t="shared" si="372"/>
        <v>1101124</v>
      </c>
      <c r="B665" s="21" t="s">
        <v>271</v>
      </c>
      <c r="C665">
        <v>12</v>
      </c>
      <c r="D665">
        <v>2</v>
      </c>
      <c r="E665">
        <v>4</v>
      </c>
      <c r="F665" s="6" t="s">
        <v>379</v>
      </c>
      <c r="G665" s="6" t="s">
        <v>380</v>
      </c>
      <c r="H665" s="2">
        <v>0</v>
      </c>
      <c r="I665" s="2">
        <v>0</v>
      </c>
      <c r="J665" s="2">
        <f t="shared" si="375"/>
        <v>3</v>
      </c>
      <c r="K665" s="2">
        <f t="shared" si="376"/>
        <v>1.6</v>
      </c>
      <c r="L665" s="2">
        <f t="shared" si="377"/>
        <v>1.9000000000000001</v>
      </c>
      <c r="M665" s="2">
        <v>10</v>
      </c>
      <c r="N665" s="2">
        <f t="shared" si="378"/>
        <v>256</v>
      </c>
      <c r="O665" s="2">
        <f t="shared" si="379"/>
        <v>25.6</v>
      </c>
      <c r="P665" s="2">
        <f t="shared" si="380"/>
        <v>2880</v>
      </c>
      <c r="Q665" s="2">
        <f t="shared" si="381"/>
        <v>288</v>
      </c>
      <c r="R665" s="2">
        <f t="shared" si="382"/>
        <v>85.33</v>
      </c>
      <c r="S665" s="2">
        <f t="shared" si="383"/>
        <v>8.5299999999999994</v>
      </c>
      <c r="T665" s="2">
        <v>0</v>
      </c>
      <c r="U665" s="2">
        <v>0</v>
      </c>
      <c r="V665" s="2">
        <v>0</v>
      </c>
      <c r="W665" s="2">
        <v>0</v>
      </c>
      <c r="X665" s="2">
        <v>0</v>
      </c>
      <c r="Y665" s="25">
        <v>523011</v>
      </c>
      <c r="Z665" s="26" t="s">
        <v>710</v>
      </c>
      <c r="AA665" s="4">
        <v>1</v>
      </c>
      <c r="AB665" s="4">
        <v>0</v>
      </c>
      <c r="AC665" s="4"/>
      <c r="AD665" s="4">
        <f t="shared" si="373"/>
        <v>17563.392</v>
      </c>
      <c r="AF665" s="1" t="str">
        <f t="shared" si="374"/>
        <v>1</v>
      </c>
      <c r="AG665">
        <v>12</v>
      </c>
      <c r="AH665">
        <f t="shared" si="384"/>
        <v>256</v>
      </c>
      <c r="AI665">
        <f t="shared" si="385"/>
        <v>25.6</v>
      </c>
      <c r="AJ665">
        <f t="shared" si="386"/>
        <v>2880</v>
      </c>
      <c r="AK665">
        <f t="shared" si="387"/>
        <v>288</v>
      </c>
      <c r="AL665">
        <f t="shared" si="388"/>
        <v>85.333333333333329</v>
      </c>
      <c r="AM665">
        <f t="shared" si="389"/>
        <v>8.5333333333333332</v>
      </c>
      <c r="AN665">
        <f t="shared" si="390"/>
        <v>1.6</v>
      </c>
      <c r="AO665">
        <f t="shared" si="391"/>
        <v>1.9</v>
      </c>
      <c r="AP665">
        <f t="shared" si="392"/>
        <v>3</v>
      </c>
      <c r="AQ665">
        <v>101</v>
      </c>
      <c r="AR665">
        <v>1</v>
      </c>
    </row>
    <row r="666" spans="1:44" x14ac:dyDescent="0.15">
      <c r="A666">
        <f t="shared" si="372"/>
        <v>1101125</v>
      </c>
      <c r="B666" s="21" t="s">
        <v>274</v>
      </c>
      <c r="C666">
        <v>12</v>
      </c>
      <c r="D666">
        <v>2</v>
      </c>
      <c r="E666">
        <v>5</v>
      </c>
      <c r="F666" s="6" t="s">
        <v>381</v>
      </c>
      <c r="G666" s="6" t="s">
        <v>382</v>
      </c>
      <c r="H666">
        <v>0</v>
      </c>
      <c r="I666" s="2">
        <v>0</v>
      </c>
      <c r="J666" s="2">
        <f t="shared" si="375"/>
        <v>3</v>
      </c>
      <c r="K666" s="2">
        <f t="shared" si="376"/>
        <v>1.6</v>
      </c>
      <c r="L666" s="2">
        <f t="shared" si="377"/>
        <v>1.9000000000000001</v>
      </c>
      <c r="M666" s="2">
        <v>10</v>
      </c>
      <c r="N666" s="2">
        <f t="shared" si="378"/>
        <v>256</v>
      </c>
      <c r="O666" s="2">
        <f t="shared" si="379"/>
        <v>25.6</v>
      </c>
      <c r="P666" s="2">
        <f t="shared" si="380"/>
        <v>2880</v>
      </c>
      <c r="Q666" s="2">
        <f t="shared" si="381"/>
        <v>288</v>
      </c>
      <c r="R666" s="2">
        <f t="shared" si="382"/>
        <v>85.33</v>
      </c>
      <c r="S666" s="2">
        <f t="shared" si="383"/>
        <v>8.5299999999999994</v>
      </c>
      <c r="T666" s="2">
        <v>0</v>
      </c>
      <c r="U666" s="2">
        <v>0</v>
      </c>
      <c r="V666" s="2">
        <v>0</v>
      </c>
      <c r="W666" s="2">
        <v>0</v>
      </c>
      <c r="X666" s="2">
        <v>0</v>
      </c>
      <c r="Y666" s="25">
        <v>523011</v>
      </c>
      <c r="Z666" s="26" t="s">
        <v>710</v>
      </c>
      <c r="AA666" s="4">
        <v>1</v>
      </c>
      <c r="AB666" s="4">
        <v>0</v>
      </c>
      <c r="AC666" s="4"/>
      <c r="AD666" s="4">
        <f t="shared" si="373"/>
        <v>17563.392</v>
      </c>
      <c r="AF666" s="1" t="str">
        <f t="shared" si="374"/>
        <v>1</v>
      </c>
      <c r="AG666">
        <v>12</v>
      </c>
      <c r="AH666">
        <f t="shared" si="384"/>
        <v>256</v>
      </c>
      <c r="AI666">
        <f t="shared" si="385"/>
        <v>25.6</v>
      </c>
      <c r="AJ666">
        <f t="shared" si="386"/>
        <v>2880</v>
      </c>
      <c r="AK666">
        <f t="shared" si="387"/>
        <v>288</v>
      </c>
      <c r="AL666">
        <f t="shared" si="388"/>
        <v>85.333333333333329</v>
      </c>
      <c r="AM666">
        <f t="shared" si="389"/>
        <v>8.5333333333333332</v>
      </c>
      <c r="AN666">
        <f t="shared" si="390"/>
        <v>1.6</v>
      </c>
      <c r="AO666">
        <f t="shared" si="391"/>
        <v>1.9</v>
      </c>
      <c r="AP666">
        <f t="shared" si="392"/>
        <v>3</v>
      </c>
      <c r="AQ666">
        <v>101</v>
      </c>
      <c r="AR666">
        <v>1</v>
      </c>
    </row>
    <row r="667" spans="1:44" x14ac:dyDescent="0.15">
      <c r="A667">
        <f t="shared" si="372"/>
        <v>1101131</v>
      </c>
      <c r="B667" s="21" t="s">
        <v>262</v>
      </c>
      <c r="C667">
        <v>13</v>
      </c>
      <c r="D667">
        <v>2</v>
      </c>
      <c r="E667">
        <v>1</v>
      </c>
      <c r="F667" s="6" t="s">
        <v>373</v>
      </c>
      <c r="G667" s="6" t="s">
        <v>374</v>
      </c>
      <c r="H667" s="2">
        <v>0</v>
      </c>
      <c r="I667" s="2">
        <v>0</v>
      </c>
      <c r="J667" s="2">
        <f t="shared" si="375"/>
        <v>3</v>
      </c>
      <c r="K667" s="2">
        <f t="shared" si="376"/>
        <v>1.6</v>
      </c>
      <c r="L667" s="2">
        <f t="shared" si="377"/>
        <v>1.9000000000000001</v>
      </c>
      <c r="M667" s="2">
        <v>10</v>
      </c>
      <c r="N667" s="2">
        <f t="shared" si="378"/>
        <v>273.07</v>
      </c>
      <c r="O667" s="2">
        <f t="shared" si="379"/>
        <v>27.31</v>
      </c>
      <c r="P667" s="2">
        <f t="shared" si="380"/>
        <v>3072</v>
      </c>
      <c r="Q667" s="2">
        <f t="shared" si="381"/>
        <v>307.2</v>
      </c>
      <c r="R667" s="2">
        <f t="shared" si="382"/>
        <v>91.02</v>
      </c>
      <c r="S667" s="2">
        <f t="shared" si="383"/>
        <v>9.1</v>
      </c>
      <c r="T667" s="2">
        <v>0</v>
      </c>
      <c r="U667" s="2">
        <v>0</v>
      </c>
      <c r="V667" s="2">
        <v>0</v>
      </c>
      <c r="W667" s="2">
        <v>0</v>
      </c>
      <c r="X667" s="2">
        <v>0</v>
      </c>
      <c r="Y667" s="25">
        <v>523011</v>
      </c>
      <c r="Z667" s="26" t="s">
        <v>710</v>
      </c>
      <c r="AA667" s="4">
        <v>1</v>
      </c>
      <c r="AB667" s="4">
        <v>0</v>
      </c>
      <c r="AC667" s="4"/>
      <c r="AD667" s="4">
        <f t="shared" si="373"/>
        <v>19985.476896</v>
      </c>
      <c r="AF667" s="1" t="str">
        <f t="shared" si="374"/>
        <v>1</v>
      </c>
      <c r="AG667">
        <v>13</v>
      </c>
      <c r="AH667">
        <f t="shared" si="384"/>
        <v>273.06666666666666</v>
      </c>
      <c r="AI667">
        <f t="shared" si="385"/>
        <v>27.306666666666668</v>
      </c>
      <c r="AJ667">
        <f t="shared" si="386"/>
        <v>3072</v>
      </c>
      <c r="AK667">
        <f t="shared" si="387"/>
        <v>307.20000000000005</v>
      </c>
      <c r="AL667">
        <f t="shared" si="388"/>
        <v>91.022222222222226</v>
      </c>
      <c r="AM667">
        <f t="shared" si="389"/>
        <v>9.1022222222222222</v>
      </c>
      <c r="AN667">
        <f t="shared" si="390"/>
        <v>1.6</v>
      </c>
      <c r="AO667">
        <f t="shared" si="391"/>
        <v>1.9</v>
      </c>
      <c r="AP667">
        <f t="shared" si="392"/>
        <v>3</v>
      </c>
      <c r="AQ667">
        <v>101</v>
      </c>
      <c r="AR667">
        <v>1</v>
      </c>
    </row>
    <row r="668" spans="1:44" x14ac:dyDescent="0.15">
      <c r="A668">
        <f t="shared" si="372"/>
        <v>1101132</v>
      </c>
      <c r="B668" s="21" t="s">
        <v>265</v>
      </c>
      <c r="C668">
        <v>13</v>
      </c>
      <c r="D668">
        <v>2</v>
      </c>
      <c r="E668">
        <v>2</v>
      </c>
      <c r="F668" s="6" t="s">
        <v>375</v>
      </c>
      <c r="G668" s="6" t="s">
        <v>376</v>
      </c>
      <c r="H668" s="2">
        <v>0</v>
      </c>
      <c r="I668" s="2">
        <v>0</v>
      </c>
      <c r="J668" s="2">
        <f t="shared" si="375"/>
        <v>3</v>
      </c>
      <c r="K668" s="2">
        <f t="shared" si="376"/>
        <v>1.6</v>
      </c>
      <c r="L668" s="2">
        <f t="shared" si="377"/>
        <v>1.9000000000000001</v>
      </c>
      <c r="M668" s="2">
        <v>10</v>
      </c>
      <c r="N668" s="2">
        <f t="shared" si="378"/>
        <v>273.07</v>
      </c>
      <c r="O668" s="2">
        <f t="shared" si="379"/>
        <v>27.31</v>
      </c>
      <c r="P668" s="2">
        <f t="shared" si="380"/>
        <v>3072</v>
      </c>
      <c r="Q668" s="2">
        <f t="shared" si="381"/>
        <v>307.2</v>
      </c>
      <c r="R668" s="2">
        <f t="shared" si="382"/>
        <v>91.02</v>
      </c>
      <c r="S668" s="2">
        <f t="shared" si="383"/>
        <v>9.1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25">
        <v>523011</v>
      </c>
      <c r="Z668" s="26" t="s">
        <v>710</v>
      </c>
      <c r="AA668" s="4">
        <v>1</v>
      </c>
      <c r="AB668" s="4">
        <v>0</v>
      </c>
      <c r="AC668" s="4"/>
      <c r="AD668" s="4">
        <f t="shared" si="373"/>
        <v>19985.476896</v>
      </c>
      <c r="AF668" s="1" t="str">
        <f t="shared" si="374"/>
        <v>1</v>
      </c>
      <c r="AG668">
        <v>13</v>
      </c>
      <c r="AH668">
        <f t="shared" si="384"/>
        <v>273.06666666666666</v>
      </c>
      <c r="AI668">
        <f t="shared" si="385"/>
        <v>27.306666666666668</v>
      </c>
      <c r="AJ668">
        <f t="shared" si="386"/>
        <v>3072</v>
      </c>
      <c r="AK668">
        <f t="shared" si="387"/>
        <v>307.20000000000005</v>
      </c>
      <c r="AL668">
        <f t="shared" si="388"/>
        <v>91.022222222222226</v>
      </c>
      <c r="AM668">
        <f t="shared" si="389"/>
        <v>9.1022222222222222</v>
      </c>
      <c r="AN668">
        <f t="shared" si="390"/>
        <v>1.6</v>
      </c>
      <c r="AO668">
        <f t="shared" si="391"/>
        <v>1.9</v>
      </c>
      <c r="AP668">
        <f t="shared" si="392"/>
        <v>3</v>
      </c>
      <c r="AQ668">
        <v>101</v>
      </c>
      <c r="AR668">
        <v>1</v>
      </c>
    </row>
    <row r="669" spans="1:44" x14ac:dyDescent="0.15">
      <c r="A669">
        <f t="shared" si="372"/>
        <v>1101133</v>
      </c>
      <c r="B669" s="21" t="s">
        <v>268</v>
      </c>
      <c r="C669">
        <v>13</v>
      </c>
      <c r="D669">
        <v>2</v>
      </c>
      <c r="E669">
        <v>3</v>
      </c>
      <c r="F669" s="6" t="s">
        <v>377</v>
      </c>
      <c r="G669" s="6" t="s">
        <v>378</v>
      </c>
      <c r="H669" s="2">
        <v>0</v>
      </c>
      <c r="I669" s="2">
        <v>0</v>
      </c>
      <c r="J669" s="2">
        <f t="shared" si="375"/>
        <v>3</v>
      </c>
      <c r="K669" s="2">
        <f t="shared" si="376"/>
        <v>1.6</v>
      </c>
      <c r="L669" s="2">
        <f t="shared" si="377"/>
        <v>1.9000000000000001</v>
      </c>
      <c r="M669" s="2">
        <v>10</v>
      </c>
      <c r="N669" s="2">
        <f t="shared" si="378"/>
        <v>273.07</v>
      </c>
      <c r="O669" s="2">
        <f t="shared" si="379"/>
        <v>27.31</v>
      </c>
      <c r="P669" s="2">
        <f t="shared" si="380"/>
        <v>3072</v>
      </c>
      <c r="Q669" s="2">
        <f t="shared" si="381"/>
        <v>307.2</v>
      </c>
      <c r="R669" s="2">
        <f t="shared" si="382"/>
        <v>91.02</v>
      </c>
      <c r="S669" s="2">
        <f t="shared" si="383"/>
        <v>9.1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25">
        <v>523011</v>
      </c>
      <c r="Z669" s="26" t="s">
        <v>710</v>
      </c>
      <c r="AA669" s="4">
        <v>1</v>
      </c>
      <c r="AB669" s="4">
        <v>0</v>
      </c>
      <c r="AC669" s="4"/>
      <c r="AD669" s="4">
        <f t="shared" si="373"/>
        <v>19985.476896</v>
      </c>
      <c r="AF669" s="1" t="str">
        <f t="shared" si="374"/>
        <v>1</v>
      </c>
      <c r="AG669">
        <v>13</v>
      </c>
      <c r="AH669">
        <f t="shared" si="384"/>
        <v>273.06666666666666</v>
      </c>
      <c r="AI669">
        <f t="shared" si="385"/>
        <v>27.306666666666668</v>
      </c>
      <c r="AJ669">
        <f t="shared" si="386"/>
        <v>3072</v>
      </c>
      <c r="AK669">
        <f t="shared" si="387"/>
        <v>307.20000000000005</v>
      </c>
      <c r="AL669">
        <f t="shared" si="388"/>
        <v>91.022222222222226</v>
      </c>
      <c r="AM669">
        <f t="shared" si="389"/>
        <v>9.1022222222222222</v>
      </c>
      <c r="AN669">
        <f t="shared" si="390"/>
        <v>1.6</v>
      </c>
      <c r="AO669">
        <f t="shared" si="391"/>
        <v>1.9</v>
      </c>
      <c r="AP669">
        <f t="shared" si="392"/>
        <v>3</v>
      </c>
      <c r="AQ669">
        <v>101</v>
      </c>
      <c r="AR669">
        <v>1</v>
      </c>
    </row>
    <row r="670" spans="1:44" x14ac:dyDescent="0.15">
      <c r="A670">
        <f t="shared" si="372"/>
        <v>1101134</v>
      </c>
      <c r="B670" s="21" t="s">
        <v>271</v>
      </c>
      <c r="C670">
        <v>13</v>
      </c>
      <c r="D670">
        <v>2</v>
      </c>
      <c r="E670">
        <v>4</v>
      </c>
      <c r="F670" s="6" t="s">
        <v>379</v>
      </c>
      <c r="G670" s="6" t="s">
        <v>380</v>
      </c>
      <c r="H670" s="2">
        <v>0</v>
      </c>
      <c r="I670" s="2">
        <v>0</v>
      </c>
      <c r="J670" s="2">
        <f t="shared" si="375"/>
        <v>3</v>
      </c>
      <c r="K670" s="2">
        <f t="shared" si="376"/>
        <v>1.6</v>
      </c>
      <c r="L670" s="2">
        <f t="shared" si="377"/>
        <v>1.9000000000000001</v>
      </c>
      <c r="M670" s="2">
        <v>10</v>
      </c>
      <c r="N670" s="2">
        <f t="shared" si="378"/>
        <v>273.07</v>
      </c>
      <c r="O670" s="2">
        <f t="shared" si="379"/>
        <v>27.31</v>
      </c>
      <c r="P670" s="2">
        <f t="shared" si="380"/>
        <v>3072</v>
      </c>
      <c r="Q670" s="2">
        <f t="shared" si="381"/>
        <v>307.2</v>
      </c>
      <c r="R670" s="2">
        <f t="shared" si="382"/>
        <v>91.02</v>
      </c>
      <c r="S670" s="2">
        <f t="shared" si="383"/>
        <v>9.1</v>
      </c>
      <c r="T670" s="2">
        <v>0</v>
      </c>
      <c r="U670" s="2">
        <v>0</v>
      </c>
      <c r="V670" s="2">
        <v>0</v>
      </c>
      <c r="W670" s="2">
        <v>0</v>
      </c>
      <c r="X670" s="2">
        <v>0</v>
      </c>
      <c r="Y670" s="25">
        <v>523011</v>
      </c>
      <c r="Z670" s="26" t="s">
        <v>710</v>
      </c>
      <c r="AA670" s="4">
        <v>1</v>
      </c>
      <c r="AB670" s="4">
        <v>0</v>
      </c>
      <c r="AC670" s="4"/>
      <c r="AD670" s="4">
        <f t="shared" si="373"/>
        <v>19985.476896</v>
      </c>
      <c r="AF670" s="1" t="str">
        <f t="shared" si="374"/>
        <v>1</v>
      </c>
      <c r="AG670">
        <v>13</v>
      </c>
      <c r="AH670">
        <f t="shared" si="384"/>
        <v>273.06666666666666</v>
      </c>
      <c r="AI670">
        <f t="shared" si="385"/>
        <v>27.306666666666668</v>
      </c>
      <c r="AJ670">
        <f t="shared" si="386"/>
        <v>3072</v>
      </c>
      <c r="AK670">
        <f t="shared" si="387"/>
        <v>307.20000000000005</v>
      </c>
      <c r="AL670">
        <f t="shared" si="388"/>
        <v>91.022222222222226</v>
      </c>
      <c r="AM670">
        <f t="shared" si="389"/>
        <v>9.1022222222222222</v>
      </c>
      <c r="AN670">
        <f t="shared" si="390"/>
        <v>1.6</v>
      </c>
      <c r="AO670">
        <f t="shared" si="391"/>
        <v>1.9</v>
      </c>
      <c r="AP670">
        <f t="shared" si="392"/>
        <v>3</v>
      </c>
      <c r="AQ670">
        <v>101</v>
      </c>
      <c r="AR670">
        <v>1</v>
      </c>
    </row>
    <row r="671" spans="1:44" x14ac:dyDescent="0.15">
      <c r="A671">
        <f t="shared" si="372"/>
        <v>1101135</v>
      </c>
      <c r="B671" s="21" t="s">
        <v>274</v>
      </c>
      <c r="C671">
        <v>13</v>
      </c>
      <c r="D671">
        <v>2</v>
      </c>
      <c r="E671">
        <v>5</v>
      </c>
      <c r="F671" s="6" t="s">
        <v>381</v>
      </c>
      <c r="G671" s="6" t="s">
        <v>382</v>
      </c>
      <c r="H671">
        <v>0</v>
      </c>
      <c r="I671" s="2">
        <v>0</v>
      </c>
      <c r="J671" s="2">
        <f t="shared" si="375"/>
        <v>3</v>
      </c>
      <c r="K671" s="2">
        <f t="shared" si="376"/>
        <v>1.6</v>
      </c>
      <c r="L671" s="2">
        <f t="shared" si="377"/>
        <v>1.9000000000000001</v>
      </c>
      <c r="M671" s="2">
        <v>10</v>
      </c>
      <c r="N671" s="2">
        <f t="shared" si="378"/>
        <v>273.07</v>
      </c>
      <c r="O671" s="2">
        <f t="shared" si="379"/>
        <v>27.31</v>
      </c>
      <c r="P671" s="2">
        <f t="shared" si="380"/>
        <v>3072</v>
      </c>
      <c r="Q671" s="2">
        <f t="shared" si="381"/>
        <v>307.2</v>
      </c>
      <c r="R671" s="2">
        <f t="shared" si="382"/>
        <v>91.02</v>
      </c>
      <c r="S671" s="2">
        <f t="shared" si="383"/>
        <v>9.1</v>
      </c>
      <c r="T671" s="2">
        <v>0</v>
      </c>
      <c r="U671" s="2">
        <v>0</v>
      </c>
      <c r="V671" s="2">
        <v>0</v>
      </c>
      <c r="W671" s="2">
        <v>0</v>
      </c>
      <c r="X671" s="2">
        <v>0</v>
      </c>
      <c r="Y671" s="25">
        <v>523011</v>
      </c>
      <c r="Z671" s="26" t="s">
        <v>710</v>
      </c>
      <c r="AA671" s="4">
        <v>1</v>
      </c>
      <c r="AB671" s="4">
        <v>0</v>
      </c>
      <c r="AC671" s="4"/>
      <c r="AD671" s="4">
        <f t="shared" si="373"/>
        <v>19985.476896</v>
      </c>
      <c r="AF671" s="1" t="str">
        <f t="shared" si="374"/>
        <v>1</v>
      </c>
      <c r="AG671">
        <v>13</v>
      </c>
      <c r="AH671">
        <f t="shared" si="384"/>
        <v>273.06666666666666</v>
      </c>
      <c r="AI671">
        <f t="shared" si="385"/>
        <v>27.306666666666668</v>
      </c>
      <c r="AJ671">
        <f t="shared" si="386"/>
        <v>3072</v>
      </c>
      <c r="AK671">
        <f t="shared" si="387"/>
        <v>307.20000000000005</v>
      </c>
      <c r="AL671">
        <f t="shared" si="388"/>
        <v>91.022222222222226</v>
      </c>
      <c r="AM671">
        <f t="shared" si="389"/>
        <v>9.1022222222222222</v>
      </c>
      <c r="AN671">
        <f t="shared" si="390"/>
        <v>1.6</v>
      </c>
      <c r="AO671">
        <f t="shared" si="391"/>
        <v>1.9</v>
      </c>
      <c r="AP671">
        <f t="shared" si="392"/>
        <v>3</v>
      </c>
      <c r="AQ671">
        <v>101</v>
      </c>
      <c r="AR671">
        <v>1</v>
      </c>
    </row>
    <row r="672" spans="1:44" x14ac:dyDescent="0.15">
      <c r="A672">
        <f t="shared" si="372"/>
        <v>1102011</v>
      </c>
      <c r="B672" s="21" t="s">
        <v>262</v>
      </c>
      <c r="C672">
        <v>1</v>
      </c>
      <c r="D672">
        <v>2</v>
      </c>
      <c r="E672">
        <v>1</v>
      </c>
      <c r="F672" s="6" t="s">
        <v>383</v>
      </c>
      <c r="G672" s="6" t="s">
        <v>384</v>
      </c>
      <c r="H672" s="2">
        <v>0</v>
      </c>
      <c r="I672" s="2">
        <v>0</v>
      </c>
      <c r="J672" s="2">
        <f t="shared" si="375"/>
        <v>3</v>
      </c>
      <c r="K672" s="2">
        <f t="shared" si="376"/>
        <v>1.5</v>
      </c>
      <c r="L672" s="2">
        <f t="shared" si="377"/>
        <v>1.5</v>
      </c>
      <c r="M672" s="2">
        <v>10</v>
      </c>
      <c r="N672" s="2">
        <f t="shared" si="378"/>
        <v>80</v>
      </c>
      <c r="O672" s="2">
        <f t="shared" si="379"/>
        <v>8</v>
      </c>
      <c r="P672" s="2">
        <f t="shared" si="380"/>
        <v>960</v>
      </c>
      <c r="Q672" s="2">
        <f t="shared" si="381"/>
        <v>96</v>
      </c>
      <c r="R672" s="2">
        <f t="shared" si="382"/>
        <v>26.67</v>
      </c>
      <c r="S672" s="2">
        <f t="shared" si="383"/>
        <v>2.67</v>
      </c>
      <c r="T672" s="2">
        <v>0</v>
      </c>
      <c r="U672" s="2">
        <v>0</v>
      </c>
      <c r="V672" s="2">
        <v>0</v>
      </c>
      <c r="W672" s="2">
        <v>0</v>
      </c>
      <c r="X672" s="2">
        <v>0</v>
      </c>
      <c r="Y672" s="25">
        <v>532001</v>
      </c>
      <c r="Z672" s="26" t="s">
        <v>710</v>
      </c>
      <c r="AA672" s="4">
        <v>1</v>
      </c>
      <c r="AB672" s="4">
        <v>0</v>
      </c>
      <c r="AC672" s="4"/>
      <c r="AD672" s="4">
        <f t="shared" si="373"/>
        <v>1951.4880000000001</v>
      </c>
      <c r="AF672" s="1" t="str">
        <f t="shared" si="374"/>
        <v>2</v>
      </c>
      <c r="AG672">
        <v>1</v>
      </c>
      <c r="AH672">
        <f t="shared" si="384"/>
        <v>80</v>
      </c>
      <c r="AI672">
        <f t="shared" si="385"/>
        <v>8</v>
      </c>
      <c r="AJ672">
        <f t="shared" si="386"/>
        <v>960</v>
      </c>
      <c r="AK672">
        <f t="shared" si="387"/>
        <v>96</v>
      </c>
      <c r="AL672">
        <f t="shared" si="388"/>
        <v>26.666666666666668</v>
      </c>
      <c r="AM672">
        <f t="shared" si="389"/>
        <v>2.666666666666667</v>
      </c>
      <c r="AN672">
        <f t="shared" si="390"/>
        <v>1.5</v>
      </c>
      <c r="AO672">
        <f t="shared" si="391"/>
        <v>1.5</v>
      </c>
      <c r="AP672">
        <f t="shared" si="392"/>
        <v>3</v>
      </c>
      <c r="AQ672">
        <v>102</v>
      </c>
      <c r="AR672">
        <v>1</v>
      </c>
    </row>
    <row r="673" spans="1:44" x14ac:dyDescent="0.15">
      <c r="A673">
        <f t="shared" si="372"/>
        <v>1102012</v>
      </c>
      <c r="B673" s="21" t="s">
        <v>265</v>
      </c>
      <c r="C673">
        <v>1</v>
      </c>
      <c r="D673">
        <v>2</v>
      </c>
      <c r="E673">
        <v>2</v>
      </c>
      <c r="F673" s="6" t="s">
        <v>385</v>
      </c>
      <c r="G673" s="6" t="s">
        <v>386</v>
      </c>
      <c r="H673" s="2">
        <v>0</v>
      </c>
      <c r="I673" s="2">
        <v>0</v>
      </c>
      <c r="J673" s="2">
        <f t="shared" si="375"/>
        <v>3</v>
      </c>
      <c r="K673" s="2">
        <f t="shared" si="376"/>
        <v>1.5</v>
      </c>
      <c r="L673" s="2">
        <f t="shared" si="377"/>
        <v>1.5</v>
      </c>
      <c r="M673" s="2">
        <v>10</v>
      </c>
      <c r="N673" s="2">
        <f t="shared" si="378"/>
        <v>80</v>
      </c>
      <c r="O673" s="2">
        <f t="shared" si="379"/>
        <v>8</v>
      </c>
      <c r="P673" s="2">
        <f t="shared" si="380"/>
        <v>960</v>
      </c>
      <c r="Q673" s="2">
        <f t="shared" si="381"/>
        <v>96</v>
      </c>
      <c r="R673" s="2">
        <f t="shared" si="382"/>
        <v>26.67</v>
      </c>
      <c r="S673" s="2">
        <f t="shared" si="383"/>
        <v>2.67</v>
      </c>
      <c r="T673" s="2">
        <v>0</v>
      </c>
      <c r="U673" s="2">
        <v>0</v>
      </c>
      <c r="V673" s="2">
        <v>0</v>
      </c>
      <c r="W673" s="2">
        <v>0</v>
      </c>
      <c r="X673" s="2">
        <v>0</v>
      </c>
      <c r="Y673" s="25">
        <v>532001</v>
      </c>
      <c r="Z673" s="26" t="s">
        <v>710</v>
      </c>
      <c r="AA673" s="4">
        <v>1</v>
      </c>
      <c r="AB673" s="4">
        <v>0</v>
      </c>
      <c r="AC673" s="4"/>
      <c r="AD673" s="4">
        <f t="shared" si="373"/>
        <v>1951.4880000000001</v>
      </c>
      <c r="AF673" s="1" t="str">
        <f t="shared" si="374"/>
        <v>2</v>
      </c>
      <c r="AG673">
        <v>1</v>
      </c>
      <c r="AH673">
        <f t="shared" si="384"/>
        <v>80</v>
      </c>
      <c r="AI673">
        <f t="shared" si="385"/>
        <v>8</v>
      </c>
      <c r="AJ673">
        <f t="shared" si="386"/>
        <v>960</v>
      </c>
      <c r="AK673">
        <f t="shared" si="387"/>
        <v>96</v>
      </c>
      <c r="AL673">
        <f t="shared" si="388"/>
        <v>26.666666666666668</v>
      </c>
      <c r="AM673">
        <f t="shared" si="389"/>
        <v>2.666666666666667</v>
      </c>
      <c r="AN673">
        <f t="shared" si="390"/>
        <v>1.5</v>
      </c>
      <c r="AO673">
        <f t="shared" si="391"/>
        <v>1.5</v>
      </c>
      <c r="AP673">
        <f t="shared" si="392"/>
        <v>3</v>
      </c>
      <c r="AQ673">
        <v>102</v>
      </c>
      <c r="AR673">
        <v>1</v>
      </c>
    </row>
    <row r="674" spans="1:44" x14ac:dyDescent="0.15">
      <c r="A674">
        <f t="shared" si="372"/>
        <v>1102013</v>
      </c>
      <c r="B674" s="21" t="s">
        <v>268</v>
      </c>
      <c r="C674">
        <v>1</v>
      </c>
      <c r="D674">
        <v>2</v>
      </c>
      <c r="E674">
        <v>3</v>
      </c>
      <c r="F674" s="6" t="s">
        <v>387</v>
      </c>
      <c r="G674" s="6" t="s">
        <v>388</v>
      </c>
      <c r="H674" s="2">
        <v>0</v>
      </c>
      <c r="I674" s="2">
        <v>0</v>
      </c>
      <c r="J674" s="2">
        <f t="shared" si="375"/>
        <v>3</v>
      </c>
      <c r="K674" s="2">
        <f t="shared" si="376"/>
        <v>1.5</v>
      </c>
      <c r="L674" s="2">
        <f t="shared" si="377"/>
        <v>1.5</v>
      </c>
      <c r="M674" s="2">
        <v>10</v>
      </c>
      <c r="N674" s="2">
        <f t="shared" si="378"/>
        <v>80</v>
      </c>
      <c r="O674" s="2">
        <f t="shared" si="379"/>
        <v>8</v>
      </c>
      <c r="P674" s="2">
        <f t="shared" si="380"/>
        <v>960</v>
      </c>
      <c r="Q674" s="2">
        <f t="shared" si="381"/>
        <v>96</v>
      </c>
      <c r="R674" s="2">
        <f t="shared" si="382"/>
        <v>26.67</v>
      </c>
      <c r="S674" s="2">
        <f t="shared" si="383"/>
        <v>2.67</v>
      </c>
      <c r="T674" s="2">
        <v>0</v>
      </c>
      <c r="U674" s="2">
        <v>0</v>
      </c>
      <c r="V674" s="2">
        <v>0</v>
      </c>
      <c r="W674" s="2">
        <v>0</v>
      </c>
      <c r="X674" s="2">
        <v>0</v>
      </c>
      <c r="Y674" s="25">
        <v>532001</v>
      </c>
      <c r="Z674" s="26" t="s">
        <v>710</v>
      </c>
      <c r="AA674" s="4">
        <v>1</v>
      </c>
      <c r="AB674" s="4">
        <v>0</v>
      </c>
      <c r="AC674" s="4"/>
      <c r="AD674" s="4">
        <f t="shared" si="373"/>
        <v>1951.4880000000001</v>
      </c>
      <c r="AF674" s="1" t="str">
        <f t="shared" si="374"/>
        <v>2</v>
      </c>
      <c r="AG674">
        <v>1</v>
      </c>
      <c r="AH674">
        <f t="shared" si="384"/>
        <v>80</v>
      </c>
      <c r="AI674">
        <f t="shared" si="385"/>
        <v>8</v>
      </c>
      <c r="AJ674">
        <f t="shared" si="386"/>
        <v>960</v>
      </c>
      <c r="AK674">
        <f t="shared" si="387"/>
        <v>96</v>
      </c>
      <c r="AL674">
        <f t="shared" si="388"/>
        <v>26.666666666666668</v>
      </c>
      <c r="AM674">
        <f t="shared" si="389"/>
        <v>2.666666666666667</v>
      </c>
      <c r="AN674">
        <f t="shared" si="390"/>
        <v>1.5</v>
      </c>
      <c r="AO674">
        <f t="shared" si="391"/>
        <v>1.5</v>
      </c>
      <c r="AP674">
        <f t="shared" si="392"/>
        <v>3</v>
      </c>
      <c r="AQ674">
        <v>102</v>
      </c>
      <c r="AR674">
        <v>1</v>
      </c>
    </row>
    <row r="675" spans="1:44" x14ac:dyDescent="0.15">
      <c r="A675">
        <f t="shared" si="372"/>
        <v>1102014</v>
      </c>
      <c r="B675" s="21" t="s">
        <v>271</v>
      </c>
      <c r="C675">
        <v>1</v>
      </c>
      <c r="D675">
        <v>2</v>
      </c>
      <c r="E675">
        <v>4</v>
      </c>
      <c r="F675" s="6" t="s">
        <v>389</v>
      </c>
      <c r="G675" s="6" t="s">
        <v>390</v>
      </c>
      <c r="H675" s="2">
        <v>0</v>
      </c>
      <c r="I675" s="2">
        <v>0</v>
      </c>
      <c r="J675" s="2">
        <f t="shared" si="375"/>
        <v>3</v>
      </c>
      <c r="K675" s="2">
        <f t="shared" si="376"/>
        <v>1.5</v>
      </c>
      <c r="L675" s="2">
        <f t="shared" si="377"/>
        <v>1.5</v>
      </c>
      <c r="M675" s="2">
        <v>10</v>
      </c>
      <c r="N675" s="2">
        <f t="shared" si="378"/>
        <v>80</v>
      </c>
      <c r="O675" s="2">
        <f t="shared" si="379"/>
        <v>8</v>
      </c>
      <c r="P675" s="2">
        <f t="shared" si="380"/>
        <v>960</v>
      </c>
      <c r="Q675" s="2">
        <f t="shared" si="381"/>
        <v>96</v>
      </c>
      <c r="R675" s="2">
        <f t="shared" si="382"/>
        <v>26.67</v>
      </c>
      <c r="S675" s="2">
        <f t="shared" si="383"/>
        <v>2.67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25">
        <v>532001</v>
      </c>
      <c r="Z675" s="26" t="s">
        <v>710</v>
      </c>
      <c r="AA675" s="4">
        <v>1</v>
      </c>
      <c r="AB675" s="4">
        <v>0</v>
      </c>
      <c r="AC675" s="4"/>
      <c r="AD675" s="4">
        <f t="shared" si="373"/>
        <v>1951.4880000000001</v>
      </c>
      <c r="AF675" s="1" t="str">
        <f t="shared" si="374"/>
        <v>2</v>
      </c>
      <c r="AG675">
        <v>1</v>
      </c>
      <c r="AH675">
        <f t="shared" si="384"/>
        <v>80</v>
      </c>
      <c r="AI675">
        <f t="shared" si="385"/>
        <v>8</v>
      </c>
      <c r="AJ675">
        <f t="shared" si="386"/>
        <v>960</v>
      </c>
      <c r="AK675">
        <f t="shared" si="387"/>
        <v>96</v>
      </c>
      <c r="AL675">
        <f t="shared" si="388"/>
        <v>26.666666666666668</v>
      </c>
      <c r="AM675">
        <f t="shared" si="389"/>
        <v>2.666666666666667</v>
      </c>
      <c r="AN675">
        <f t="shared" si="390"/>
        <v>1.5</v>
      </c>
      <c r="AO675">
        <f t="shared" si="391"/>
        <v>1.5</v>
      </c>
      <c r="AP675">
        <f t="shared" si="392"/>
        <v>3</v>
      </c>
      <c r="AQ675">
        <v>102</v>
      </c>
      <c r="AR675">
        <v>1</v>
      </c>
    </row>
    <row r="676" spans="1:44" x14ac:dyDescent="0.15">
      <c r="A676">
        <f t="shared" ref="A676:A739" si="393">AR676*1000000+AQ676*1000+C676*10+E676</f>
        <v>1102015</v>
      </c>
      <c r="B676" s="21" t="s">
        <v>274</v>
      </c>
      <c r="C676">
        <v>1</v>
      </c>
      <c r="D676">
        <v>2</v>
      </c>
      <c r="E676">
        <v>5</v>
      </c>
      <c r="F676" s="6" t="s">
        <v>391</v>
      </c>
      <c r="G676" s="6" t="s">
        <v>392</v>
      </c>
      <c r="H676">
        <v>0</v>
      </c>
      <c r="I676" s="2">
        <v>0</v>
      </c>
      <c r="J676" s="2">
        <f t="shared" si="375"/>
        <v>3</v>
      </c>
      <c r="K676" s="2">
        <f t="shared" si="376"/>
        <v>1.5</v>
      </c>
      <c r="L676" s="2">
        <f t="shared" si="377"/>
        <v>1.5</v>
      </c>
      <c r="M676" s="2">
        <v>10</v>
      </c>
      <c r="N676" s="2">
        <f t="shared" si="378"/>
        <v>80</v>
      </c>
      <c r="O676" s="2">
        <f t="shared" si="379"/>
        <v>8</v>
      </c>
      <c r="P676" s="2">
        <f t="shared" si="380"/>
        <v>960</v>
      </c>
      <c r="Q676" s="2">
        <f t="shared" si="381"/>
        <v>96</v>
      </c>
      <c r="R676" s="2">
        <f t="shared" si="382"/>
        <v>26.67</v>
      </c>
      <c r="S676" s="2">
        <f t="shared" si="383"/>
        <v>2.67</v>
      </c>
      <c r="T676" s="2">
        <v>0</v>
      </c>
      <c r="U676" s="2">
        <v>0</v>
      </c>
      <c r="V676" s="2">
        <v>0</v>
      </c>
      <c r="W676" s="2">
        <v>0</v>
      </c>
      <c r="X676" s="2">
        <v>0</v>
      </c>
      <c r="Y676" s="25">
        <v>532001</v>
      </c>
      <c r="Z676" s="26" t="s">
        <v>710</v>
      </c>
      <c r="AA676" s="4">
        <v>1</v>
      </c>
      <c r="AB676" s="4">
        <v>0</v>
      </c>
      <c r="AC676" s="4"/>
      <c r="AD676" s="4">
        <f t="shared" ref="AD676:AD739" si="394">(N676+O676*$AD$2)*(P676+Q676*$AD$2)/K676*0.945/3000</f>
        <v>1951.4880000000001</v>
      </c>
      <c r="AF676" s="1" t="str">
        <f t="shared" ref="AF676:AF739" si="395">RIGHT(AQ676,1)</f>
        <v>2</v>
      </c>
      <c r="AG676">
        <v>1</v>
      </c>
      <c r="AH676">
        <f t="shared" si="384"/>
        <v>80</v>
      </c>
      <c r="AI676">
        <f t="shared" si="385"/>
        <v>8</v>
      </c>
      <c r="AJ676">
        <f t="shared" si="386"/>
        <v>960</v>
      </c>
      <c r="AK676">
        <f t="shared" si="387"/>
        <v>96</v>
      </c>
      <c r="AL676">
        <f t="shared" si="388"/>
        <v>26.666666666666668</v>
      </c>
      <c r="AM676">
        <f t="shared" si="389"/>
        <v>2.666666666666667</v>
      </c>
      <c r="AN676">
        <f t="shared" si="390"/>
        <v>1.5</v>
      </c>
      <c r="AO676">
        <f t="shared" si="391"/>
        <v>1.5</v>
      </c>
      <c r="AP676">
        <f t="shared" si="392"/>
        <v>3</v>
      </c>
      <c r="AQ676">
        <v>102</v>
      </c>
      <c r="AR676">
        <v>1</v>
      </c>
    </row>
    <row r="677" spans="1:44" x14ac:dyDescent="0.15">
      <c r="A677">
        <f t="shared" si="393"/>
        <v>1102021</v>
      </c>
      <c r="B677" s="21" t="s">
        <v>262</v>
      </c>
      <c r="C677">
        <v>2</v>
      </c>
      <c r="D677">
        <v>2</v>
      </c>
      <c r="E677">
        <v>1</v>
      </c>
      <c r="F677" s="6" t="s">
        <v>383</v>
      </c>
      <c r="G677" s="6" t="s">
        <v>384</v>
      </c>
      <c r="H677" s="2">
        <v>0</v>
      </c>
      <c r="I677" s="2">
        <v>0</v>
      </c>
      <c r="J677" s="2">
        <f t="shared" si="375"/>
        <v>3</v>
      </c>
      <c r="K677" s="2">
        <f t="shared" si="376"/>
        <v>1.5</v>
      </c>
      <c r="L677" s="2">
        <f t="shared" si="377"/>
        <v>1.5</v>
      </c>
      <c r="M677" s="2">
        <v>10</v>
      </c>
      <c r="N677" s="2">
        <f t="shared" si="378"/>
        <v>88</v>
      </c>
      <c r="O677" s="2">
        <f t="shared" si="379"/>
        <v>8.8000000000000007</v>
      </c>
      <c r="P677" s="2">
        <f t="shared" si="380"/>
        <v>1056</v>
      </c>
      <c r="Q677" s="2">
        <f t="shared" si="381"/>
        <v>105.6</v>
      </c>
      <c r="R677" s="2">
        <f t="shared" si="382"/>
        <v>29.33</v>
      </c>
      <c r="S677" s="2">
        <f t="shared" si="383"/>
        <v>2.93</v>
      </c>
      <c r="T677" s="2">
        <v>0</v>
      </c>
      <c r="U677" s="2">
        <v>0</v>
      </c>
      <c r="V677" s="2">
        <v>0</v>
      </c>
      <c r="W677" s="2">
        <v>0</v>
      </c>
      <c r="X677" s="2">
        <v>0</v>
      </c>
      <c r="Y677" s="25">
        <v>532001</v>
      </c>
      <c r="Z677" s="26" t="s">
        <v>710</v>
      </c>
      <c r="AA677" s="4">
        <v>1</v>
      </c>
      <c r="AB677" s="4">
        <v>0</v>
      </c>
      <c r="AC677" s="4"/>
      <c r="AD677" s="4">
        <f t="shared" si="394"/>
        <v>2361.3004800000003</v>
      </c>
      <c r="AF677" s="1" t="str">
        <f t="shared" si="395"/>
        <v>2</v>
      </c>
      <c r="AG677">
        <v>2</v>
      </c>
      <c r="AH677">
        <f t="shared" si="384"/>
        <v>88</v>
      </c>
      <c r="AI677">
        <f t="shared" si="385"/>
        <v>8.8000000000000007</v>
      </c>
      <c r="AJ677">
        <f t="shared" si="386"/>
        <v>1056</v>
      </c>
      <c r="AK677">
        <f t="shared" si="387"/>
        <v>105.60000000000001</v>
      </c>
      <c r="AL677">
        <f t="shared" si="388"/>
        <v>29.333333333333332</v>
      </c>
      <c r="AM677">
        <f t="shared" si="389"/>
        <v>2.9333333333333336</v>
      </c>
      <c r="AN677">
        <f t="shared" si="390"/>
        <v>1.5</v>
      </c>
      <c r="AO677">
        <f t="shared" si="391"/>
        <v>1.5</v>
      </c>
      <c r="AP677">
        <f t="shared" si="392"/>
        <v>3</v>
      </c>
      <c r="AQ677">
        <v>102</v>
      </c>
      <c r="AR677">
        <v>1</v>
      </c>
    </row>
    <row r="678" spans="1:44" x14ac:dyDescent="0.15">
      <c r="A678">
        <f t="shared" si="393"/>
        <v>1102022</v>
      </c>
      <c r="B678" s="21" t="s">
        <v>265</v>
      </c>
      <c r="C678">
        <v>2</v>
      </c>
      <c r="D678">
        <v>2</v>
      </c>
      <c r="E678">
        <v>2</v>
      </c>
      <c r="F678" s="6" t="s">
        <v>385</v>
      </c>
      <c r="G678" s="6" t="s">
        <v>386</v>
      </c>
      <c r="H678" s="2">
        <v>0</v>
      </c>
      <c r="I678" s="2">
        <v>0</v>
      </c>
      <c r="J678" s="2">
        <f t="shared" si="375"/>
        <v>3</v>
      </c>
      <c r="K678" s="2">
        <f t="shared" si="376"/>
        <v>1.5</v>
      </c>
      <c r="L678" s="2">
        <f t="shared" si="377"/>
        <v>1.5</v>
      </c>
      <c r="M678" s="2">
        <v>10</v>
      </c>
      <c r="N678" s="2">
        <f t="shared" si="378"/>
        <v>88</v>
      </c>
      <c r="O678" s="2">
        <f t="shared" si="379"/>
        <v>8.8000000000000007</v>
      </c>
      <c r="P678" s="2">
        <f t="shared" si="380"/>
        <v>1056</v>
      </c>
      <c r="Q678" s="2">
        <f t="shared" si="381"/>
        <v>105.6</v>
      </c>
      <c r="R678" s="2">
        <f t="shared" si="382"/>
        <v>29.33</v>
      </c>
      <c r="S678" s="2">
        <f t="shared" si="383"/>
        <v>2.93</v>
      </c>
      <c r="T678" s="2">
        <v>0</v>
      </c>
      <c r="U678" s="2">
        <v>0</v>
      </c>
      <c r="V678" s="2">
        <v>0</v>
      </c>
      <c r="W678" s="2">
        <v>0</v>
      </c>
      <c r="X678" s="2">
        <v>0</v>
      </c>
      <c r="Y678" s="25">
        <v>532001</v>
      </c>
      <c r="Z678" s="26" t="s">
        <v>710</v>
      </c>
      <c r="AA678" s="4">
        <v>1</v>
      </c>
      <c r="AB678" s="4">
        <v>0</v>
      </c>
      <c r="AC678" s="4"/>
      <c r="AD678" s="4">
        <f t="shared" si="394"/>
        <v>2361.3004800000003</v>
      </c>
      <c r="AF678" s="1" t="str">
        <f t="shared" si="395"/>
        <v>2</v>
      </c>
      <c r="AG678">
        <v>2</v>
      </c>
      <c r="AH678">
        <f t="shared" si="384"/>
        <v>88</v>
      </c>
      <c r="AI678">
        <f t="shared" si="385"/>
        <v>8.8000000000000007</v>
      </c>
      <c r="AJ678">
        <f t="shared" si="386"/>
        <v>1056</v>
      </c>
      <c r="AK678">
        <f t="shared" si="387"/>
        <v>105.60000000000001</v>
      </c>
      <c r="AL678">
        <f t="shared" si="388"/>
        <v>29.333333333333332</v>
      </c>
      <c r="AM678">
        <f t="shared" si="389"/>
        <v>2.9333333333333336</v>
      </c>
      <c r="AN678">
        <f t="shared" si="390"/>
        <v>1.5</v>
      </c>
      <c r="AO678">
        <f t="shared" si="391"/>
        <v>1.5</v>
      </c>
      <c r="AP678">
        <f t="shared" si="392"/>
        <v>3</v>
      </c>
      <c r="AQ678">
        <v>102</v>
      </c>
      <c r="AR678">
        <v>1</v>
      </c>
    </row>
    <row r="679" spans="1:44" x14ac:dyDescent="0.15">
      <c r="A679">
        <f t="shared" si="393"/>
        <v>1102023</v>
      </c>
      <c r="B679" s="21" t="s">
        <v>268</v>
      </c>
      <c r="C679">
        <v>2</v>
      </c>
      <c r="D679">
        <v>2</v>
      </c>
      <c r="E679">
        <v>3</v>
      </c>
      <c r="F679" s="6" t="s">
        <v>387</v>
      </c>
      <c r="G679" s="6" t="s">
        <v>388</v>
      </c>
      <c r="H679" s="2">
        <v>0</v>
      </c>
      <c r="I679" s="2">
        <v>0</v>
      </c>
      <c r="J679" s="2">
        <f t="shared" si="375"/>
        <v>3</v>
      </c>
      <c r="K679" s="2">
        <f t="shared" si="376"/>
        <v>1.5</v>
      </c>
      <c r="L679" s="2">
        <f t="shared" si="377"/>
        <v>1.5</v>
      </c>
      <c r="M679" s="2">
        <v>10</v>
      </c>
      <c r="N679" s="2">
        <f t="shared" si="378"/>
        <v>88</v>
      </c>
      <c r="O679" s="2">
        <f t="shared" si="379"/>
        <v>8.8000000000000007</v>
      </c>
      <c r="P679" s="2">
        <f t="shared" si="380"/>
        <v>1056</v>
      </c>
      <c r="Q679" s="2">
        <f t="shared" si="381"/>
        <v>105.6</v>
      </c>
      <c r="R679" s="2">
        <f t="shared" si="382"/>
        <v>29.33</v>
      </c>
      <c r="S679" s="2">
        <f t="shared" si="383"/>
        <v>2.93</v>
      </c>
      <c r="T679" s="2">
        <v>0</v>
      </c>
      <c r="U679" s="2">
        <v>0</v>
      </c>
      <c r="V679" s="2">
        <v>0</v>
      </c>
      <c r="W679" s="2">
        <v>0</v>
      </c>
      <c r="X679" s="2">
        <v>0</v>
      </c>
      <c r="Y679" s="25">
        <v>532001</v>
      </c>
      <c r="Z679" s="26" t="s">
        <v>710</v>
      </c>
      <c r="AA679" s="4">
        <v>1</v>
      </c>
      <c r="AB679" s="4">
        <v>0</v>
      </c>
      <c r="AC679" s="4"/>
      <c r="AD679" s="4">
        <f t="shared" si="394"/>
        <v>2361.3004800000003</v>
      </c>
      <c r="AF679" s="1" t="str">
        <f t="shared" si="395"/>
        <v>2</v>
      </c>
      <c r="AG679">
        <v>2</v>
      </c>
      <c r="AH679">
        <f t="shared" si="384"/>
        <v>88</v>
      </c>
      <c r="AI679">
        <f t="shared" si="385"/>
        <v>8.8000000000000007</v>
      </c>
      <c r="AJ679">
        <f t="shared" si="386"/>
        <v>1056</v>
      </c>
      <c r="AK679">
        <f t="shared" si="387"/>
        <v>105.60000000000001</v>
      </c>
      <c r="AL679">
        <f t="shared" si="388"/>
        <v>29.333333333333332</v>
      </c>
      <c r="AM679">
        <f t="shared" si="389"/>
        <v>2.9333333333333336</v>
      </c>
      <c r="AN679">
        <f t="shared" si="390"/>
        <v>1.5</v>
      </c>
      <c r="AO679">
        <f t="shared" si="391"/>
        <v>1.5</v>
      </c>
      <c r="AP679">
        <f t="shared" si="392"/>
        <v>3</v>
      </c>
      <c r="AQ679">
        <v>102</v>
      </c>
      <c r="AR679">
        <v>1</v>
      </c>
    </row>
    <row r="680" spans="1:44" x14ac:dyDescent="0.15">
      <c r="A680">
        <f t="shared" si="393"/>
        <v>1102024</v>
      </c>
      <c r="B680" s="21" t="s">
        <v>271</v>
      </c>
      <c r="C680">
        <v>2</v>
      </c>
      <c r="D680">
        <v>2</v>
      </c>
      <c r="E680">
        <v>4</v>
      </c>
      <c r="F680" s="6" t="s">
        <v>389</v>
      </c>
      <c r="G680" s="6" t="s">
        <v>390</v>
      </c>
      <c r="H680" s="2">
        <v>0</v>
      </c>
      <c r="I680" s="2">
        <v>0</v>
      </c>
      <c r="J680" s="2">
        <f t="shared" si="375"/>
        <v>3</v>
      </c>
      <c r="K680" s="2">
        <f t="shared" si="376"/>
        <v>1.5</v>
      </c>
      <c r="L680" s="2">
        <f t="shared" si="377"/>
        <v>1.5</v>
      </c>
      <c r="M680" s="2">
        <v>10</v>
      </c>
      <c r="N680" s="2">
        <f t="shared" si="378"/>
        <v>88</v>
      </c>
      <c r="O680" s="2">
        <f t="shared" si="379"/>
        <v>8.8000000000000007</v>
      </c>
      <c r="P680" s="2">
        <f t="shared" si="380"/>
        <v>1056</v>
      </c>
      <c r="Q680" s="2">
        <f t="shared" si="381"/>
        <v>105.6</v>
      </c>
      <c r="R680" s="2">
        <f t="shared" si="382"/>
        <v>29.33</v>
      </c>
      <c r="S680" s="2">
        <f t="shared" si="383"/>
        <v>2.93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25">
        <v>532001</v>
      </c>
      <c r="Z680" s="26" t="s">
        <v>710</v>
      </c>
      <c r="AA680" s="4">
        <v>1</v>
      </c>
      <c r="AB680" s="4">
        <v>0</v>
      </c>
      <c r="AC680" s="4"/>
      <c r="AD680" s="4">
        <f t="shared" si="394"/>
        <v>2361.3004800000003</v>
      </c>
      <c r="AF680" s="1" t="str">
        <f t="shared" si="395"/>
        <v>2</v>
      </c>
      <c r="AG680">
        <v>2</v>
      </c>
      <c r="AH680">
        <f t="shared" si="384"/>
        <v>88</v>
      </c>
      <c r="AI680">
        <f t="shared" si="385"/>
        <v>8.8000000000000007</v>
      </c>
      <c r="AJ680">
        <f t="shared" si="386"/>
        <v>1056</v>
      </c>
      <c r="AK680">
        <f t="shared" si="387"/>
        <v>105.60000000000001</v>
      </c>
      <c r="AL680">
        <f t="shared" si="388"/>
        <v>29.333333333333332</v>
      </c>
      <c r="AM680">
        <f t="shared" si="389"/>
        <v>2.9333333333333336</v>
      </c>
      <c r="AN680">
        <f t="shared" si="390"/>
        <v>1.5</v>
      </c>
      <c r="AO680">
        <f t="shared" si="391"/>
        <v>1.5</v>
      </c>
      <c r="AP680">
        <f t="shared" si="392"/>
        <v>3</v>
      </c>
      <c r="AQ680">
        <v>102</v>
      </c>
      <c r="AR680">
        <v>1</v>
      </c>
    </row>
    <row r="681" spans="1:44" x14ac:dyDescent="0.15">
      <c r="A681">
        <f t="shared" si="393"/>
        <v>1102025</v>
      </c>
      <c r="B681" s="21" t="s">
        <v>274</v>
      </c>
      <c r="C681">
        <v>2</v>
      </c>
      <c r="D681">
        <v>2</v>
      </c>
      <c r="E681">
        <v>5</v>
      </c>
      <c r="F681" s="6" t="s">
        <v>391</v>
      </c>
      <c r="G681" s="6" t="s">
        <v>392</v>
      </c>
      <c r="H681">
        <v>0</v>
      </c>
      <c r="I681" s="2">
        <v>0</v>
      </c>
      <c r="J681" s="2">
        <f t="shared" si="375"/>
        <v>3</v>
      </c>
      <c r="K681" s="2">
        <f t="shared" si="376"/>
        <v>1.5</v>
      </c>
      <c r="L681" s="2">
        <f t="shared" si="377"/>
        <v>1.5</v>
      </c>
      <c r="M681" s="2">
        <v>10</v>
      </c>
      <c r="N681" s="2">
        <f t="shared" si="378"/>
        <v>88</v>
      </c>
      <c r="O681" s="2">
        <f t="shared" si="379"/>
        <v>8.8000000000000007</v>
      </c>
      <c r="P681" s="2">
        <f t="shared" si="380"/>
        <v>1056</v>
      </c>
      <c r="Q681" s="2">
        <f t="shared" si="381"/>
        <v>105.6</v>
      </c>
      <c r="R681" s="2">
        <f t="shared" si="382"/>
        <v>29.33</v>
      </c>
      <c r="S681" s="2">
        <f t="shared" si="383"/>
        <v>2.93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25">
        <v>532001</v>
      </c>
      <c r="Z681" s="26" t="s">
        <v>710</v>
      </c>
      <c r="AA681" s="4">
        <v>1</v>
      </c>
      <c r="AB681" s="4">
        <v>0</v>
      </c>
      <c r="AC681" s="4"/>
      <c r="AD681" s="4">
        <f t="shared" si="394"/>
        <v>2361.3004800000003</v>
      </c>
      <c r="AF681" s="1" t="str">
        <f t="shared" si="395"/>
        <v>2</v>
      </c>
      <c r="AG681">
        <v>2</v>
      </c>
      <c r="AH681">
        <f t="shared" si="384"/>
        <v>88</v>
      </c>
      <c r="AI681">
        <f t="shared" si="385"/>
        <v>8.8000000000000007</v>
      </c>
      <c r="AJ681">
        <f t="shared" si="386"/>
        <v>1056</v>
      </c>
      <c r="AK681">
        <f t="shared" si="387"/>
        <v>105.60000000000001</v>
      </c>
      <c r="AL681">
        <f t="shared" si="388"/>
        <v>29.333333333333332</v>
      </c>
      <c r="AM681">
        <f t="shared" si="389"/>
        <v>2.9333333333333336</v>
      </c>
      <c r="AN681">
        <f t="shared" si="390"/>
        <v>1.5</v>
      </c>
      <c r="AO681">
        <f t="shared" si="391"/>
        <v>1.5</v>
      </c>
      <c r="AP681">
        <f t="shared" si="392"/>
        <v>3</v>
      </c>
      <c r="AQ681">
        <v>102</v>
      </c>
      <c r="AR681">
        <v>1</v>
      </c>
    </row>
    <row r="682" spans="1:44" x14ac:dyDescent="0.15">
      <c r="A682">
        <f t="shared" si="393"/>
        <v>1102031</v>
      </c>
      <c r="B682" s="21" t="s">
        <v>262</v>
      </c>
      <c r="C682">
        <v>3</v>
      </c>
      <c r="D682">
        <v>2</v>
      </c>
      <c r="E682">
        <v>1</v>
      </c>
      <c r="F682" s="6" t="s">
        <v>383</v>
      </c>
      <c r="G682" s="6" t="s">
        <v>384</v>
      </c>
      <c r="H682" s="2">
        <v>0</v>
      </c>
      <c r="I682" s="2">
        <v>0</v>
      </c>
      <c r="J682" s="2">
        <f t="shared" si="375"/>
        <v>3</v>
      </c>
      <c r="K682" s="2">
        <f t="shared" si="376"/>
        <v>1.5</v>
      </c>
      <c r="L682" s="2">
        <f t="shared" si="377"/>
        <v>1.5</v>
      </c>
      <c r="M682" s="2">
        <v>10</v>
      </c>
      <c r="N682" s="2">
        <f t="shared" si="378"/>
        <v>96</v>
      </c>
      <c r="O682" s="2">
        <f t="shared" si="379"/>
        <v>9.6</v>
      </c>
      <c r="P682" s="2">
        <f t="shared" si="380"/>
        <v>1152</v>
      </c>
      <c r="Q682" s="2">
        <f t="shared" si="381"/>
        <v>115.2</v>
      </c>
      <c r="R682" s="2">
        <f t="shared" si="382"/>
        <v>32</v>
      </c>
      <c r="S682" s="2">
        <f t="shared" si="383"/>
        <v>3.2</v>
      </c>
      <c r="T682" s="2">
        <v>0</v>
      </c>
      <c r="U682" s="2">
        <v>0</v>
      </c>
      <c r="V682" s="2">
        <v>0</v>
      </c>
      <c r="W682" s="2">
        <v>0</v>
      </c>
      <c r="X682" s="2">
        <v>0</v>
      </c>
      <c r="Y682" s="25">
        <v>532001</v>
      </c>
      <c r="Z682" s="26" t="s">
        <v>710</v>
      </c>
      <c r="AA682" s="4">
        <v>1</v>
      </c>
      <c r="AB682" s="4">
        <v>0</v>
      </c>
      <c r="AC682" s="4"/>
      <c r="AD682" s="4">
        <f t="shared" si="394"/>
        <v>2810.1427199999998</v>
      </c>
      <c r="AF682" s="1" t="str">
        <f t="shared" si="395"/>
        <v>2</v>
      </c>
      <c r="AG682">
        <v>3</v>
      </c>
      <c r="AH682">
        <f t="shared" si="384"/>
        <v>96</v>
      </c>
      <c r="AI682">
        <f t="shared" si="385"/>
        <v>9.6000000000000014</v>
      </c>
      <c r="AJ682">
        <f t="shared" si="386"/>
        <v>1152</v>
      </c>
      <c r="AK682">
        <f t="shared" si="387"/>
        <v>115.2</v>
      </c>
      <c r="AL682">
        <f t="shared" si="388"/>
        <v>32</v>
      </c>
      <c r="AM682">
        <f t="shared" si="389"/>
        <v>3.2</v>
      </c>
      <c r="AN682">
        <f t="shared" si="390"/>
        <v>1.5</v>
      </c>
      <c r="AO682">
        <f t="shared" si="391"/>
        <v>1.5</v>
      </c>
      <c r="AP682">
        <f t="shared" si="392"/>
        <v>3</v>
      </c>
      <c r="AQ682">
        <v>102</v>
      </c>
      <c r="AR682">
        <v>1</v>
      </c>
    </row>
    <row r="683" spans="1:44" x14ac:dyDescent="0.15">
      <c r="A683">
        <f t="shared" si="393"/>
        <v>1102032</v>
      </c>
      <c r="B683" s="21" t="s">
        <v>265</v>
      </c>
      <c r="C683">
        <v>3</v>
      </c>
      <c r="D683">
        <v>2</v>
      </c>
      <c r="E683">
        <v>2</v>
      </c>
      <c r="F683" s="6" t="s">
        <v>385</v>
      </c>
      <c r="G683" s="6" t="s">
        <v>386</v>
      </c>
      <c r="H683" s="2">
        <v>0</v>
      </c>
      <c r="I683" s="2">
        <v>0</v>
      </c>
      <c r="J683" s="2">
        <f t="shared" si="375"/>
        <v>3</v>
      </c>
      <c r="K683" s="2">
        <f t="shared" si="376"/>
        <v>1.5</v>
      </c>
      <c r="L683" s="2">
        <f t="shared" si="377"/>
        <v>1.5</v>
      </c>
      <c r="M683" s="2">
        <v>10</v>
      </c>
      <c r="N683" s="2">
        <f t="shared" si="378"/>
        <v>96</v>
      </c>
      <c r="O683" s="2">
        <f t="shared" si="379"/>
        <v>9.6</v>
      </c>
      <c r="P683" s="2">
        <f t="shared" si="380"/>
        <v>1152</v>
      </c>
      <c r="Q683" s="2">
        <f t="shared" si="381"/>
        <v>115.2</v>
      </c>
      <c r="R683" s="2">
        <f t="shared" si="382"/>
        <v>32</v>
      </c>
      <c r="S683" s="2">
        <f t="shared" si="383"/>
        <v>3.2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25">
        <v>532001</v>
      </c>
      <c r="Z683" s="26" t="s">
        <v>710</v>
      </c>
      <c r="AA683" s="4">
        <v>1</v>
      </c>
      <c r="AB683" s="4">
        <v>0</v>
      </c>
      <c r="AC683" s="4"/>
      <c r="AD683" s="4">
        <f t="shared" si="394"/>
        <v>2810.1427199999998</v>
      </c>
      <c r="AF683" s="1" t="str">
        <f t="shared" si="395"/>
        <v>2</v>
      </c>
      <c r="AG683">
        <v>3</v>
      </c>
      <c r="AH683">
        <f t="shared" si="384"/>
        <v>96</v>
      </c>
      <c r="AI683">
        <f t="shared" si="385"/>
        <v>9.6000000000000014</v>
      </c>
      <c r="AJ683">
        <f t="shared" si="386"/>
        <v>1152</v>
      </c>
      <c r="AK683">
        <f t="shared" si="387"/>
        <v>115.2</v>
      </c>
      <c r="AL683">
        <f t="shared" si="388"/>
        <v>32</v>
      </c>
      <c r="AM683">
        <f t="shared" si="389"/>
        <v>3.2</v>
      </c>
      <c r="AN683">
        <f t="shared" si="390"/>
        <v>1.5</v>
      </c>
      <c r="AO683">
        <f t="shared" si="391"/>
        <v>1.5</v>
      </c>
      <c r="AP683">
        <f t="shared" si="392"/>
        <v>3</v>
      </c>
      <c r="AQ683">
        <v>102</v>
      </c>
      <c r="AR683">
        <v>1</v>
      </c>
    </row>
    <row r="684" spans="1:44" x14ac:dyDescent="0.15">
      <c r="A684">
        <f t="shared" si="393"/>
        <v>1102033</v>
      </c>
      <c r="B684" s="21" t="s">
        <v>268</v>
      </c>
      <c r="C684">
        <v>3</v>
      </c>
      <c r="D684">
        <v>2</v>
      </c>
      <c r="E684">
        <v>3</v>
      </c>
      <c r="F684" s="6" t="s">
        <v>387</v>
      </c>
      <c r="G684" s="6" t="s">
        <v>388</v>
      </c>
      <c r="H684" s="2">
        <v>0</v>
      </c>
      <c r="I684" s="2">
        <v>0</v>
      </c>
      <c r="J684" s="2">
        <f t="shared" si="375"/>
        <v>3</v>
      </c>
      <c r="K684" s="2">
        <f t="shared" si="376"/>
        <v>1.5</v>
      </c>
      <c r="L684" s="2">
        <f t="shared" si="377"/>
        <v>1.5</v>
      </c>
      <c r="M684" s="2">
        <v>10</v>
      </c>
      <c r="N684" s="2">
        <f t="shared" si="378"/>
        <v>96</v>
      </c>
      <c r="O684" s="2">
        <f t="shared" si="379"/>
        <v>9.6</v>
      </c>
      <c r="P684" s="2">
        <f t="shared" si="380"/>
        <v>1152</v>
      </c>
      <c r="Q684" s="2">
        <f t="shared" si="381"/>
        <v>115.2</v>
      </c>
      <c r="R684" s="2">
        <f t="shared" si="382"/>
        <v>32</v>
      </c>
      <c r="S684" s="2">
        <f t="shared" si="383"/>
        <v>3.2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25">
        <v>532001</v>
      </c>
      <c r="Z684" s="26" t="s">
        <v>710</v>
      </c>
      <c r="AA684" s="4">
        <v>1</v>
      </c>
      <c r="AB684" s="4">
        <v>0</v>
      </c>
      <c r="AC684" s="4"/>
      <c r="AD684" s="4">
        <f t="shared" si="394"/>
        <v>2810.1427199999998</v>
      </c>
      <c r="AF684" s="1" t="str">
        <f t="shared" si="395"/>
        <v>2</v>
      </c>
      <c r="AG684">
        <v>3</v>
      </c>
      <c r="AH684">
        <f t="shared" si="384"/>
        <v>96</v>
      </c>
      <c r="AI684">
        <f t="shared" si="385"/>
        <v>9.6000000000000014</v>
      </c>
      <c r="AJ684">
        <f t="shared" si="386"/>
        <v>1152</v>
      </c>
      <c r="AK684">
        <f t="shared" si="387"/>
        <v>115.2</v>
      </c>
      <c r="AL684">
        <f t="shared" si="388"/>
        <v>32</v>
      </c>
      <c r="AM684">
        <f t="shared" si="389"/>
        <v>3.2</v>
      </c>
      <c r="AN684">
        <f t="shared" si="390"/>
        <v>1.5</v>
      </c>
      <c r="AO684">
        <f t="shared" si="391"/>
        <v>1.5</v>
      </c>
      <c r="AP684">
        <f t="shared" si="392"/>
        <v>3</v>
      </c>
      <c r="AQ684">
        <v>102</v>
      </c>
      <c r="AR684">
        <v>1</v>
      </c>
    </row>
    <row r="685" spans="1:44" x14ac:dyDescent="0.15">
      <c r="A685">
        <f t="shared" si="393"/>
        <v>1102034</v>
      </c>
      <c r="B685" s="21" t="s">
        <v>271</v>
      </c>
      <c r="C685">
        <v>3</v>
      </c>
      <c r="D685">
        <v>2</v>
      </c>
      <c r="E685">
        <v>4</v>
      </c>
      <c r="F685" s="6" t="s">
        <v>389</v>
      </c>
      <c r="G685" s="6" t="s">
        <v>390</v>
      </c>
      <c r="H685" s="2">
        <v>0</v>
      </c>
      <c r="I685" s="2">
        <v>0</v>
      </c>
      <c r="J685" s="2">
        <f t="shared" si="375"/>
        <v>3</v>
      </c>
      <c r="K685" s="2">
        <f t="shared" si="376"/>
        <v>1.5</v>
      </c>
      <c r="L685" s="2">
        <f t="shared" si="377"/>
        <v>1.5</v>
      </c>
      <c r="M685" s="2">
        <v>10</v>
      </c>
      <c r="N685" s="2">
        <f t="shared" si="378"/>
        <v>96</v>
      </c>
      <c r="O685" s="2">
        <f t="shared" si="379"/>
        <v>9.6</v>
      </c>
      <c r="P685" s="2">
        <f t="shared" si="380"/>
        <v>1152</v>
      </c>
      <c r="Q685" s="2">
        <f t="shared" si="381"/>
        <v>115.2</v>
      </c>
      <c r="R685" s="2">
        <f t="shared" si="382"/>
        <v>32</v>
      </c>
      <c r="S685" s="2">
        <f t="shared" si="383"/>
        <v>3.2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25">
        <v>532001</v>
      </c>
      <c r="Z685" s="26" t="s">
        <v>710</v>
      </c>
      <c r="AA685" s="4">
        <v>1</v>
      </c>
      <c r="AB685" s="4">
        <v>0</v>
      </c>
      <c r="AC685" s="4"/>
      <c r="AD685" s="4">
        <f t="shared" si="394"/>
        <v>2810.1427199999998</v>
      </c>
      <c r="AF685" s="1" t="str">
        <f t="shared" si="395"/>
        <v>2</v>
      </c>
      <c r="AG685">
        <v>3</v>
      </c>
      <c r="AH685">
        <f t="shared" si="384"/>
        <v>96</v>
      </c>
      <c r="AI685">
        <f t="shared" si="385"/>
        <v>9.6000000000000014</v>
      </c>
      <c r="AJ685">
        <f t="shared" si="386"/>
        <v>1152</v>
      </c>
      <c r="AK685">
        <f t="shared" si="387"/>
        <v>115.2</v>
      </c>
      <c r="AL685">
        <f t="shared" si="388"/>
        <v>32</v>
      </c>
      <c r="AM685">
        <f t="shared" si="389"/>
        <v>3.2</v>
      </c>
      <c r="AN685">
        <f t="shared" si="390"/>
        <v>1.5</v>
      </c>
      <c r="AO685">
        <f t="shared" si="391"/>
        <v>1.5</v>
      </c>
      <c r="AP685">
        <f t="shared" si="392"/>
        <v>3</v>
      </c>
      <c r="AQ685">
        <v>102</v>
      </c>
      <c r="AR685">
        <v>1</v>
      </c>
    </row>
    <row r="686" spans="1:44" x14ac:dyDescent="0.15">
      <c r="A686">
        <f t="shared" si="393"/>
        <v>1102035</v>
      </c>
      <c r="B686" s="21" t="s">
        <v>274</v>
      </c>
      <c r="C686">
        <v>3</v>
      </c>
      <c r="D686">
        <v>2</v>
      </c>
      <c r="E686">
        <v>5</v>
      </c>
      <c r="F686" s="6" t="s">
        <v>391</v>
      </c>
      <c r="G686" s="6" t="s">
        <v>392</v>
      </c>
      <c r="H686">
        <v>0</v>
      </c>
      <c r="I686" s="2">
        <v>0</v>
      </c>
      <c r="J686" s="2">
        <f t="shared" si="375"/>
        <v>3</v>
      </c>
      <c r="K686" s="2">
        <f t="shared" si="376"/>
        <v>1.5</v>
      </c>
      <c r="L686" s="2">
        <f t="shared" si="377"/>
        <v>1.5</v>
      </c>
      <c r="M686" s="2">
        <v>10</v>
      </c>
      <c r="N686" s="2">
        <f t="shared" si="378"/>
        <v>96</v>
      </c>
      <c r="O686" s="2">
        <f t="shared" si="379"/>
        <v>9.6</v>
      </c>
      <c r="P686" s="2">
        <f t="shared" si="380"/>
        <v>1152</v>
      </c>
      <c r="Q686" s="2">
        <f t="shared" si="381"/>
        <v>115.2</v>
      </c>
      <c r="R686" s="2">
        <f t="shared" si="382"/>
        <v>32</v>
      </c>
      <c r="S686" s="2">
        <f t="shared" si="383"/>
        <v>3.2</v>
      </c>
      <c r="T686" s="2">
        <v>0</v>
      </c>
      <c r="U686" s="2">
        <v>0</v>
      </c>
      <c r="V686" s="2">
        <v>0</v>
      </c>
      <c r="W686" s="2">
        <v>0</v>
      </c>
      <c r="X686" s="2">
        <v>0</v>
      </c>
      <c r="Y686" s="25">
        <v>532001</v>
      </c>
      <c r="Z686" s="26" t="s">
        <v>710</v>
      </c>
      <c r="AA686" s="4">
        <v>1</v>
      </c>
      <c r="AB686" s="4">
        <v>0</v>
      </c>
      <c r="AC686" s="4"/>
      <c r="AD686" s="4">
        <f t="shared" si="394"/>
        <v>2810.1427199999998</v>
      </c>
      <c r="AF686" s="1" t="str">
        <f t="shared" si="395"/>
        <v>2</v>
      </c>
      <c r="AG686">
        <v>3</v>
      </c>
      <c r="AH686">
        <f t="shared" si="384"/>
        <v>96</v>
      </c>
      <c r="AI686">
        <f t="shared" si="385"/>
        <v>9.6000000000000014</v>
      </c>
      <c r="AJ686">
        <f t="shared" si="386"/>
        <v>1152</v>
      </c>
      <c r="AK686">
        <f t="shared" si="387"/>
        <v>115.2</v>
      </c>
      <c r="AL686">
        <f t="shared" si="388"/>
        <v>32</v>
      </c>
      <c r="AM686">
        <f t="shared" si="389"/>
        <v>3.2</v>
      </c>
      <c r="AN686">
        <f t="shared" si="390"/>
        <v>1.5</v>
      </c>
      <c r="AO686">
        <f t="shared" si="391"/>
        <v>1.5</v>
      </c>
      <c r="AP686">
        <f t="shared" si="392"/>
        <v>3</v>
      </c>
      <c r="AQ686">
        <v>102</v>
      </c>
      <c r="AR686">
        <v>1</v>
      </c>
    </row>
    <row r="687" spans="1:44" x14ac:dyDescent="0.15">
      <c r="A687">
        <f t="shared" si="393"/>
        <v>1102041</v>
      </c>
      <c r="B687" s="21" t="s">
        <v>262</v>
      </c>
      <c r="C687">
        <v>4</v>
      </c>
      <c r="D687">
        <v>2</v>
      </c>
      <c r="E687">
        <v>1</v>
      </c>
      <c r="F687" s="6" t="s">
        <v>383</v>
      </c>
      <c r="G687" s="6" t="s">
        <v>384</v>
      </c>
      <c r="H687" s="2">
        <v>0</v>
      </c>
      <c r="I687" s="2">
        <v>0</v>
      </c>
      <c r="J687" s="2">
        <f t="shared" si="375"/>
        <v>3</v>
      </c>
      <c r="K687" s="2">
        <f t="shared" si="376"/>
        <v>1.5</v>
      </c>
      <c r="L687" s="2">
        <f t="shared" si="377"/>
        <v>1.5</v>
      </c>
      <c r="M687" s="2">
        <v>10</v>
      </c>
      <c r="N687" s="2">
        <f t="shared" si="378"/>
        <v>112</v>
      </c>
      <c r="O687" s="2">
        <f t="shared" si="379"/>
        <v>11.2</v>
      </c>
      <c r="P687" s="2">
        <f t="shared" si="380"/>
        <v>1344</v>
      </c>
      <c r="Q687" s="2">
        <f t="shared" si="381"/>
        <v>134.4</v>
      </c>
      <c r="R687" s="2">
        <f t="shared" si="382"/>
        <v>37.33</v>
      </c>
      <c r="S687" s="2">
        <f t="shared" si="383"/>
        <v>3.73</v>
      </c>
      <c r="T687" s="2">
        <v>0</v>
      </c>
      <c r="U687" s="2">
        <v>0</v>
      </c>
      <c r="V687" s="2">
        <v>0</v>
      </c>
      <c r="W687" s="2">
        <v>0</v>
      </c>
      <c r="X687" s="2">
        <v>0</v>
      </c>
      <c r="Y687" s="25">
        <v>532001</v>
      </c>
      <c r="Z687" s="26" t="s">
        <v>710</v>
      </c>
      <c r="AA687" s="4">
        <v>1</v>
      </c>
      <c r="AB687" s="4">
        <v>0</v>
      </c>
      <c r="AC687" s="4"/>
      <c r="AD687" s="4">
        <f t="shared" si="394"/>
        <v>3824.9164799999999</v>
      </c>
      <c r="AF687" s="1" t="str">
        <f t="shared" si="395"/>
        <v>2</v>
      </c>
      <c r="AG687">
        <v>4</v>
      </c>
      <c r="AH687">
        <f t="shared" si="384"/>
        <v>112</v>
      </c>
      <c r="AI687">
        <f t="shared" si="385"/>
        <v>11.200000000000001</v>
      </c>
      <c r="AJ687">
        <f t="shared" si="386"/>
        <v>1344</v>
      </c>
      <c r="AK687">
        <f t="shared" si="387"/>
        <v>134.4</v>
      </c>
      <c r="AL687">
        <f t="shared" si="388"/>
        <v>37.333333333333336</v>
      </c>
      <c r="AM687">
        <f t="shared" si="389"/>
        <v>3.7333333333333338</v>
      </c>
      <c r="AN687">
        <f t="shared" si="390"/>
        <v>1.5</v>
      </c>
      <c r="AO687">
        <f t="shared" si="391"/>
        <v>1.5</v>
      </c>
      <c r="AP687">
        <f t="shared" si="392"/>
        <v>3</v>
      </c>
      <c r="AQ687">
        <v>102</v>
      </c>
      <c r="AR687">
        <v>1</v>
      </c>
    </row>
    <row r="688" spans="1:44" x14ac:dyDescent="0.15">
      <c r="A688">
        <f t="shared" si="393"/>
        <v>1102042</v>
      </c>
      <c r="B688" s="21" t="s">
        <v>265</v>
      </c>
      <c r="C688">
        <v>4</v>
      </c>
      <c r="D688">
        <v>2</v>
      </c>
      <c r="E688">
        <v>2</v>
      </c>
      <c r="F688" s="6" t="s">
        <v>385</v>
      </c>
      <c r="G688" s="6" t="s">
        <v>386</v>
      </c>
      <c r="H688" s="2">
        <v>0</v>
      </c>
      <c r="I688" s="2">
        <v>0</v>
      </c>
      <c r="J688" s="2">
        <f t="shared" si="375"/>
        <v>3</v>
      </c>
      <c r="K688" s="2">
        <f t="shared" si="376"/>
        <v>1.5</v>
      </c>
      <c r="L688" s="2">
        <f t="shared" si="377"/>
        <v>1.5</v>
      </c>
      <c r="M688" s="2">
        <v>10</v>
      </c>
      <c r="N688" s="2">
        <f t="shared" si="378"/>
        <v>112</v>
      </c>
      <c r="O688" s="2">
        <f t="shared" si="379"/>
        <v>11.2</v>
      </c>
      <c r="P688" s="2">
        <f t="shared" si="380"/>
        <v>1344</v>
      </c>
      <c r="Q688" s="2">
        <f t="shared" si="381"/>
        <v>134.4</v>
      </c>
      <c r="R688" s="2">
        <f t="shared" si="382"/>
        <v>37.33</v>
      </c>
      <c r="S688" s="2">
        <f t="shared" si="383"/>
        <v>3.73</v>
      </c>
      <c r="T688" s="2">
        <v>0</v>
      </c>
      <c r="U688" s="2">
        <v>0</v>
      </c>
      <c r="V688" s="2">
        <v>0</v>
      </c>
      <c r="W688" s="2">
        <v>0</v>
      </c>
      <c r="X688" s="2">
        <v>0</v>
      </c>
      <c r="Y688" s="25">
        <v>532001</v>
      </c>
      <c r="Z688" s="26" t="s">
        <v>710</v>
      </c>
      <c r="AA688" s="4">
        <v>1</v>
      </c>
      <c r="AB688" s="4">
        <v>0</v>
      </c>
      <c r="AC688" s="4"/>
      <c r="AD688" s="4">
        <f t="shared" si="394"/>
        <v>3824.9164799999999</v>
      </c>
      <c r="AF688" s="1" t="str">
        <f t="shared" si="395"/>
        <v>2</v>
      </c>
      <c r="AG688">
        <v>4</v>
      </c>
      <c r="AH688">
        <f t="shared" si="384"/>
        <v>112</v>
      </c>
      <c r="AI688">
        <f t="shared" si="385"/>
        <v>11.200000000000001</v>
      </c>
      <c r="AJ688">
        <f t="shared" si="386"/>
        <v>1344</v>
      </c>
      <c r="AK688">
        <f t="shared" si="387"/>
        <v>134.4</v>
      </c>
      <c r="AL688">
        <f t="shared" si="388"/>
        <v>37.333333333333336</v>
      </c>
      <c r="AM688">
        <f t="shared" si="389"/>
        <v>3.7333333333333338</v>
      </c>
      <c r="AN688">
        <f t="shared" si="390"/>
        <v>1.5</v>
      </c>
      <c r="AO688">
        <f t="shared" si="391"/>
        <v>1.5</v>
      </c>
      <c r="AP688">
        <f t="shared" si="392"/>
        <v>3</v>
      </c>
      <c r="AQ688">
        <v>102</v>
      </c>
      <c r="AR688">
        <v>1</v>
      </c>
    </row>
    <row r="689" spans="1:44" x14ac:dyDescent="0.15">
      <c r="A689">
        <f t="shared" si="393"/>
        <v>1102043</v>
      </c>
      <c r="B689" s="21" t="s">
        <v>268</v>
      </c>
      <c r="C689">
        <v>4</v>
      </c>
      <c r="D689">
        <v>2</v>
      </c>
      <c r="E689">
        <v>3</v>
      </c>
      <c r="F689" s="6" t="s">
        <v>387</v>
      </c>
      <c r="G689" s="6" t="s">
        <v>388</v>
      </c>
      <c r="H689" s="2">
        <v>0</v>
      </c>
      <c r="I689" s="2">
        <v>0</v>
      </c>
      <c r="J689" s="2">
        <f t="shared" si="375"/>
        <v>3</v>
      </c>
      <c r="K689" s="2">
        <f t="shared" si="376"/>
        <v>1.5</v>
      </c>
      <c r="L689" s="2">
        <f t="shared" si="377"/>
        <v>1.5</v>
      </c>
      <c r="M689" s="2">
        <v>10</v>
      </c>
      <c r="N689" s="2">
        <f t="shared" si="378"/>
        <v>112</v>
      </c>
      <c r="O689" s="2">
        <f t="shared" si="379"/>
        <v>11.2</v>
      </c>
      <c r="P689" s="2">
        <f t="shared" si="380"/>
        <v>1344</v>
      </c>
      <c r="Q689" s="2">
        <f t="shared" si="381"/>
        <v>134.4</v>
      </c>
      <c r="R689" s="2">
        <f t="shared" si="382"/>
        <v>37.33</v>
      </c>
      <c r="S689" s="2">
        <f t="shared" si="383"/>
        <v>3.73</v>
      </c>
      <c r="T689" s="2">
        <v>0</v>
      </c>
      <c r="U689" s="2">
        <v>0</v>
      </c>
      <c r="V689" s="2">
        <v>0</v>
      </c>
      <c r="W689" s="2">
        <v>0</v>
      </c>
      <c r="X689" s="2">
        <v>0</v>
      </c>
      <c r="Y689" s="25">
        <v>532001</v>
      </c>
      <c r="Z689" s="26" t="s">
        <v>710</v>
      </c>
      <c r="AA689" s="4">
        <v>1</v>
      </c>
      <c r="AB689" s="4">
        <v>0</v>
      </c>
      <c r="AC689" s="4"/>
      <c r="AD689" s="4">
        <f t="shared" si="394"/>
        <v>3824.9164799999999</v>
      </c>
      <c r="AF689" s="1" t="str">
        <f t="shared" si="395"/>
        <v>2</v>
      </c>
      <c r="AG689">
        <v>4</v>
      </c>
      <c r="AH689">
        <f t="shared" si="384"/>
        <v>112</v>
      </c>
      <c r="AI689">
        <f t="shared" si="385"/>
        <v>11.200000000000001</v>
      </c>
      <c r="AJ689">
        <f t="shared" si="386"/>
        <v>1344</v>
      </c>
      <c r="AK689">
        <f t="shared" si="387"/>
        <v>134.4</v>
      </c>
      <c r="AL689">
        <f t="shared" si="388"/>
        <v>37.333333333333336</v>
      </c>
      <c r="AM689">
        <f t="shared" si="389"/>
        <v>3.7333333333333338</v>
      </c>
      <c r="AN689">
        <f t="shared" si="390"/>
        <v>1.5</v>
      </c>
      <c r="AO689">
        <f t="shared" si="391"/>
        <v>1.5</v>
      </c>
      <c r="AP689">
        <f t="shared" si="392"/>
        <v>3</v>
      </c>
      <c r="AQ689">
        <v>102</v>
      </c>
      <c r="AR689">
        <v>1</v>
      </c>
    </row>
    <row r="690" spans="1:44" x14ac:dyDescent="0.15">
      <c r="A690">
        <f t="shared" si="393"/>
        <v>1102044</v>
      </c>
      <c r="B690" s="21" t="s">
        <v>271</v>
      </c>
      <c r="C690">
        <v>4</v>
      </c>
      <c r="D690">
        <v>2</v>
      </c>
      <c r="E690">
        <v>4</v>
      </c>
      <c r="F690" s="6" t="s">
        <v>389</v>
      </c>
      <c r="G690" s="6" t="s">
        <v>390</v>
      </c>
      <c r="H690" s="2">
        <v>0</v>
      </c>
      <c r="I690" s="2">
        <v>0</v>
      </c>
      <c r="J690" s="2">
        <f t="shared" si="375"/>
        <v>3</v>
      </c>
      <c r="K690" s="2">
        <f t="shared" si="376"/>
        <v>1.5</v>
      </c>
      <c r="L690" s="2">
        <f t="shared" si="377"/>
        <v>1.5</v>
      </c>
      <c r="M690" s="2">
        <v>10</v>
      </c>
      <c r="N690" s="2">
        <f t="shared" si="378"/>
        <v>112</v>
      </c>
      <c r="O690" s="2">
        <f t="shared" si="379"/>
        <v>11.2</v>
      </c>
      <c r="P690" s="2">
        <f t="shared" si="380"/>
        <v>1344</v>
      </c>
      <c r="Q690" s="2">
        <f t="shared" si="381"/>
        <v>134.4</v>
      </c>
      <c r="R690" s="2">
        <f t="shared" si="382"/>
        <v>37.33</v>
      </c>
      <c r="S690" s="2">
        <f t="shared" si="383"/>
        <v>3.73</v>
      </c>
      <c r="T690" s="2">
        <v>0</v>
      </c>
      <c r="U690" s="2">
        <v>0</v>
      </c>
      <c r="V690" s="2">
        <v>0</v>
      </c>
      <c r="W690" s="2">
        <v>0</v>
      </c>
      <c r="X690" s="2">
        <v>0</v>
      </c>
      <c r="Y690" s="25">
        <v>532001</v>
      </c>
      <c r="Z690" s="26" t="s">
        <v>710</v>
      </c>
      <c r="AA690" s="4">
        <v>1</v>
      </c>
      <c r="AB690" s="4">
        <v>0</v>
      </c>
      <c r="AC690" s="4"/>
      <c r="AD690" s="4">
        <f t="shared" si="394"/>
        <v>3824.9164799999999</v>
      </c>
      <c r="AF690" s="1" t="str">
        <f t="shared" si="395"/>
        <v>2</v>
      </c>
      <c r="AG690">
        <v>4</v>
      </c>
      <c r="AH690">
        <f t="shared" si="384"/>
        <v>112</v>
      </c>
      <c r="AI690">
        <f t="shared" si="385"/>
        <v>11.200000000000001</v>
      </c>
      <c r="AJ690">
        <f t="shared" si="386"/>
        <v>1344</v>
      </c>
      <c r="AK690">
        <f t="shared" si="387"/>
        <v>134.4</v>
      </c>
      <c r="AL690">
        <f t="shared" si="388"/>
        <v>37.333333333333336</v>
      </c>
      <c r="AM690">
        <f t="shared" si="389"/>
        <v>3.7333333333333338</v>
      </c>
      <c r="AN690">
        <f t="shared" si="390"/>
        <v>1.5</v>
      </c>
      <c r="AO690">
        <f t="shared" si="391"/>
        <v>1.5</v>
      </c>
      <c r="AP690">
        <f t="shared" si="392"/>
        <v>3</v>
      </c>
      <c r="AQ690">
        <v>102</v>
      </c>
      <c r="AR690">
        <v>1</v>
      </c>
    </row>
    <row r="691" spans="1:44" x14ac:dyDescent="0.15">
      <c r="A691">
        <f t="shared" si="393"/>
        <v>1102045</v>
      </c>
      <c r="B691" s="21" t="s">
        <v>274</v>
      </c>
      <c r="C691">
        <v>4</v>
      </c>
      <c r="D691">
        <v>2</v>
      </c>
      <c r="E691">
        <v>5</v>
      </c>
      <c r="F691" s="6" t="s">
        <v>391</v>
      </c>
      <c r="G691" s="6" t="s">
        <v>392</v>
      </c>
      <c r="H691">
        <v>0</v>
      </c>
      <c r="I691" s="2">
        <v>0</v>
      </c>
      <c r="J691" s="2">
        <f t="shared" si="375"/>
        <v>3</v>
      </c>
      <c r="K691" s="2">
        <f t="shared" si="376"/>
        <v>1.5</v>
      </c>
      <c r="L691" s="2">
        <f t="shared" si="377"/>
        <v>1.5</v>
      </c>
      <c r="M691" s="2">
        <v>10</v>
      </c>
      <c r="N691" s="2">
        <f t="shared" si="378"/>
        <v>112</v>
      </c>
      <c r="O691" s="2">
        <f t="shared" si="379"/>
        <v>11.2</v>
      </c>
      <c r="P691" s="2">
        <f t="shared" si="380"/>
        <v>1344</v>
      </c>
      <c r="Q691" s="2">
        <f t="shared" si="381"/>
        <v>134.4</v>
      </c>
      <c r="R691" s="2">
        <f t="shared" si="382"/>
        <v>37.33</v>
      </c>
      <c r="S691" s="2">
        <f t="shared" si="383"/>
        <v>3.73</v>
      </c>
      <c r="T691" s="2">
        <v>0</v>
      </c>
      <c r="U691" s="2">
        <v>0</v>
      </c>
      <c r="V691" s="2">
        <v>0</v>
      </c>
      <c r="W691" s="2">
        <v>0</v>
      </c>
      <c r="X691" s="2">
        <v>0</v>
      </c>
      <c r="Y691" s="25">
        <v>532001</v>
      </c>
      <c r="Z691" s="26" t="s">
        <v>710</v>
      </c>
      <c r="AA691" s="4">
        <v>1</v>
      </c>
      <c r="AB691" s="4">
        <v>0</v>
      </c>
      <c r="AC691" s="4"/>
      <c r="AD691" s="4">
        <f t="shared" si="394"/>
        <v>3824.9164799999999</v>
      </c>
      <c r="AF691" s="1" t="str">
        <f t="shared" si="395"/>
        <v>2</v>
      </c>
      <c r="AG691">
        <v>4</v>
      </c>
      <c r="AH691">
        <f t="shared" si="384"/>
        <v>112</v>
      </c>
      <c r="AI691">
        <f t="shared" si="385"/>
        <v>11.200000000000001</v>
      </c>
      <c r="AJ691">
        <f t="shared" si="386"/>
        <v>1344</v>
      </c>
      <c r="AK691">
        <f t="shared" si="387"/>
        <v>134.4</v>
      </c>
      <c r="AL691">
        <f t="shared" si="388"/>
        <v>37.333333333333336</v>
      </c>
      <c r="AM691">
        <f t="shared" si="389"/>
        <v>3.7333333333333338</v>
      </c>
      <c r="AN691">
        <f t="shared" si="390"/>
        <v>1.5</v>
      </c>
      <c r="AO691">
        <f t="shared" si="391"/>
        <v>1.5</v>
      </c>
      <c r="AP691">
        <f t="shared" si="392"/>
        <v>3</v>
      </c>
      <c r="AQ691">
        <v>102</v>
      </c>
      <c r="AR691">
        <v>1</v>
      </c>
    </row>
    <row r="692" spans="1:44" x14ac:dyDescent="0.15">
      <c r="A692">
        <f t="shared" si="393"/>
        <v>1102051</v>
      </c>
      <c r="B692" s="21" t="s">
        <v>262</v>
      </c>
      <c r="C692">
        <v>5</v>
      </c>
      <c r="D692">
        <v>2</v>
      </c>
      <c r="E692">
        <v>1</v>
      </c>
      <c r="F692" s="6" t="s">
        <v>383</v>
      </c>
      <c r="G692" s="6" t="s">
        <v>384</v>
      </c>
      <c r="H692" s="2">
        <v>0</v>
      </c>
      <c r="I692" s="2">
        <v>0</v>
      </c>
      <c r="J692" s="2">
        <f t="shared" si="375"/>
        <v>3</v>
      </c>
      <c r="K692" s="2">
        <f t="shared" si="376"/>
        <v>1.5</v>
      </c>
      <c r="L692" s="2">
        <f t="shared" si="377"/>
        <v>1.5</v>
      </c>
      <c r="M692" s="2">
        <v>10</v>
      </c>
      <c r="N692" s="2">
        <f t="shared" si="378"/>
        <v>128</v>
      </c>
      <c r="O692" s="2">
        <f t="shared" si="379"/>
        <v>12.8</v>
      </c>
      <c r="P692" s="2">
        <f t="shared" si="380"/>
        <v>1536</v>
      </c>
      <c r="Q692" s="2">
        <f t="shared" si="381"/>
        <v>153.6</v>
      </c>
      <c r="R692" s="2">
        <f t="shared" si="382"/>
        <v>42.67</v>
      </c>
      <c r="S692" s="2">
        <f t="shared" si="383"/>
        <v>4.2699999999999996</v>
      </c>
      <c r="T692" s="2">
        <v>0</v>
      </c>
      <c r="U692" s="2">
        <v>0</v>
      </c>
      <c r="V692" s="2">
        <v>0</v>
      </c>
      <c r="W692" s="2">
        <v>0</v>
      </c>
      <c r="X692" s="2">
        <v>0</v>
      </c>
      <c r="Y692" s="25">
        <v>532001</v>
      </c>
      <c r="Z692" s="26" t="s">
        <v>710</v>
      </c>
      <c r="AA692" s="4">
        <v>1</v>
      </c>
      <c r="AB692" s="4">
        <v>0</v>
      </c>
      <c r="AC692" s="4"/>
      <c r="AD692" s="4">
        <f t="shared" si="394"/>
        <v>4995.8092800000004</v>
      </c>
      <c r="AF692" s="1" t="str">
        <f t="shared" si="395"/>
        <v>2</v>
      </c>
      <c r="AG692">
        <v>5</v>
      </c>
      <c r="AH692">
        <f t="shared" si="384"/>
        <v>128</v>
      </c>
      <c r="AI692">
        <f t="shared" si="385"/>
        <v>12.8</v>
      </c>
      <c r="AJ692">
        <f t="shared" si="386"/>
        <v>1536</v>
      </c>
      <c r="AK692">
        <f t="shared" si="387"/>
        <v>153.60000000000002</v>
      </c>
      <c r="AL692">
        <f t="shared" si="388"/>
        <v>42.666666666666664</v>
      </c>
      <c r="AM692">
        <f t="shared" si="389"/>
        <v>4.2666666666666666</v>
      </c>
      <c r="AN692">
        <f t="shared" si="390"/>
        <v>1.5</v>
      </c>
      <c r="AO692">
        <f t="shared" si="391"/>
        <v>1.5</v>
      </c>
      <c r="AP692">
        <f t="shared" si="392"/>
        <v>3</v>
      </c>
      <c r="AQ692">
        <v>102</v>
      </c>
      <c r="AR692">
        <v>1</v>
      </c>
    </row>
    <row r="693" spans="1:44" x14ac:dyDescent="0.15">
      <c r="A693">
        <f t="shared" si="393"/>
        <v>1102052</v>
      </c>
      <c r="B693" s="21" t="s">
        <v>265</v>
      </c>
      <c r="C693">
        <v>5</v>
      </c>
      <c r="D693">
        <v>2</v>
      </c>
      <c r="E693">
        <v>2</v>
      </c>
      <c r="F693" s="6" t="s">
        <v>385</v>
      </c>
      <c r="G693" s="6" t="s">
        <v>386</v>
      </c>
      <c r="H693" s="2">
        <v>0</v>
      </c>
      <c r="I693" s="2">
        <v>0</v>
      </c>
      <c r="J693" s="2">
        <f t="shared" si="375"/>
        <v>3</v>
      </c>
      <c r="K693" s="2">
        <f t="shared" si="376"/>
        <v>1.5</v>
      </c>
      <c r="L693" s="2">
        <f t="shared" si="377"/>
        <v>1.5</v>
      </c>
      <c r="M693" s="2">
        <v>10</v>
      </c>
      <c r="N693" s="2">
        <f t="shared" si="378"/>
        <v>128</v>
      </c>
      <c r="O693" s="2">
        <f t="shared" si="379"/>
        <v>12.8</v>
      </c>
      <c r="P693" s="2">
        <f t="shared" si="380"/>
        <v>1536</v>
      </c>
      <c r="Q693" s="2">
        <f t="shared" si="381"/>
        <v>153.6</v>
      </c>
      <c r="R693" s="2">
        <f t="shared" si="382"/>
        <v>42.67</v>
      </c>
      <c r="S693" s="2">
        <f t="shared" si="383"/>
        <v>4.2699999999999996</v>
      </c>
      <c r="T693" s="2">
        <v>0</v>
      </c>
      <c r="U693" s="2">
        <v>0</v>
      </c>
      <c r="V693" s="2">
        <v>0</v>
      </c>
      <c r="W693" s="2">
        <v>0</v>
      </c>
      <c r="X693" s="2">
        <v>0</v>
      </c>
      <c r="Y693" s="25">
        <v>532001</v>
      </c>
      <c r="Z693" s="26" t="s">
        <v>710</v>
      </c>
      <c r="AA693" s="4">
        <v>1</v>
      </c>
      <c r="AB693" s="4">
        <v>0</v>
      </c>
      <c r="AC693" s="4"/>
      <c r="AD693" s="4">
        <f t="shared" si="394"/>
        <v>4995.8092800000004</v>
      </c>
      <c r="AF693" s="1" t="str">
        <f t="shared" si="395"/>
        <v>2</v>
      </c>
      <c r="AG693">
        <v>5</v>
      </c>
      <c r="AH693">
        <f t="shared" si="384"/>
        <v>128</v>
      </c>
      <c r="AI693">
        <f t="shared" si="385"/>
        <v>12.8</v>
      </c>
      <c r="AJ693">
        <f t="shared" si="386"/>
        <v>1536</v>
      </c>
      <c r="AK693">
        <f t="shared" si="387"/>
        <v>153.60000000000002</v>
      </c>
      <c r="AL693">
        <f t="shared" si="388"/>
        <v>42.666666666666664</v>
      </c>
      <c r="AM693">
        <f t="shared" si="389"/>
        <v>4.2666666666666666</v>
      </c>
      <c r="AN693">
        <f t="shared" si="390"/>
        <v>1.5</v>
      </c>
      <c r="AO693">
        <f t="shared" si="391"/>
        <v>1.5</v>
      </c>
      <c r="AP693">
        <f t="shared" si="392"/>
        <v>3</v>
      </c>
      <c r="AQ693">
        <v>102</v>
      </c>
      <c r="AR693">
        <v>1</v>
      </c>
    </row>
    <row r="694" spans="1:44" x14ac:dyDescent="0.15">
      <c r="A694">
        <f t="shared" si="393"/>
        <v>1102053</v>
      </c>
      <c r="B694" s="21" t="s">
        <v>268</v>
      </c>
      <c r="C694">
        <v>5</v>
      </c>
      <c r="D694">
        <v>2</v>
      </c>
      <c r="E694">
        <v>3</v>
      </c>
      <c r="F694" s="6" t="s">
        <v>387</v>
      </c>
      <c r="G694" s="6" t="s">
        <v>388</v>
      </c>
      <c r="H694" s="2">
        <v>0</v>
      </c>
      <c r="I694" s="2">
        <v>0</v>
      </c>
      <c r="J694" s="2">
        <f t="shared" si="375"/>
        <v>3</v>
      </c>
      <c r="K694" s="2">
        <f t="shared" si="376"/>
        <v>1.5</v>
      </c>
      <c r="L694" s="2">
        <f t="shared" si="377"/>
        <v>1.5</v>
      </c>
      <c r="M694" s="2">
        <v>10</v>
      </c>
      <c r="N694" s="2">
        <f t="shared" si="378"/>
        <v>128</v>
      </c>
      <c r="O694" s="2">
        <f t="shared" si="379"/>
        <v>12.8</v>
      </c>
      <c r="P694" s="2">
        <f t="shared" si="380"/>
        <v>1536</v>
      </c>
      <c r="Q694" s="2">
        <f t="shared" si="381"/>
        <v>153.6</v>
      </c>
      <c r="R694" s="2">
        <f t="shared" si="382"/>
        <v>42.67</v>
      </c>
      <c r="S694" s="2">
        <f t="shared" si="383"/>
        <v>4.2699999999999996</v>
      </c>
      <c r="T694" s="2">
        <v>0</v>
      </c>
      <c r="U694" s="2">
        <v>0</v>
      </c>
      <c r="V694" s="2">
        <v>0</v>
      </c>
      <c r="W694" s="2">
        <v>0</v>
      </c>
      <c r="X694" s="2">
        <v>0</v>
      </c>
      <c r="Y694" s="25">
        <v>532001</v>
      </c>
      <c r="Z694" s="26" t="s">
        <v>710</v>
      </c>
      <c r="AA694" s="4">
        <v>1</v>
      </c>
      <c r="AB694" s="4">
        <v>0</v>
      </c>
      <c r="AC694" s="4"/>
      <c r="AD694" s="4">
        <f t="shared" si="394"/>
        <v>4995.8092800000004</v>
      </c>
      <c r="AF694" s="1" t="str">
        <f t="shared" si="395"/>
        <v>2</v>
      </c>
      <c r="AG694">
        <v>5</v>
      </c>
      <c r="AH694">
        <f t="shared" si="384"/>
        <v>128</v>
      </c>
      <c r="AI694">
        <f t="shared" si="385"/>
        <v>12.8</v>
      </c>
      <c r="AJ694">
        <f t="shared" si="386"/>
        <v>1536</v>
      </c>
      <c r="AK694">
        <f t="shared" si="387"/>
        <v>153.60000000000002</v>
      </c>
      <c r="AL694">
        <f t="shared" si="388"/>
        <v>42.666666666666664</v>
      </c>
      <c r="AM694">
        <f t="shared" si="389"/>
        <v>4.2666666666666666</v>
      </c>
      <c r="AN694">
        <f t="shared" si="390"/>
        <v>1.5</v>
      </c>
      <c r="AO694">
        <f t="shared" si="391"/>
        <v>1.5</v>
      </c>
      <c r="AP694">
        <f t="shared" si="392"/>
        <v>3</v>
      </c>
      <c r="AQ694">
        <v>102</v>
      </c>
      <c r="AR694">
        <v>1</v>
      </c>
    </row>
    <row r="695" spans="1:44" x14ac:dyDescent="0.15">
      <c r="A695">
        <f t="shared" si="393"/>
        <v>1102054</v>
      </c>
      <c r="B695" s="21" t="s">
        <v>271</v>
      </c>
      <c r="C695">
        <v>5</v>
      </c>
      <c r="D695">
        <v>2</v>
      </c>
      <c r="E695">
        <v>4</v>
      </c>
      <c r="F695" s="6" t="s">
        <v>389</v>
      </c>
      <c r="G695" s="6" t="s">
        <v>390</v>
      </c>
      <c r="H695" s="2">
        <v>0</v>
      </c>
      <c r="I695" s="2">
        <v>0</v>
      </c>
      <c r="J695" s="2">
        <f t="shared" si="375"/>
        <v>3</v>
      </c>
      <c r="K695" s="2">
        <f t="shared" si="376"/>
        <v>1.5</v>
      </c>
      <c r="L695" s="2">
        <f t="shared" si="377"/>
        <v>1.5</v>
      </c>
      <c r="M695" s="2">
        <v>10</v>
      </c>
      <c r="N695" s="2">
        <f t="shared" si="378"/>
        <v>128</v>
      </c>
      <c r="O695" s="2">
        <f t="shared" si="379"/>
        <v>12.8</v>
      </c>
      <c r="P695" s="2">
        <f t="shared" si="380"/>
        <v>1536</v>
      </c>
      <c r="Q695" s="2">
        <f t="shared" si="381"/>
        <v>153.6</v>
      </c>
      <c r="R695" s="2">
        <f t="shared" si="382"/>
        <v>42.67</v>
      </c>
      <c r="S695" s="2">
        <f t="shared" si="383"/>
        <v>4.2699999999999996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25">
        <v>532001</v>
      </c>
      <c r="Z695" s="26" t="s">
        <v>710</v>
      </c>
      <c r="AA695" s="4">
        <v>1</v>
      </c>
      <c r="AB695" s="4">
        <v>0</v>
      </c>
      <c r="AC695" s="4"/>
      <c r="AD695" s="4">
        <f t="shared" si="394"/>
        <v>4995.8092800000004</v>
      </c>
      <c r="AF695" s="1" t="str">
        <f t="shared" si="395"/>
        <v>2</v>
      </c>
      <c r="AG695">
        <v>5</v>
      </c>
      <c r="AH695">
        <f t="shared" si="384"/>
        <v>128</v>
      </c>
      <c r="AI695">
        <f t="shared" si="385"/>
        <v>12.8</v>
      </c>
      <c r="AJ695">
        <f t="shared" si="386"/>
        <v>1536</v>
      </c>
      <c r="AK695">
        <f t="shared" si="387"/>
        <v>153.60000000000002</v>
      </c>
      <c r="AL695">
        <f t="shared" si="388"/>
        <v>42.666666666666664</v>
      </c>
      <c r="AM695">
        <f t="shared" si="389"/>
        <v>4.2666666666666666</v>
      </c>
      <c r="AN695">
        <f t="shared" si="390"/>
        <v>1.5</v>
      </c>
      <c r="AO695">
        <f t="shared" si="391"/>
        <v>1.5</v>
      </c>
      <c r="AP695">
        <f t="shared" si="392"/>
        <v>3</v>
      </c>
      <c r="AQ695">
        <v>102</v>
      </c>
      <c r="AR695">
        <v>1</v>
      </c>
    </row>
    <row r="696" spans="1:44" x14ac:dyDescent="0.15">
      <c r="A696">
        <f t="shared" si="393"/>
        <v>1102055</v>
      </c>
      <c r="B696" s="21" t="s">
        <v>274</v>
      </c>
      <c r="C696">
        <v>5</v>
      </c>
      <c r="D696">
        <v>2</v>
      </c>
      <c r="E696">
        <v>5</v>
      </c>
      <c r="F696" s="6" t="s">
        <v>391</v>
      </c>
      <c r="G696" s="6" t="s">
        <v>392</v>
      </c>
      <c r="H696">
        <v>0</v>
      </c>
      <c r="I696" s="2">
        <v>0</v>
      </c>
      <c r="J696" s="2">
        <f t="shared" si="375"/>
        <v>3</v>
      </c>
      <c r="K696" s="2">
        <f t="shared" si="376"/>
        <v>1.5</v>
      </c>
      <c r="L696" s="2">
        <f t="shared" si="377"/>
        <v>1.5</v>
      </c>
      <c r="M696" s="2">
        <v>10</v>
      </c>
      <c r="N696" s="2">
        <f t="shared" si="378"/>
        <v>128</v>
      </c>
      <c r="O696" s="2">
        <f t="shared" si="379"/>
        <v>12.8</v>
      </c>
      <c r="P696" s="2">
        <f t="shared" si="380"/>
        <v>1536</v>
      </c>
      <c r="Q696" s="2">
        <f t="shared" si="381"/>
        <v>153.6</v>
      </c>
      <c r="R696" s="2">
        <f t="shared" si="382"/>
        <v>42.67</v>
      </c>
      <c r="S696" s="2">
        <f t="shared" si="383"/>
        <v>4.2699999999999996</v>
      </c>
      <c r="T696" s="2">
        <v>0</v>
      </c>
      <c r="U696" s="2">
        <v>0</v>
      </c>
      <c r="V696" s="2">
        <v>0</v>
      </c>
      <c r="W696" s="2">
        <v>0</v>
      </c>
      <c r="X696" s="2">
        <v>0</v>
      </c>
      <c r="Y696" s="25">
        <v>532001</v>
      </c>
      <c r="Z696" s="26" t="s">
        <v>710</v>
      </c>
      <c r="AA696" s="4">
        <v>1</v>
      </c>
      <c r="AB696" s="4">
        <v>0</v>
      </c>
      <c r="AC696" s="4"/>
      <c r="AD696" s="4">
        <f t="shared" si="394"/>
        <v>4995.8092800000004</v>
      </c>
      <c r="AF696" s="1" t="str">
        <f t="shared" si="395"/>
        <v>2</v>
      </c>
      <c r="AG696">
        <v>5</v>
      </c>
      <c r="AH696">
        <f t="shared" si="384"/>
        <v>128</v>
      </c>
      <c r="AI696">
        <f t="shared" si="385"/>
        <v>12.8</v>
      </c>
      <c r="AJ696">
        <f t="shared" si="386"/>
        <v>1536</v>
      </c>
      <c r="AK696">
        <f t="shared" si="387"/>
        <v>153.60000000000002</v>
      </c>
      <c r="AL696">
        <f t="shared" si="388"/>
        <v>42.666666666666664</v>
      </c>
      <c r="AM696">
        <f t="shared" si="389"/>
        <v>4.2666666666666666</v>
      </c>
      <c r="AN696">
        <f t="shared" si="390"/>
        <v>1.5</v>
      </c>
      <c r="AO696">
        <f t="shared" si="391"/>
        <v>1.5</v>
      </c>
      <c r="AP696">
        <f t="shared" si="392"/>
        <v>3</v>
      </c>
      <c r="AQ696">
        <v>102</v>
      </c>
      <c r="AR696">
        <v>1</v>
      </c>
    </row>
    <row r="697" spans="1:44" x14ac:dyDescent="0.15">
      <c r="A697">
        <f t="shared" si="393"/>
        <v>1102061</v>
      </c>
      <c r="B697" s="21" t="s">
        <v>262</v>
      </c>
      <c r="C697">
        <v>6</v>
      </c>
      <c r="D697">
        <v>2</v>
      </c>
      <c r="E697">
        <v>1</v>
      </c>
      <c r="F697" s="6" t="s">
        <v>383</v>
      </c>
      <c r="G697" s="6" t="s">
        <v>384</v>
      </c>
      <c r="H697" s="2">
        <v>0</v>
      </c>
      <c r="I697" s="2">
        <v>0</v>
      </c>
      <c r="J697" s="2">
        <f t="shared" si="375"/>
        <v>3</v>
      </c>
      <c r="K697" s="2">
        <f t="shared" si="376"/>
        <v>1.5</v>
      </c>
      <c r="L697" s="2">
        <f t="shared" si="377"/>
        <v>1.5</v>
      </c>
      <c r="M697" s="2">
        <v>10</v>
      </c>
      <c r="N697" s="2">
        <f t="shared" si="378"/>
        <v>144</v>
      </c>
      <c r="O697" s="2">
        <f t="shared" si="379"/>
        <v>14.4</v>
      </c>
      <c r="P697" s="2">
        <f t="shared" si="380"/>
        <v>1728</v>
      </c>
      <c r="Q697" s="2">
        <f t="shared" si="381"/>
        <v>172.8</v>
      </c>
      <c r="R697" s="2">
        <f t="shared" si="382"/>
        <v>48</v>
      </c>
      <c r="S697" s="2">
        <f t="shared" si="383"/>
        <v>4.8</v>
      </c>
      <c r="T697" s="2">
        <v>0</v>
      </c>
      <c r="U697" s="2">
        <v>0</v>
      </c>
      <c r="V697" s="2">
        <v>0</v>
      </c>
      <c r="W697" s="2">
        <v>0</v>
      </c>
      <c r="X697" s="2">
        <v>0</v>
      </c>
      <c r="Y697" s="25">
        <v>532001</v>
      </c>
      <c r="Z697" s="26" t="s">
        <v>710</v>
      </c>
      <c r="AA697" s="4">
        <v>1</v>
      </c>
      <c r="AB697" s="4">
        <v>0</v>
      </c>
      <c r="AC697" s="4"/>
      <c r="AD697" s="4">
        <f t="shared" si="394"/>
        <v>6322.8211199999996</v>
      </c>
      <c r="AF697" s="1" t="str">
        <f t="shared" si="395"/>
        <v>2</v>
      </c>
      <c r="AG697">
        <v>6</v>
      </c>
      <c r="AH697">
        <f t="shared" si="384"/>
        <v>144</v>
      </c>
      <c r="AI697">
        <f t="shared" si="385"/>
        <v>14.4</v>
      </c>
      <c r="AJ697">
        <f t="shared" si="386"/>
        <v>1728</v>
      </c>
      <c r="AK697">
        <f t="shared" si="387"/>
        <v>172.8</v>
      </c>
      <c r="AL697">
        <f t="shared" si="388"/>
        <v>48</v>
      </c>
      <c r="AM697">
        <f t="shared" si="389"/>
        <v>4.8000000000000007</v>
      </c>
      <c r="AN697">
        <f t="shared" si="390"/>
        <v>1.5</v>
      </c>
      <c r="AO697">
        <f t="shared" si="391"/>
        <v>1.5</v>
      </c>
      <c r="AP697">
        <f t="shared" si="392"/>
        <v>3</v>
      </c>
      <c r="AQ697">
        <v>102</v>
      </c>
      <c r="AR697">
        <v>1</v>
      </c>
    </row>
    <row r="698" spans="1:44" x14ac:dyDescent="0.15">
      <c r="A698">
        <f t="shared" si="393"/>
        <v>1102062</v>
      </c>
      <c r="B698" s="21" t="s">
        <v>265</v>
      </c>
      <c r="C698">
        <v>6</v>
      </c>
      <c r="D698">
        <v>2</v>
      </c>
      <c r="E698">
        <v>2</v>
      </c>
      <c r="F698" s="6" t="s">
        <v>385</v>
      </c>
      <c r="G698" s="6" t="s">
        <v>386</v>
      </c>
      <c r="H698" s="2">
        <v>0</v>
      </c>
      <c r="I698" s="2">
        <v>0</v>
      </c>
      <c r="J698" s="2">
        <f t="shared" si="375"/>
        <v>3</v>
      </c>
      <c r="K698" s="2">
        <f t="shared" si="376"/>
        <v>1.5</v>
      </c>
      <c r="L698" s="2">
        <f t="shared" si="377"/>
        <v>1.5</v>
      </c>
      <c r="M698" s="2">
        <v>10</v>
      </c>
      <c r="N698" s="2">
        <f t="shared" si="378"/>
        <v>144</v>
      </c>
      <c r="O698" s="2">
        <f t="shared" si="379"/>
        <v>14.4</v>
      </c>
      <c r="P698" s="2">
        <f t="shared" si="380"/>
        <v>1728</v>
      </c>
      <c r="Q698" s="2">
        <f t="shared" si="381"/>
        <v>172.8</v>
      </c>
      <c r="R698" s="2">
        <f t="shared" si="382"/>
        <v>48</v>
      </c>
      <c r="S698" s="2">
        <f t="shared" si="383"/>
        <v>4.8</v>
      </c>
      <c r="T698" s="2">
        <v>0</v>
      </c>
      <c r="U698" s="2">
        <v>0</v>
      </c>
      <c r="V698" s="2">
        <v>0</v>
      </c>
      <c r="W698" s="2">
        <v>0</v>
      </c>
      <c r="X698" s="2">
        <v>0</v>
      </c>
      <c r="Y698" s="25">
        <v>532001</v>
      </c>
      <c r="Z698" s="26" t="s">
        <v>710</v>
      </c>
      <c r="AA698" s="4">
        <v>1</v>
      </c>
      <c r="AB698" s="4">
        <v>0</v>
      </c>
      <c r="AC698" s="4"/>
      <c r="AD698" s="4">
        <f t="shared" si="394"/>
        <v>6322.8211199999996</v>
      </c>
      <c r="AF698" s="1" t="str">
        <f t="shared" si="395"/>
        <v>2</v>
      </c>
      <c r="AG698">
        <v>6</v>
      </c>
      <c r="AH698">
        <f t="shared" si="384"/>
        <v>144</v>
      </c>
      <c r="AI698">
        <f t="shared" si="385"/>
        <v>14.4</v>
      </c>
      <c r="AJ698">
        <f t="shared" si="386"/>
        <v>1728</v>
      </c>
      <c r="AK698">
        <f t="shared" si="387"/>
        <v>172.8</v>
      </c>
      <c r="AL698">
        <f t="shared" si="388"/>
        <v>48</v>
      </c>
      <c r="AM698">
        <f t="shared" si="389"/>
        <v>4.8000000000000007</v>
      </c>
      <c r="AN698">
        <f t="shared" si="390"/>
        <v>1.5</v>
      </c>
      <c r="AO698">
        <f t="shared" si="391"/>
        <v>1.5</v>
      </c>
      <c r="AP698">
        <f t="shared" si="392"/>
        <v>3</v>
      </c>
      <c r="AQ698">
        <v>102</v>
      </c>
      <c r="AR698">
        <v>1</v>
      </c>
    </row>
    <row r="699" spans="1:44" x14ac:dyDescent="0.15">
      <c r="A699">
        <f t="shared" si="393"/>
        <v>1102063</v>
      </c>
      <c r="B699" s="21" t="s">
        <v>268</v>
      </c>
      <c r="C699">
        <v>6</v>
      </c>
      <c r="D699">
        <v>2</v>
      </c>
      <c r="E699">
        <v>3</v>
      </c>
      <c r="F699" s="6" t="s">
        <v>387</v>
      </c>
      <c r="G699" s="6" t="s">
        <v>388</v>
      </c>
      <c r="H699" s="2">
        <v>0</v>
      </c>
      <c r="I699" s="2">
        <v>0</v>
      </c>
      <c r="J699" s="2">
        <f t="shared" si="375"/>
        <v>3</v>
      </c>
      <c r="K699" s="2">
        <f t="shared" si="376"/>
        <v>1.5</v>
      </c>
      <c r="L699" s="2">
        <f t="shared" si="377"/>
        <v>1.5</v>
      </c>
      <c r="M699" s="2">
        <v>10</v>
      </c>
      <c r="N699" s="2">
        <f t="shared" si="378"/>
        <v>144</v>
      </c>
      <c r="O699" s="2">
        <f t="shared" si="379"/>
        <v>14.4</v>
      </c>
      <c r="P699" s="2">
        <f t="shared" si="380"/>
        <v>1728</v>
      </c>
      <c r="Q699" s="2">
        <f t="shared" si="381"/>
        <v>172.8</v>
      </c>
      <c r="R699" s="2">
        <f t="shared" si="382"/>
        <v>48</v>
      </c>
      <c r="S699" s="2">
        <f t="shared" si="383"/>
        <v>4.8</v>
      </c>
      <c r="T699" s="2">
        <v>0</v>
      </c>
      <c r="U699" s="2">
        <v>0</v>
      </c>
      <c r="V699" s="2">
        <v>0</v>
      </c>
      <c r="W699" s="2">
        <v>0</v>
      </c>
      <c r="X699" s="2">
        <v>0</v>
      </c>
      <c r="Y699" s="25">
        <v>532001</v>
      </c>
      <c r="Z699" s="26" t="s">
        <v>710</v>
      </c>
      <c r="AA699" s="4">
        <v>1</v>
      </c>
      <c r="AB699" s="4">
        <v>0</v>
      </c>
      <c r="AC699" s="4"/>
      <c r="AD699" s="4">
        <f t="shared" si="394"/>
        <v>6322.8211199999996</v>
      </c>
      <c r="AF699" s="1" t="str">
        <f t="shared" si="395"/>
        <v>2</v>
      </c>
      <c r="AG699">
        <v>6</v>
      </c>
      <c r="AH699">
        <f t="shared" si="384"/>
        <v>144</v>
      </c>
      <c r="AI699">
        <f t="shared" si="385"/>
        <v>14.4</v>
      </c>
      <c r="AJ699">
        <f t="shared" si="386"/>
        <v>1728</v>
      </c>
      <c r="AK699">
        <f t="shared" si="387"/>
        <v>172.8</v>
      </c>
      <c r="AL699">
        <f t="shared" si="388"/>
        <v>48</v>
      </c>
      <c r="AM699">
        <f t="shared" si="389"/>
        <v>4.8000000000000007</v>
      </c>
      <c r="AN699">
        <f t="shared" si="390"/>
        <v>1.5</v>
      </c>
      <c r="AO699">
        <f t="shared" si="391"/>
        <v>1.5</v>
      </c>
      <c r="AP699">
        <f t="shared" si="392"/>
        <v>3</v>
      </c>
      <c r="AQ699">
        <v>102</v>
      </c>
      <c r="AR699">
        <v>1</v>
      </c>
    </row>
    <row r="700" spans="1:44" x14ac:dyDescent="0.15">
      <c r="A700">
        <f t="shared" si="393"/>
        <v>1102064</v>
      </c>
      <c r="B700" s="21" t="s">
        <v>271</v>
      </c>
      <c r="C700">
        <v>6</v>
      </c>
      <c r="D700">
        <v>2</v>
      </c>
      <c r="E700">
        <v>4</v>
      </c>
      <c r="F700" s="6" t="s">
        <v>389</v>
      </c>
      <c r="G700" s="6" t="s">
        <v>390</v>
      </c>
      <c r="H700" s="2">
        <v>0</v>
      </c>
      <c r="I700" s="2">
        <v>0</v>
      </c>
      <c r="J700" s="2">
        <f t="shared" si="375"/>
        <v>3</v>
      </c>
      <c r="K700" s="2">
        <f t="shared" si="376"/>
        <v>1.5</v>
      </c>
      <c r="L700" s="2">
        <f t="shared" si="377"/>
        <v>1.5</v>
      </c>
      <c r="M700" s="2">
        <v>10</v>
      </c>
      <c r="N700" s="2">
        <f t="shared" si="378"/>
        <v>144</v>
      </c>
      <c r="O700" s="2">
        <f t="shared" si="379"/>
        <v>14.4</v>
      </c>
      <c r="P700" s="2">
        <f t="shared" si="380"/>
        <v>1728</v>
      </c>
      <c r="Q700" s="2">
        <f t="shared" si="381"/>
        <v>172.8</v>
      </c>
      <c r="R700" s="2">
        <f t="shared" si="382"/>
        <v>48</v>
      </c>
      <c r="S700" s="2">
        <f t="shared" si="383"/>
        <v>4.8</v>
      </c>
      <c r="T700" s="2">
        <v>0</v>
      </c>
      <c r="U700" s="2">
        <v>0</v>
      </c>
      <c r="V700" s="2">
        <v>0</v>
      </c>
      <c r="W700" s="2">
        <v>0</v>
      </c>
      <c r="X700" s="2">
        <v>0</v>
      </c>
      <c r="Y700" s="25">
        <v>532001</v>
      </c>
      <c r="Z700" s="26" t="s">
        <v>710</v>
      </c>
      <c r="AA700" s="4">
        <v>1</v>
      </c>
      <c r="AB700" s="4">
        <v>0</v>
      </c>
      <c r="AC700" s="4"/>
      <c r="AD700" s="4">
        <f t="shared" si="394"/>
        <v>6322.8211199999996</v>
      </c>
      <c r="AF700" s="1" t="str">
        <f t="shared" si="395"/>
        <v>2</v>
      </c>
      <c r="AG700">
        <v>6</v>
      </c>
      <c r="AH700">
        <f t="shared" si="384"/>
        <v>144</v>
      </c>
      <c r="AI700">
        <f t="shared" si="385"/>
        <v>14.4</v>
      </c>
      <c r="AJ700">
        <f t="shared" si="386"/>
        <v>1728</v>
      </c>
      <c r="AK700">
        <f t="shared" si="387"/>
        <v>172.8</v>
      </c>
      <c r="AL700">
        <f t="shared" si="388"/>
        <v>48</v>
      </c>
      <c r="AM700">
        <f t="shared" si="389"/>
        <v>4.8000000000000007</v>
      </c>
      <c r="AN700">
        <f t="shared" si="390"/>
        <v>1.5</v>
      </c>
      <c r="AO700">
        <f t="shared" si="391"/>
        <v>1.5</v>
      </c>
      <c r="AP700">
        <f t="shared" si="392"/>
        <v>3</v>
      </c>
      <c r="AQ700">
        <v>102</v>
      </c>
      <c r="AR700">
        <v>1</v>
      </c>
    </row>
    <row r="701" spans="1:44" x14ac:dyDescent="0.15">
      <c r="A701">
        <f t="shared" si="393"/>
        <v>1102065</v>
      </c>
      <c r="B701" s="21" t="s">
        <v>274</v>
      </c>
      <c r="C701">
        <v>6</v>
      </c>
      <c r="D701">
        <v>2</v>
      </c>
      <c r="E701">
        <v>5</v>
      </c>
      <c r="F701" s="6" t="s">
        <v>391</v>
      </c>
      <c r="G701" s="6" t="s">
        <v>392</v>
      </c>
      <c r="H701">
        <v>0</v>
      </c>
      <c r="I701" s="2">
        <v>0</v>
      </c>
      <c r="J701" s="2">
        <f t="shared" si="375"/>
        <v>3</v>
      </c>
      <c r="K701" s="2">
        <f t="shared" si="376"/>
        <v>1.5</v>
      </c>
      <c r="L701" s="2">
        <f t="shared" si="377"/>
        <v>1.5</v>
      </c>
      <c r="M701" s="2">
        <v>10</v>
      </c>
      <c r="N701" s="2">
        <f t="shared" si="378"/>
        <v>144</v>
      </c>
      <c r="O701" s="2">
        <f t="shared" si="379"/>
        <v>14.4</v>
      </c>
      <c r="P701" s="2">
        <f t="shared" si="380"/>
        <v>1728</v>
      </c>
      <c r="Q701" s="2">
        <f t="shared" si="381"/>
        <v>172.8</v>
      </c>
      <c r="R701" s="2">
        <f t="shared" si="382"/>
        <v>48</v>
      </c>
      <c r="S701" s="2">
        <f t="shared" si="383"/>
        <v>4.8</v>
      </c>
      <c r="T701" s="2">
        <v>0</v>
      </c>
      <c r="U701" s="2">
        <v>0</v>
      </c>
      <c r="V701" s="2">
        <v>0</v>
      </c>
      <c r="W701" s="2">
        <v>0</v>
      </c>
      <c r="X701" s="2">
        <v>0</v>
      </c>
      <c r="Y701" s="25">
        <v>532001</v>
      </c>
      <c r="Z701" s="26" t="s">
        <v>710</v>
      </c>
      <c r="AA701" s="4">
        <v>1</v>
      </c>
      <c r="AB701" s="4">
        <v>0</v>
      </c>
      <c r="AC701" s="4"/>
      <c r="AD701" s="4">
        <f t="shared" si="394"/>
        <v>6322.8211199999996</v>
      </c>
      <c r="AF701" s="1" t="str">
        <f t="shared" si="395"/>
        <v>2</v>
      </c>
      <c r="AG701">
        <v>6</v>
      </c>
      <c r="AH701">
        <f t="shared" si="384"/>
        <v>144</v>
      </c>
      <c r="AI701">
        <f t="shared" si="385"/>
        <v>14.4</v>
      </c>
      <c r="AJ701">
        <f t="shared" si="386"/>
        <v>1728</v>
      </c>
      <c r="AK701">
        <f t="shared" si="387"/>
        <v>172.8</v>
      </c>
      <c r="AL701">
        <f t="shared" si="388"/>
        <v>48</v>
      </c>
      <c r="AM701">
        <f t="shared" si="389"/>
        <v>4.8000000000000007</v>
      </c>
      <c r="AN701">
        <f t="shared" si="390"/>
        <v>1.5</v>
      </c>
      <c r="AO701">
        <f t="shared" si="391"/>
        <v>1.5</v>
      </c>
      <c r="AP701">
        <f t="shared" si="392"/>
        <v>3</v>
      </c>
      <c r="AQ701">
        <v>102</v>
      </c>
      <c r="AR701">
        <v>1</v>
      </c>
    </row>
    <row r="702" spans="1:44" x14ac:dyDescent="0.15">
      <c r="A702">
        <f t="shared" si="393"/>
        <v>1102071</v>
      </c>
      <c r="B702" s="21" t="s">
        <v>262</v>
      </c>
      <c r="C702">
        <v>7</v>
      </c>
      <c r="D702">
        <v>2</v>
      </c>
      <c r="E702">
        <v>1</v>
      </c>
      <c r="F702" s="6" t="s">
        <v>383</v>
      </c>
      <c r="G702" s="6" t="s">
        <v>384</v>
      </c>
      <c r="H702" s="2">
        <v>0</v>
      </c>
      <c r="I702" s="2">
        <v>0</v>
      </c>
      <c r="J702" s="2">
        <f t="shared" si="375"/>
        <v>3</v>
      </c>
      <c r="K702" s="2">
        <f t="shared" si="376"/>
        <v>1.5</v>
      </c>
      <c r="L702" s="2">
        <f t="shared" si="377"/>
        <v>1.5</v>
      </c>
      <c r="M702" s="2">
        <v>10</v>
      </c>
      <c r="N702" s="2">
        <f t="shared" si="378"/>
        <v>160</v>
      </c>
      <c r="O702" s="2">
        <f t="shared" si="379"/>
        <v>16</v>
      </c>
      <c r="P702" s="2">
        <f t="shared" si="380"/>
        <v>1920</v>
      </c>
      <c r="Q702" s="2">
        <f t="shared" si="381"/>
        <v>192</v>
      </c>
      <c r="R702" s="2">
        <f t="shared" si="382"/>
        <v>53.33</v>
      </c>
      <c r="S702" s="2">
        <f t="shared" si="383"/>
        <v>5.33</v>
      </c>
      <c r="T702" s="2">
        <v>0</v>
      </c>
      <c r="U702" s="2">
        <v>0</v>
      </c>
      <c r="V702" s="2">
        <v>0</v>
      </c>
      <c r="W702" s="2">
        <v>0</v>
      </c>
      <c r="X702" s="2">
        <v>0</v>
      </c>
      <c r="Y702" s="25">
        <v>532001</v>
      </c>
      <c r="Z702" s="26" t="s">
        <v>710</v>
      </c>
      <c r="AA702" s="4">
        <v>1</v>
      </c>
      <c r="AB702" s="4">
        <v>0</v>
      </c>
      <c r="AC702" s="4"/>
      <c r="AD702" s="4">
        <f t="shared" si="394"/>
        <v>7805.9520000000002</v>
      </c>
      <c r="AF702" s="1" t="str">
        <f t="shared" si="395"/>
        <v>2</v>
      </c>
      <c r="AG702">
        <v>7</v>
      </c>
      <c r="AH702">
        <f t="shared" si="384"/>
        <v>160</v>
      </c>
      <c r="AI702">
        <f t="shared" si="385"/>
        <v>16</v>
      </c>
      <c r="AJ702">
        <f t="shared" si="386"/>
        <v>1920</v>
      </c>
      <c r="AK702">
        <f t="shared" si="387"/>
        <v>192</v>
      </c>
      <c r="AL702">
        <f t="shared" si="388"/>
        <v>53.333333333333336</v>
      </c>
      <c r="AM702">
        <f t="shared" si="389"/>
        <v>5.3333333333333339</v>
      </c>
      <c r="AN702">
        <f t="shared" si="390"/>
        <v>1.5</v>
      </c>
      <c r="AO702">
        <f t="shared" si="391"/>
        <v>1.5</v>
      </c>
      <c r="AP702">
        <f t="shared" si="392"/>
        <v>3</v>
      </c>
      <c r="AQ702">
        <v>102</v>
      </c>
      <c r="AR702">
        <v>1</v>
      </c>
    </row>
    <row r="703" spans="1:44" x14ac:dyDescent="0.15">
      <c r="A703">
        <f t="shared" si="393"/>
        <v>1102072</v>
      </c>
      <c r="B703" s="21" t="s">
        <v>265</v>
      </c>
      <c r="C703">
        <v>7</v>
      </c>
      <c r="D703">
        <v>2</v>
      </c>
      <c r="E703">
        <v>2</v>
      </c>
      <c r="F703" s="6" t="s">
        <v>385</v>
      </c>
      <c r="G703" s="6" t="s">
        <v>386</v>
      </c>
      <c r="H703" s="2">
        <v>0</v>
      </c>
      <c r="I703" s="2">
        <v>0</v>
      </c>
      <c r="J703" s="2">
        <f t="shared" si="375"/>
        <v>3</v>
      </c>
      <c r="K703" s="2">
        <f t="shared" si="376"/>
        <v>1.5</v>
      </c>
      <c r="L703" s="2">
        <f t="shared" si="377"/>
        <v>1.5</v>
      </c>
      <c r="M703" s="2">
        <v>10</v>
      </c>
      <c r="N703" s="2">
        <f t="shared" si="378"/>
        <v>160</v>
      </c>
      <c r="O703" s="2">
        <f t="shared" si="379"/>
        <v>16</v>
      </c>
      <c r="P703" s="2">
        <f t="shared" si="380"/>
        <v>1920</v>
      </c>
      <c r="Q703" s="2">
        <f t="shared" si="381"/>
        <v>192</v>
      </c>
      <c r="R703" s="2">
        <f t="shared" si="382"/>
        <v>53.33</v>
      </c>
      <c r="S703" s="2">
        <f t="shared" si="383"/>
        <v>5.33</v>
      </c>
      <c r="T703" s="2">
        <v>0</v>
      </c>
      <c r="U703" s="2">
        <v>0</v>
      </c>
      <c r="V703" s="2">
        <v>0</v>
      </c>
      <c r="W703" s="2">
        <v>0</v>
      </c>
      <c r="X703" s="2">
        <v>0</v>
      </c>
      <c r="Y703" s="25">
        <v>532001</v>
      </c>
      <c r="Z703" s="26" t="s">
        <v>710</v>
      </c>
      <c r="AA703" s="4">
        <v>1</v>
      </c>
      <c r="AB703" s="4">
        <v>0</v>
      </c>
      <c r="AC703" s="4"/>
      <c r="AD703" s="4">
        <f t="shared" si="394"/>
        <v>7805.9520000000002</v>
      </c>
      <c r="AF703" s="1" t="str">
        <f t="shared" si="395"/>
        <v>2</v>
      </c>
      <c r="AG703">
        <v>7</v>
      </c>
      <c r="AH703">
        <f t="shared" si="384"/>
        <v>160</v>
      </c>
      <c r="AI703">
        <f t="shared" si="385"/>
        <v>16</v>
      </c>
      <c r="AJ703">
        <f t="shared" si="386"/>
        <v>1920</v>
      </c>
      <c r="AK703">
        <f t="shared" si="387"/>
        <v>192</v>
      </c>
      <c r="AL703">
        <f t="shared" si="388"/>
        <v>53.333333333333336</v>
      </c>
      <c r="AM703">
        <f t="shared" si="389"/>
        <v>5.3333333333333339</v>
      </c>
      <c r="AN703">
        <f t="shared" si="390"/>
        <v>1.5</v>
      </c>
      <c r="AO703">
        <f t="shared" si="391"/>
        <v>1.5</v>
      </c>
      <c r="AP703">
        <f t="shared" si="392"/>
        <v>3</v>
      </c>
      <c r="AQ703">
        <v>102</v>
      </c>
      <c r="AR703">
        <v>1</v>
      </c>
    </row>
    <row r="704" spans="1:44" x14ac:dyDescent="0.15">
      <c r="A704">
        <f t="shared" si="393"/>
        <v>1102073</v>
      </c>
      <c r="B704" s="21" t="s">
        <v>268</v>
      </c>
      <c r="C704">
        <v>7</v>
      </c>
      <c r="D704">
        <v>2</v>
      </c>
      <c r="E704">
        <v>3</v>
      </c>
      <c r="F704" s="6" t="s">
        <v>387</v>
      </c>
      <c r="G704" s="6" t="s">
        <v>388</v>
      </c>
      <c r="H704" s="2">
        <v>0</v>
      </c>
      <c r="I704" s="2">
        <v>0</v>
      </c>
      <c r="J704" s="2">
        <f t="shared" si="375"/>
        <v>3</v>
      </c>
      <c r="K704" s="2">
        <f t="shared" si="376"/>
        <v>1.5</v>
      </c>
      <c r="L704" s="2">
        <f t="shared" si="377"/>
        <v>1.5</v>
      </c>
      <c r="M704" s="2">
        <v>10</v>
      </c>
      <c r="N704" s="2">
        <f t="shared" si="378"/>
        <v>160</v>
      </c>
      <c r="O704" s="2">
        <f t="shared" si="379"/>
        <v>16</v>
      </c>
      <c r="P704" s="2">
        <f t="shared" si="380"/>
        <v>1920</v>
      </c>
      <c r="Q704" s="2">
        <f t="shared" si="381"/>
        <v>192</v>
      </c>
      <c r="R704" s="2">
        <f t="shared" si="382"/>
        <v>53.33</v>
      </c>
      <c r="S704" s="2">
        <f t="shared" si="383"/>
        <v>5.33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25">
        <v>532001</v>
      </c>
      <c r="Z704" s="26" t="s">
        <v>710</v>
      </c>
      <c r="AA704" s="4">
        <v>1</v>
      </c>
      <c r="AB704" s="4">
        <v>0</v>
      </c>
      <c r="AC704" s="4"/>
      <c r="AD704" s="4">
        <f t="shared" si="394"/>
        <v>7805.9520000000002</v>
      </c>
      <c r="AF704" s="1" t="str">
        <f t="shared" si="395"/>
        <v>2</v>
      </c>
      <c r="AG704">
        <v>7</v>
      </c>
      <c r="AH704">
        <f t="shared" si="384"/>
        <v>160</v>
      </c>
      <c r="AI704">
        <f t="shared" si="385"/>
        <v>16</v>
      </c>
      <c r="AJ704">
        <f t="shared" si="386"/>
        <v>1920</v>
      </c>
      <c r="AK704">
        <f t="shared" si="387"/>
        <v>192</v>
      </c>
      <c r="AL704">
        <f t="shared" si="388"/>
        <v>53.333333333333336</v>
      </c>
      <c r="AM704">
        <f t="shared" si="389"/>
        <v>5.3333333333333339</v>
      </c>
      <c r="AN704">
        <f t="shared" si="390"/>
        <v>1.5</v>
      </c>
      <c r="AO704">
        <f t="shared" si="391"/>
        <v>1.5</v>
      </c>
      <c r="AP704">
        <f t="shared" si="392"/>
        <v>3</v>
      </c>
      <c r="AQ704">
        <v>102</v>
      </c>
      <c r="AR704">
        <v>1</v>
      </c>
    </row>
    <row r="705" spans="1:44" x14ac:dyDescent="0.15">
      <c r="A705">
        <f t="shared" si="393"/>
        <v>1102074</v>
      </c>
      <c r="B705" s="21" t="s">
        <v>271</v>
      </c>
      <c r="C705">
        <v>7</v>
      </c>
      <c r="D705">
        <v>2</v>
      </c>
      <c r="E705">
        <v>4</v>
      </c>
      <c r="F705" s="6" t="s">
        <v>389</v>
      </c>
      <c r="G705" s="6" t="s">
        <v>390</v>
      </c>
      <c r="H705" s="2">
        <v>0</v>
      </c>
      <c r="I705" s="2">
        <v>0</v>
      </c>
      <c r="J705" s="2">
        <f t="shared" si="375"/>
        <v>3</v>
      </c>
      <c r="K705" s="2">
        <f t="shared" si="376"/>
        <v>1.5</v>
      </c>
      <c r="L705" s="2">
        <f t="shared" si="377"/>
        <v>1.5</v>
      </c>
      <c r="M705" s="2">
        <v>10</v>
      </c>
      <c r="N705" s="2">
        <f t="shared" si="378"/>
        <v>160</v>
      </c>
      <c r="O705" s="2">
        <f t="shared" si="379"/>
        <v>16</v>
      </c>
      <c r="P705" s="2">
        <f t="shared" si="380"/>
        <v>1920</v>
      </c>
      <c r="Q705" s="2">
        <f t="shared" si="381"/>
        <v>192</v>
      </c>
      <c r="R705" s="2">
        <f t="shared" si="382"/>
        <v>53.33</v>
      </c>
      <c r="S705" s="2">
        <f t="shared" si="383"/>
        <v>5.33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25">
        <v>532001</v>
      </c>
      <c r="Z705" s="26" t="s">
        <v>710</v>
      </c>
      <c r="AA705" s="4">
        <v>1</v>
      </c>
      <c r="AB705" s="4">
        <v>0</v>
      </c>
      <c r="AC705" s="4"/>
      <c r="AD705" s="4">
        <f t="shared" si="394"/>
        <v>7805.9520000000002</v>
      </c>
      <c r="AF705" s="1" t="str">
        <f t="shared" si="395"/>
        <v>2</v>
      </c>
      <c r="AG705">
        <v>7</v>
      </c>
      <c r="AH705">
        <f t="shared" si="384"/>
        <v>160</v>
      </c>
      <c r="AI705">
        <f t="shared" si="385"/>
        <v>16</v>
      </c>
      <c r="AJ705">
        <f t="shared" si="386"/>
        <v>1920</v>
      </c>
      <c r="AK705">
        <f t="shared" si="387"/>
        <v>192</v>
      </c>
      <c r="AL705">
        <f t="shared" si="388"/>
        <v>53.333333333333336</v>
      </c>
      <c r="AM705">
        <f t="shared" si="389"/>
        <v>5.3333333333333339</v>
      </c>
      <c r="AN705">
        <f t="shared" si="390"/>
        <v>1.5</v>
      </c>
      <c r="AO705">
        <f t="shared" si="391"/>
        <v>1.5</v>
      </c>
      <c r="AP705">
        <f t="shared" si="392"/>
        <v>3</v>
      </c>
      <c r="AQ705">
        <v>102</v>
      </c>
      <c r="AR705">
        <v>1</v>
      </c>
    </row>
    <row r="706" spans="1:44" x14ac:dyDescent="0.15">
      <c r="A706">
        <f t="shared" si="393"/>
        <v>1102075</v>
      </c>
      <c r="B706" s="21" t="s">
        <v>274</v>
      </c>
      <c r="C706">
        <v>7</v>
      </c>
      <c r="D706">
        <v>2</v>
      </c>
      <c r="E706">
        <v>5</v>
      </c>
      <c r="F706" s="6" t="s">
        <v>391</v>
      </c>
      <c r="G706" s="6" t="s">
        <v>392</v>
      </c>
      <c r="H706">
        <v>0</v>
      </c>
      <c r="I706" s="2">
        <v>0</v>
      </c>
      <c r="J706" s="2">
        <f t="shared" si="375"/>
        <v>3</v>
      </c>
      <c r="K706" s="2">
        <f t="shared" si="376"/>
        <v>1.5</v>
      </c>
      <c r="L706" s="2">
        <f t="shared" si="377"/>
        <v>1.5</v>
      </c>
      <c r="M706" s="2">
        <v>10</v>
      </c>
      <c r="N706" s="2">
        <f t="shared" si="378"/>
        <v>160</v>
      </c>
      <c r="O706" s="2">
        <f t="shared" si="379"/>
        <v>16</v>
      </c>
      <c r="P706" s="2">
        <f t="shared" si="380"/>
        <v>1920</v>
      </c>
      <c r="Q706" s="2">
        <f t="shared" si="381"/>
        <v>192</v>
      </c>
      <c r="R706" s="2">
        <f t="shared" si="382"/>
        <v>53.33</v>
      </c>
      <c r="S706" s="2">
        <f t="shared" si="383"/>
        <v>5.33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25">
        <v>532001</v>
      </c>
      <c r="Z706" s="26" t="s">
        <v>710</v>
      </c>
      <c r="AA706" s="4">
        <v>1</v>
      </c>
      <c r="AB706" s="4">
        <v>0</v>
      </c>
      <c r="AC706" s="4"/>
      <c r="AD706" s="4">
        <f t="shared" si="394"/>
        <v>7805.9520000000002</v>
      </c>
      <c r="AF706" s="1" t="str">
        <f t="shared" si="395"/>
        <v>2</v>
      </c>
      <c r="AG706">
        <v>7</v>
      </c>
      <c r="AH706">
        <f t="shared" si="384"/>
        <v>160</v>
      </c>
      <c r="AI706">
        <f t="shared" si="385"/>
        <v>16</v>
      </c>
      <c r="AJ706">
        <f t="shared" si="386"/>
        <v>1920</v>
      </c>
      <c r="AK706">
        <f t="shared" si="387"/>
        <v>192</v>
      </c>
      <c r="AL706">
        <f t="shared" si="388"/>
        <v>53.333333333333336</v>
      </c>
      <c r="AM706">
        <f t="shared" si="389"/>
        <v>5.3333333333333339</v>
      </c>
      <c r="AN706">
        <f t="shared" si="390"/>
        <v>1.5</v>
      </c>
      <c r="AO706">
        <f t="shared" si="391"/>
        <v>1.5</v>
      </c>
      <c r="AP706">
        <f t="shared" si="392"/>
        <v>3</v>
      </c>
      <c r="AQ706">
        <v>102</v>
      </c>
      <c r="AR706">
        <v>1</v>
      </c>
    </row>
    <row r="707" spans="1:44" x14ac:dyDescent="0.15">
      <c r="A707">
        <f t="shared" si="393"/>
        <v>1102081</v>
      </c>
      <c r="B707" s="21" t="s">
        <v>262</v>
      </c>
      <c r="C707">
        <v>8</v>
      </c>
      <c r="D707">
        <v>2</v>
      </c>
      <c r="E707">
        <v>1</v>
      </c>
      <c r="F707" s="6" t="s">
        <v>383</v>
      </c>
      <c r="G707" s="6" t="s">
        <v>384</v>
      </c>
      <c r="H707" s="2">
        <v>0</v>
      </c>
      <c r="I707" s="2">
        <v>0</v>
      </c>
      <c r="J707" s="2">
        <f t="shared" si="375"/>
        <v>3</v>
      </c>
      <c r="K707" s="2">
        <f t="shared" si="376"/>
        <v>1.5</v>
      </c>
      <c r="L707" s="2">
        <f t="shared" si="377"/>
        <v>1.5</v>
      </c>
      <c r="M707" s="2">
        <v>10</v>
      </c>
      <c r="N707" s="2">
        <f t="shared" si="378"/>
        <v>176</v>
      </c>
      <c r="O707" s="2">
        <f t="shared" si="379"/>
        <v>17.600000000000001</v>
      </c>
      <c r="P707" s="2">
        <f t="shared" si="380"/>
        <v>2112</v>
      </c>
      <c r="Q707" s="2">
        <f t="shared" si="381"/>
        <v>211.2</v>
      </c>
      <c r="R707" s="2">
        <f t="shared" si="382"/>
        <v>58.67</v>
      </c>
      <c r="S707" s="2">
        <f t="shared" si="383"/>
        <v>5.87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25">
        <v>532001</v>
      </c>
      <c r="Z707" s="26" t="s">
        <v>710</v>
      </c>
      <c r="AA707" s="4">
        <v>1</v>
      </c>
      <c r="AB707" s="4">
        <v>0</v>
      </c>
      <c r="AC707" s="4"/>
      <c r="AD707" s="4">
        <f t="shared" si="394"/>
        <v>9445.2019200000013</v>
      </c>
      <c r="AF707" s="1" t="str">
        <f t="shared" si="395"/>
        <v>2</v>
      </c>
      <c r="AG707">
        <v>8</v>
      </c>
      <c r="AH707">
        <f t="shared" si="384"/>
        <v>176</v>
      </c>
      <c r="AI707">
        <f t="shared" si="385"/>
        <v>17.600000000000001</v>
      </c>
      <c r="AJ707">
        <f t="shared" si="386"/>
        <v>2112</v>
      </c>
      <c r="AK707">
        <f t="shared" si="387"/>
        <v>211.20000000000002</v>
      </c>
      <c r="AL707">
        <f t="shared" si="388"/>
        <v>58.666666666666664</v>
      </c>
      <c r="AM707">
        <f t="shared" si="389"/>
        <v>5.8666666666666671</v>
      </c>
      <c r="AN707">
        <f t="shared" si="390"/>
        <v>1.5</v>
      </c>
      <c r="AO707">
        <f t="shared" si="391"/>
        <v>1.5</v>
      </c>
      <c r="AP707">
        <f t="shared" si="392"/>
        <v>3</v>
      </c>
      <c r="AQ707">
        <v>102</v>
      </c>
      <c r="AR707">
        <v>1</v>
      </c>
    </row>
    <row r="708" spans="1:44" x14ac:dyDescent="0.15">
      <c r="A708">
        <f t="shared" si="393"/>
        <v>1102082</v>
      </c>
      <c r="B708" s="21" t="s">
        <v>265</v>
      </c>
      <c r="C708">
        <v>8</v>
      </c>
      <c r="D708">
        <v>2</v>
      </c>
      <c r="E708">
        <v>2</v>
      </c>
      <c r="F708" s="6" t="s">
        <v>385</v>
      </c>
      <c r="G708" s="6" t="s">
        <v>386</v>
      </c>
      <c r="H708" s="2">
        <v>0</v>
      </c>
      <c r="I708" s="2">
        <v>0</v>
      </c>
      <c r="J708" s="2">
        <f t="shared" si="375"/>
        <v>3</v>
      </c>
      <c r="K708" s="2">
        <f t="shared" si="376"/>
        <v>1.5</v>
      </c>
      <c r="L708" s="2">
        <f t="shared" si="377"/>
        <v>1.5</v>
      </c>
      <c r="M708" s="2">
        <v>10</v>
      </c>
      <c r="N708" s="2">
        <f t="shared" si="378"/>
        <v>176</v>
      </c>
      <c r="O708" s="2">
        <f t="shared" si="379"/>
        <v>17.600000000000001</v>
      </c>
      <c r="P708" s="2">
        <f t="shared" si="380"/>
        <v>2112</v>
      </c>
      <c r="Q708" s="2">
        <f t="shared" si="381"/>
        <v>211.2</v>
      </c>
      <c r="R708" s="2">
        <f t="shared" si="382"/>
        <v>58.67</v>
      </c>
      <c r="S708" s="2">
        <f t="shared" si="383"/>
        <v>5.87</v>
      </c>
      <c r="T708" s="2">
        <v>0</v>
      </c>
      <c r="U708" s="2">
        <v>0</v>
      </c>
      <c r="V708" s="2">
        <v>0</v>
      </c>
      <c r="W708" s="2">
        <v>0</v>
      </c>
      <c r="X708" s="2">
        <v>0</v>
      </c>
      <c r="Y708" s="25">
        <v>532001</v>
      </c>
      <c r="Z708" s="26" t="s">
        <v>710</v>
      </c>
      <c r="AA708" s="4">
        <v>1</v>
      </c>
      <c r="AB708" s="4">
        <v>0</v>
      </c>
      <c r="AC708" s="4"/>
      <c r="AD708" s="4">
        <f t="shared" si="394"/>
        <v>9445.2019200000013</v>
      </c>
      <c r="AF708" s="1" t="str">
        <f t="shared" si="395"/>
        <v>2</v>
      </c>
      <c r="AG708">
        <v>8</v>
      </c>
      <c r="AH708">
        <f t="shared" si="384"/>
        <v>176</v>
      </c>
      <c r="AI708">
        <f t="shared" si="385"/>
        <v>17.600000000000001</v>
      </c>
      <c r="AJ708">
        <f t="shared" si="386"/>
        <v>2112</v>
      </c>
      <c r="AK708">
        <f t="shared" si="387"/>
        <v>211.20000000000002</v>
      </c>
      <c r="AL708">
        <f t="shared" si="388"/>
        <v>58.666666666666664</v>
      </c>
      <c r="AM708">
        <f t="shared" si="389"/>
        <v>5.8666666666666671</v>
      </c>
      <c r="AN708">
        <f t="shared" si="390"/>
        <v>1.5</v>
      </c>
      <c r="AO708">
        <f t="shared" si="391"/>
        <v>1.5</v>
      </c>
      <c r="AP708">
        <f t="shared" si="392"/>
        <v>3</v>
      </c>
      <c r="AQ708">
        <v>102</v>
      </c>
      <c r="AR708">
        <v>1</v>
      </c>
    </row>
    <row r="709" spans="1:44" x14ac:dyDescent="0.15">
      <c r="A709">
        <f t="shared" si="393"/>
        <v>1102083</v>
      </c>
      <c r="B709" s="21" t="s">
        <v>268</v>
      </c>
      <c r="C709">
        <v>8</v>
      </c>
      <c r="D709">
        <v>2</v>
      </c>
      <c r="E709">
        <v>3</v>
      </c>
      <c r="F709" s="6" t="s">
        <v>387</v>
      </c>
      <c r="G709" s="6" t="s">
        <v>388</v>
      </c>
      <c r="H709" s="2">
        <v>0</v>
      </c>
      <c r="I709" s="2">
        <v>0</v>
      </c>
      <c r="J709" s="2">
        <f t="shared" si="375"/>
        <v>3</v>
      </c>
      <c r="K709" s="2">
        <f t="shared" si="376"/>
        <v>1.5</v>
      </c>
      <c r="L709" s="2">
        <f t="shared" si="377"/>
        <v>1.5</v>
      </c>
      <c r="M709" s="2">
        <v>10</v>
      </c>
      <c r="N709" s="2">
        <f t="shared" si="378"/>
        <v>176</v>
      </c>
      <c r="O709" s="2">
        <f t="shared" si="379"/>
        <v>17.600000000000001</v>
      </c>
      <c r="P709" s="2">
        <f t="shared" si="380"/>
        <v>2112</v>
      </c>
      <c r="Q709" s="2">
        <f t="shared" si="381"/>
        <v>211.2</v>
      </c>
      <c r="R709" s="2">
        <f t="shared" si="382"/>
        <v>58.67</v>
      </c>
      <c r="S709" s="2">
        <f t="shared" si="383"/>
        <v>5.87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25">
        <v>532001</v>
      </c>
      <c r="Z709" s="26" t="s">
        <v>710</v>
      </c>
      <c r="AA709" s="4">
        <v>1</v>
      </c>
      <c r="AB709" s="4">
        <v>0</v>
      </c>
      <c r="AC709" s="4"/>
      <c r="AD709" s="4">
        <f t="shared" si="394"/>
        <v>9445.2019200000013</v>
      </c>
      <c r="AF709" s="1" t="str">
        <f t="shared" si="395"/>
        <v>2</v>
      </c>
      <c r="AG709">
        <v>8</v>
      </c>
      <c r="AH709">
        <f t="shared" si="384"/>
        <v>176</v>
      </c>
      <c r="AI709">
        <f t="shared" si="385"/>
        <v>17.600000000000001</v>
      </c>
      <c r="AJ709">
        <f t="shared" si="386"/>
        <v>2112</v>
      </c>
      <c r="AK709">
        <f t="shared" si="387"/>
        <v>211.20000000000002</v>
      </c>
      <c r="AL709">
        <f t="shared" si="388"/>
        <v>58.666666666666664</v>
      </c>
      <c r="AM709">
        <f t="shared" si="389"/>
        <v>5.8666666666666671</v>
      </c>
      <c r="AN709">
        <f t="shared" si="390"/>
        <v>1.5</v>
      </c>
      <c r="AO709">
        <f t="shared" si="391"/>
        <v>1.5</v>
      </c>
      <c r="AP709">
        <f t="shared" si="392"/>
        <v>3</v>
      </c>
      <c r="AQ709">
        <v>102</v>
      </c>
      <c r="AR709">
        <v>1</v>
      </c>
    </row>
    <row r="710" spans="1:44" x14ac:dyDescent="0.15">
      <c r="A710">
        <f t="shared" si="393"/>
        <v>1102084</v>
      </c>
      <c r="B710" s="21" t="s">
        <v>271</v>
      </c>
      <c r="C710">
        <v>8</v>
      </c>
      <c r="D710">
        <v>2</v>
      </c>
      <c r="E710">
        <v>4</v>
      </c>
      <c r="F710" s="6" t="s">
        <v>389</v>
      </c>
      <c r="G710" s="6" t="s">
        <v>390</v>
      </c>
      <c r="H710" s="2">
        <v>0</v>
      </c>
      <c r="I710" s="2">
        <v>0</v>
      </c>
      <c r="J710" s="2">
        <f t="shared" si="375"/>
        <v>3</v>
      </c>
      <c r="K710" s="2">
        <f t="shared" si="376"/>
        <v>1.5</v>
      </c>
      <c r="L710" s="2">
        <f t="shared" si="377"/>
        <v>1.5</v>
      </c>
      <c r="M710" s="2">
        <v>10</v>
      </c>
      <c r="N710" s="2">
        <f t="shared" si="378"/>
        <v>176</v>
      </c>
      <c r="O710" s="2">
        <f t="shared" si="379"/>
        <v>17.600000000000001</v>
      </c>
      <c r="P710" s="2">
        <f t="shared" si="380"/>
        <v>2112</v>
      </c>
      <c r="Q710" s="2">
        <f t="shared" si="381"/>
        <v>211.2</v>
      </c>
      <c r="R710" s="2">
        <f t="shared" si="382"/>
        <v>58.67</v>
      </c>
      <c r="S710" s="2">
        <f t="shared" si="383"/>
        <v>5.87</v>
      </c>
      <c r="T710" s="2">
        <v>0</v>
      </c>
      <c r="U710" s="2">
        <v>0</v>
      </c>
      <c r="V710" s="2">
        <v>0</v>
      </c>
      <c r="W710" s="2">
        <v>0</v>
      </c>
      <c r="X710" s="2">
        <v>0</v>
      </c>
      <c r="Y710" s="25">
        <v>532001</v>
      </c>
      <c r="Z710" s="26" t="s">
        <v>710</v>
      </c>
      <c r="AA710" s="4">
        <v>1</v>
      </c>
      <c r="AB710" s="4">
        <v>0</v>
      </c>
      <c r="AC710" s="4"/>
      <c r="AD710" s="4">
        <f t="shared" si="394"/>
        <v>9445.2019200000013</v>
      </c>
      <c r="AF710" s="1" t="str">
        <f t="shared" si="395"/>
        <v>2</v>
      </c>
      <c r="AG710">
        <v>8</v>
      </c>
      <c r="AH710">
        <f t="shared" si="384"/>
        <v>176</v>
      </c>
      <c r="AI710">
        <f t="shared" si="385"/>
        <v>17.600000000000001</v>
      </c>
      <c r="AJ710">
        <f t="shared" si="386"/>
        <v>2112</v>
      </c>
      <c r="AK710">
        <f t="shared" si="387"/>
        <v>211.20000000000002</v>
      </c>
      <c r="AL710">
        <f t="shared" si="388"/>
        <v>58.666666666666664</v>
      </c>
      <c r="AM710">
        <f t="shared" si="389"/>
        <v>5.8666666666666671</v>
      </c>
      <c r="AN710">
        <f t="shared" si="390"/>
        <v>1.5</v>
      </c>
      <c r="AO710">
        <f t="shared" si="391"/>
        <v>1.5</v>
      </c>
      <c r="AP710">
        <f t="shared" si="392"/>
        <v>3</v>
      </c>
      <c r="AQ710">
        <v>102</v>
      </c>
      <c r="AR710">
        <v>1</v>
      </c>
    </row>
    <row r="711" spans="1:44" x14ac:dyDescent="0.15">
      <c r="A711">
        <f t="shared" si="393"/>
        <v>1102085</v>
      </c>
      <c r="B711" s="21" t="s">
        <v>274</v>
      </c>
      <c r="C711">
        <v>8</v>
      </c>
      <c r="D711">
        <v>2</v>
      </c>
      <c r="E711">
        <v>5</v>
      </c>
      <c r="F711" s="6" t="s">
        <v>391</v>
      </c>
      <c r="G711" s="6" t="s">
        <v>392</v>
      </c>
      <c r="H711">
        <v>0</v>
      </c>
      <c r="I711" s="2">
        <v>0</v>
      </c>
      <c r="J711" s="2">
        <f t="shared" si="375"/>
        <v>3</v>
      </c>
      <c r="K711" s="2">
        <f t="shared" si="376"/>
        <v>1.5</v>
      </c>
      <c r="L711" s="2">
        <f t="shared" si="377"/>
        <v>1.5</v>
      </c>
      <c r="M711" s="2">
        <v>10</v>
      </c>
      <c r="N711" s="2">
        <f t="shared" si="378"/>
        <v>176</v>
      </c>
      <c r="O711" s="2">
        <f t="shared" si="379"/>
        <v>17.600000000000001</v>
      </c>
      <c r="P711" s="2">
        <f t="shared" si="380"/>
        <v>2112</v>
      </c>
      <c r="Q711" s="2">
        <f t="shared" si="381"/>
        <v>211.2</v>
      </c>
      <c r="R711" s="2">
        <f t="shared" si="382"/>
        <v>58.67</v>
      </c>
      <c r="S711" s="2">
        <f t="shared" si="383"/>
        <v>5.87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25">
        <v>532001</v>
      </c>
      <c r="Z711" s="26" t="s">
        <v>710</v>
      </c>
      <c r="AA711" s="4">
        <v>1</v>
      </c>
      <c r="AB711" s="4">
        <v>0</v>
      </c>
      <c r="AC711" s="4"/>
      <c r="AD711" s="4">
        <f t="shared" si="394"/>
        <v>9445.2019200000013</v>
      </c>
      <c r="AF711" s="1" t="str">
        <f t="shared" si="395"/>
        <v>2</v>
      </c>
      <c r="AG711">
        <v>8</v>
      </c>
      <c r="AH711">
        <f t="shared" si="384"/>
        <v>176</v>
      </c>
      <c r="AI711">
        <f t="shared" si="385"/>
        <v>17.600000000000001</v>
      </c>
      <c r="AJ711">
        <f t="shared" si="386"/>
        <v>2112</v>
      </c>
      <c r="AK711">
        <f t="shared" si="387"/>
        <v>211.20000000000002</v>
      </c>
      <c r="AL711">
        <f t="shared" si="388"/>
        <v>58.666666666666664</v>
      </c>
      <c r="AM711">
        <f t="shared" si="389"/>
        <v>5.8666666666666671</v>
      </c>
      <c r="AN711">
        <f t="shared" si="390"/>
        <v>1.5</v>
      </c>
      <c r="AO711">
        <f t="shared" si="391"/>
        <v>1.5</v>
      </c>
      <c r="AP711">
        <f t="shared" si="392"/>
        <v>3</v>
      </c>
      <c r="AQ711">
        <v>102</v>
      </c>
      <c r="AR711">
        <v>1</v>
      </c>
    </row>
    <row r="712" spans="1:44" x14ac:dyDescent="0.15">
      <c r="A712">
        <f t="shared" si="393"/>
        <v>1102091</v>
      </c>
      <c r="B712" s="21" t="s">
        <v>262</v>
      </c>
      <c r="C712">
        <v>9</v>
      </c>
      <c r="D712">
        <v>2</v>
      </c>
      <c r="E712">
        <v>1</v>
      </c>
      <c r="F712" s="6" t="s">
        <v>383</v>
      </c>
      <c r="G712" s="6" t="s">
        <v>384</v>
      </c>
      <c r="H712" s="2">
        <v>0</v>
      </c>
      <c r="I712" s="2">
        <v>0</v>
      </c>
      <c r="J712" s="2">
        <f t="shared" si="375"/>
        <v>3</v>
      </c>
      <c r="K712" s="2">
        <f t="shared" si="376"/>
        <v>1.5</v>
      </c>
      <c r="L712" s="2">
        <f t="shared" si="377"/>
        <v>1.5</v>
      </c>
      <c r="M712" s="2">
        <v>10</v>
      </c>
      <c r="N712" s="2">
        <f t="shared" si="378"/>
        <v>192</v>
      </c>
      <c r="O712" s="2">
        <f t="shared" si="379"/>
        <v>19.2</v>
      </c>
      <c r="P712" s="2">
        <f t="shared" si="380"/>
        <v>2304</v>
      </c>
      <c r="Q712" s="2">
        <f t="shared" si="381"/>
        <v>230.4</v>
      </c>
      <c r="R712" s="2">
        <f t="shared" si="382"/>
        <v>64</v>
      </c>
      <c r="S712" s="2">
        <f t="shared" si="383"/>
        <v>6.4</v>
      </c>
      <c r="T712" s="2">
        <v>0</v>
      </c>
      <c r="U712" s="2">
        <v>0</v>
      </c>
      <c r="V712" s="2">
        <v>0</v>
      </c>
      <c r="W712" s="2">
        <v>0</v>
      </c>
      <c r="X712" s="2">
        <v>0</v>
      </c>
      <c r="Y712" s="25">
        <v>532001</v>
      </c>
      <c r="Z712" s="26" t="s">
        <v>710</v>
      </c>
      <c r="AA712" s="4">
        <v>1</v>
      </c>
      <c r="AB712" s="4">
        <v>0</v>
      </c>
      <c r="AC712" s="4"/>
      <c r="AD712" s="4">
        <f t="shared" si="394"/>
        <v>11240.570879999999</v>
      </c>
      <c r="AF712" s="1" t="str">
        <f t="shared" si="395"/>
        <v>2</v>
      </c>
      <c r="AG712">
        <v>9</v>
      </c>
      <c r="AH712">
        <f t="shared" si="384"/>
        <v>192</v>
      </c>
      <c r="AI712">
        <f t="shared" si="385"/>
        <v>19.200000000000003</v>
      </c>
      <c r="AJ712">
        <f t="shared" si="386"/>
        <v>2304</v>
      </c>
      <c r="AK712">
        <f t="shared" si="387"/>
        <v>230.4</v>
      </c>
      <c r="AL712">
        <f t="shared" si="388"/>
        <v>64</v>
      </c>
      <c r="AM712">
        <f t="shared" si="389"/>
        <v>6.4</v>
      </c>
      <c r="AN712">
        <f t="shared" si="390"/>
        <v>1.5</v>
      </c>
      <c r="AO712">
        <f t="shared" si="391"/>
        <v>1.5</v>
      </c>
      <c r="AP712">
        <f t="shared" si="392"/>
        <v>3</v>
      </c>
      <c r="AQ712">
        <v>102</v>
      </c>
      <c r="AR712">
        <v>1</v>
      </c>
    </row>
    <row r="713" spans="1:44" x14ac:dyDescent="0.15">
      <c r="A713">
        <f t="shared" si="393"/>
        <v>1102092</v>
      </c>
      <c r="B713" s="21" t="s">
        <v>265</v>
      </c>
      <c r="C713">
        <v>9</v>
      </c>
      <c r="D713">
        <v>2</v>
      </c>
      <c r="E713">
        <v>2</v>
      </c>
      <c r="F713" s="6" t="s">
        <v>385</v>
      </c>
      <c r="G713" s="6" t="s">
        <v>386</v>
      </c>
      <c r="H713" s="2">
        <v>0</v>
      </c>
      <c r="I713" s="2">
        <v>0</v>
      </c>
      <c r="J713" s="2">
        <f t="shared" si="375"/>
        <v>3</v>
      </c>
      <c r="K713" s="2">
        <f t="shared" si="376"/>
        <v>1.5</v>
      </c>
      <c r="L713" s="2">
        <f t="shared" si="377"/>
        <v>1.5</v>
      </c>
      <c r="M713" s="2">
        <v>10</v>
      </c>
      <c r="N713" s="2">
        <f t="shared" si="378"/>
        <v>192</v>
      </c>
      <c r="O713" s="2">
        <f t="shared" si="379"/>
        <v>19.2</v>
      </c>
      <c r="P713" s="2">
        <f t="shared" si="380"/>
        <v>2304</v>
      </c>
      <c r="Q713" s="2">
        <f t="shared" si="381"/>
        <v>230.4</v>
      </c>
      <c r="R713" s="2">
        <f t="shared" si="382"/>
        <v>64</v>
      </c>
      <c r="S713" s="2">
        <f t="shared" si="383"/>
        <v>6.4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25">
        <v>532001</v>
      </c>
      <c r="Z713" s="26" t="s">
        <v>710</v>
      </c>
      <c r="AA713" s="4">
        <v>1</v>
      </c>
      <c r="AB713" s="4">
        <v>0</v>
      </c>
      <c r="AC713" s="4"/>
      <c r="AD713" s="4">
        <f t="shared" si="394"/>
        <v>11240.570879999999</v>
      </c>
      <c r="AF713" s="1" t="str">
        <f t="shared" si="395"/>
        <v>2</v>
      </c>
      <c r="AG713">
        <v>9</v>
      </c>
      <c r="AH713">
        <f t="shared" si="384"/>
        <v>192</v>
      </c>
      <c r="AI713">
        <f t="shared" si="385"/>
        <v>19.200000000000003</v>
      </c>
      <c r="AJ713">
        <f t="shared" si="386"/>
        <v>2304</v>
      </c>
      <c r="AK713">
        <f t="shared" si="387"/>
        <v>230.4</v>
      </c>
      <c r="AL713">
        <f t="shared" si="388"/>
        <v>64</v>
      </c>
      <c r="AM713">
        <f t="shared" si="389"/>
        <v>6.4</v>
      </c>
      <c r="AN713">
        <f t="shared" si="390"/>
        <v>1.5</v>
      </c>
      <c r="AO713">
        <f t="shared" si="391"/>
        <v>1.5</v>
      </c>
      <c r="AP713">
        <f t="shared" si="392"/>
        <v>3</v>
      </c>
      <c r="AQ713">
        <v>102</v>
      </c>
      <c r="AR713">
        <v>1</v>
      </c>
    </row>
    <row r="714" spans="1:44" x14ac:dyDescent="0.15">
      <c r="A714">
        <f t="shared" si="393"/>
        <v>1102093</v>
      </c>
      <c r="B714" s="21" t="s">
        <v>268</v>
      </c>
      <c r="C714">
        <v>9</v>
      </c>
      <c r="D714">
        <v>2</v>
      </c>
      <c r="E714">
        <v>3</v>
      </c>
      <c r="F714" s="6" t="s">
        <v>387</v>
      </c>
      <c r="G714" s="6" t="s">
        <v>388</v>
      </c>
      <c r="H714" s="2">
        <v>0</v>
      </c>
      <c r="I714" s="2">
        <v>0</v>
      </c>
      <c r="J714" s="2">
        <f t="shared" si="375"/>
        <v>3</v>
      </c>
      <c r="K714" s="2">
        <f t="shared" si="376"/>
        <v>1.5</v>
      </c>
      <c r="L714" s="2">
        <f t="shared" si="377"/>
        <v>1.5</v>
      </c>
      <c r="M714" s="2">
        <v>10</v>
      </c>
      <c r="N714" s="2">
        <f t="shared" si="378"/>
        <v>192</v>
      </c>
      <c r="O714" s="2">
        <f t="shared" si="379"/>
        <v>19.2</v>
      </c>
      <c r="P714" s="2">
        <f t="shared" si="380"/>
        <v>2304</v>
      </c>
      <c r="Q714" s="2">
        <f t="shared" si="381"/>
        <v>230.4</v>
      </c>
      <c r="R714" s="2">
        <f t="shared" si="382"/>
        <v>64</v>
      </c>
      <c r="S714" s="2">
        <f t="shared" si="383"/>
        <v>6.4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25">
        <v>532001</v>
      </c>
      <c r="Z714" s="26" t="s">
        <v>710</v>
      </c>
      <c r="AA714" s="4">
        <v>1</v>
      </c>
      <c r="AB714" s="4">
        <v>0</v>
      </c>
      <c r="AC714" s="4"/>
      <c r="AD714" s="4">
        <f t="shared" si="394"/>
        <v>11240.570879999999</v>
      </c>
      <c r="AF714" s="1" t="str">
        <f t="shared" si="395"/>
        <v>2</v>
      </c>
      <c r="AG714">
        <v>9</v>
      </c>
      <c r="AH714">
        <f t="shared" si="384"/>
        <v>192</v>
      </c>
      <c r="AI714">
        <f t="shared" si="385"/>
        <v>19.200000000000003</v>
      </c>
      <c r="AJ714">
        <f t="shared" si="386"/>
        <v>2304</v>
      </c>
      <c r="AK714">
        <f t="shared" si="387"/>
        <v>230.4</v>
      </c>
      <c r="AL714">
        <f t="shared" si="388"/>
        <v>64</v>
      </c>
      <c r="AM714">
        <f t="shared" si="389"/>
        <v>6.4</v>
      </c>
      <c r="AN714">
        <f t="shared" si="390"/>
        <v>1.5</v>
      </c>
      <c r="AO714">
        <f t="shared" si="391"/>
        <v>1.5</v>
      </c>
      <c r="AP714">
        <f t="shared" si="392"/>
        <v>3</v>
      </c>
      <c r="AQ714">
        <v>102</v>
      </c>
      <c r="AR714">
        <v>1</v>
      </c>
    </row>
    <row r="715" spans="1:44" x14ac:dyDescent="0.15">
      <c r="A715">
        <f t="shared" si="393"/>
        <v>1102094</v>
      </c>
      <c r="B715" s="21" t="s">
        <v>271</v>
      </c>
      <c r="C715">
        <v>9</v>
      </c>
      <c r="D715">
        <v>2</v>
      </c>
      <c r="E715">
        <v>4</v>
      </c>
      <c r="F715" s="6" t="s">
        <v>389</v>
      </c>
      <c r="G715" s="6" t="s">
        <v>390</v>
      </c>
      <c r="H715" s="2">
        <v>0</v>
      </c>
      <c r="I715" s="2">
        <v>0</v>
      </c>
      <c r="J715" s="2">
        <f t="shared" si="375"/>
        <v>3</v>
      </c>
      <c r="K715" s="2">
        <f t="shared" si="376"/>
        <v>1.5</v>
      </c>
      <c r="L715" s="2">
        <f t="shared" si="377"/>
        <v>1.5</v>
      </c>
      <c r="M715" s="2">
        <v>10</v>
      </c>
      <c r="N715" s="2">
        <f t="shared" si="378"/>
        <v>192</v>
      </c>
      <c r="O715" s="2">
        <f t="shared" si="379"/>
        <v>19.2</v>
      </c>
      <c r="P715" s="2">
        <f t="shared" si="380"/>
        <v>2304</v>
      </c>
      <c r="Q715" s="2">
        <f t="shared" si="381"/>
        <v>230.4</v>
      </c>
      <c r="R715" s="2">
        <f t="shared" si="382"/>
        <v>64</v>
      </c>
      <c r="S715" s="2">
        <f t="shared" si="383"/>
        <v>6.4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25">
        <v>532001</v>
      </c>
      <c r="Z715" s="26" t="s">
        <v>710</v>
      </c>
      <c r="AA715" s="4">
        <v>1</v>
      </c>
      <c r="AB715" s="4">
        <v>0</v>
      </c>
      <c r="AC715" s="4"/>
      <c r="AD715" s="4">
        <f t="shared" si="394"/>
        <v>11240.570879999999</v>
      </c>
      <c r="AF715" s="1" t="str">
        <f t="shared" si="395"/>
        <v>2</v>
      </c>
      <c r="AG715">
        <v>9</v>
      </c>
      <c r="AH715">
        <f t="shared" si="384"/>
        <v>192</v>
      </c>
      <c r="AI715">
        <f t="shared" si="385"/>
        <v>19.200000000000003</v>
      </c>
      <c r="AJ715">
        <f t="shared" si="386"/>
        <v>2304</v>
      </c>
      <c r="AK715">
        <f t="shared" si="387"/>
        <v>230.4</v>
      </c>
      <c r="AL715">
        <f t="shared" si="388"/>
        <v>64</v>
      </c>
      <c r="AM715">
        <f t="shared" si="389"/>
        <v>6.4</v>
      </c>
      <c r="AN715">
        <f t="shared" si="390"/>
        <v>1.5</v>
      </c>
      <c r="AO715">
        <f t="shared" si="391"/>
        <v>1.5</v>
      </c>
      <c r="AP715">
        <f t="shared" si="392"/>
        <v>3</v>
      </c>
      <c r="AQ715">
        <v>102</v>
      </c>
      <c r="AR715">
        <v>1</v>
      </c>
    </row>
    <row r="716" spans="1:44" x14ac:dyDescent="0.15">
      <c r="A716">
        <f t="shared" si="393"/>
        <v>1102095</v>
      </c>
      <c r="B716" s="21" t="s">
        <v>274</v>
      </c>
      <c r="C716">
        <v>9</v>
      </c>
      <c r="D716">
        <v>2</v>
      </c>
      <c r="E716">
        <v>5</v>
      </c>
      <c r="F716" s="6" t="s">
        <v>391</v>
      </c>
      <c r="G716" s="6" t="s">
        <v>392</v>
      </c>
      <c r="H716">
        <v>0</v>
      </c>
      <c r="I716" s="2">
        <v>0</v>
      </c>
      <c r="J716" s="2">
        <f t="shared" si="375"/>
        <v>3</v>
      </c>
      <c r="K716" s="2">
        <f t="shared" si="376"/>
        <v>1.5</v>
      </c>
      <c r="L716" s="2">
        <f t="shared" si="377"/>
        <v>1.5</v>
      </c>
      <c r="M716" s="2">
        <v>10</v>
      </c>
      <c r="N716" s="2">
        <f t="shared" si="378"/>
        <v>192</v>
      </c>
      <c r="O716" s="2">
        <f t="shared" si="379"/>
        <v>19.2</v>
      </c>
      <c r="P716" s="2">
        <f t="shared" si="380"/>
        <v>2304</v>
      </c>
      <c r="Q716" s="2">
        <f t="shared" si="381"/>
        <v>230.4</v>
      </c>
      <c r="R716" s="2">
        <f t="shared" si="382"/>
        <v>64</v>
      </c>
      <c r="S716" s="2">
        <f t="shared" si="383"/>
        <v>6.4</v>
      </c>
      <c r="T716" s="2">
        <v>0</v>
      </c>
      <c r="U716" s="2">
        <v>0</v>
      </c>
      <c r="V716" s="2">
        <v>0</v>
      </c>
      <c r="W716" s="2">
        <v>0</v>
      </c>
      <c r="X716" s="2">
        <v>0</v>
      </c>
      <c r="Y716" s="25">
        <v>532001</v>
      </c>
      <c r="Z716" s="26" t="s">
        <v>710</v>
      </c>
      <c r="AA716" s="4">
        <v>1</v>
      </c>
      <c r="AB716" s="4">
        <v>0</v>
      </c>
      <c r="AC716" s="4"/>
      <c r="AD716" s="4">
        <f t="shared" si="394"/>
        <v>11240.570879999999</v>
      </c>
      <c r="AF716" s="1" t="str">
        <f t="shared" si="395"/>
        <v>2</v>
      </c>
      <c r="AG716">
        <v>9</v>
      </c>
      <c r="AH716">
        <f t="shared" si="384"/>
        <v>192</v>
      </c>
      <c r="AI716">
        <f t="shared" si="385"/>
        <v>19.200000000000003</v>
      </c>
      <c r="AJ716">
        <f t="shared" si="386"/>
        <v>2304</v>
      </c>
      <c r="AK716">
        <f t="shared" si="387"/>
        <v>230.4</v>
      </c>
      <c r="AL716">
        <f t="shared" si="388"/>
        <v>64</v>
      </c>
      <c r="AM716">
        <f t="shared" si="389"/>
        <v>6.4</v>
      </c>
      <c r="AN716">
        <f t="shared" si="390"/>
        <v>1.5</v>
      </c>
      <c r="AO716">
        <f t="shared" si="391"/>
        <v>1.5</v>
      </c>
      <c r="AP716">
        <f t="shared" si="392"/>
        <v>3</v>
      </c>
      <c r="AQ716">
        <v>102</v>
      </c>
      <c r="AR716">
        <v>1</v>
      </c>
    </row>
    <row r="717" spans="1:44" x14ac:dyDescent="0.15">
      <c r="A717">
        <f t="shared" si="393"/>
        <v>1102101</v>
      </c>
      <c r="B717" s="21" t="s">
        <v>262</v>
      </c>
      <c r="C717">
        <v>10</v>
      </c>
      <c r="D717">
        <v>2</v>
      </c>
      <c r="E717">
        <v>1</v>
      </c>
      <c r="F717" s="6" t="s">
        <v>383</v>
      </c>
      <c r="G717" s="6" t="s">
        <v>384</v>
      </c>
      <c r="H717" s="2">
        <v>0</v>
      </c>
      <c r="I717" s="2">
        <v>0</v>
      </c>
      <c r="J717" s="2">
        <f t="shared" si="375"/>
        <v>3</v>
      </c>
      <c r="K717" s="2">
        <f t="shared" si="376"/>
        <v>1.5</v>
      </c>
      <c r="L717" s="2">
        <f t="shared" si="377"/>
        <v>1.5</v>
      </c>
      <c r="M717" s="2">
        <v>10</v>
      </c>
      <c r="N717" s="2">
        <f t="shared" si="378"/>
        <v>208</v>
      </c>
      <c r="O717" s="2">
        <f t="shared" si="379"/>
        <v>20.8</v>
      </c>
      <c r="P717" s="2">
        <f t="shared" si="380"/>
        <v>2496</v>
      </c>
      <c r="Q717" s="2">
        <f t="shared" si="381"/>
        <v>249.6</v>
      </c>
      <c r="R717" s="2">
        <f t="shared" si="382"/>
        <v>69.33</v>
      </c>
      <c r="S717" s="2">
        <f t="shared" si="383"/>
        <v>6.93</v>
      </c>
      <c r="T717" s="2">
        <v>0</v>
      </c>
      <c r="U717" s="2">
        <v>0</v>
      </c>
      <c r="V717" s="2">
        <v>0</v>
      </c>
      <c r="W717" s="2">
        <v>0</v>
      </c>
      <c r="X717" s="2">
        <v>0</v>
      </c>
      <c r="Y717" s="25">
        <v>532001</v>
      </c>
      <c r="Z717" s="26" t="s">
        <v>710</v>
      </c>
      <c r="AA717" s="4">
        <v>1</v>
      </c>
      <c r="AB717" s="4">
        <v>0</v>
      </c>
      <c r="AC717" s="4"/>
      <c r="AD717" s="4">
        <f t="shared" si="394"/>
        <v>13192.05888</v>
      </c>
      <c r="AF717" s="1" t="str">
        <f t="shared" si="395"/>
        <v>2</v>
      </c>
      <c r="AG717">
        <v>10</v>
      </c>
      <c r="AH717">
        <f t="shared" si="384"/>
        <v>208</v>
      </c>
      <c r="AI717">
        <f t="shared" si="385"/>
        <v>20.8</v>
      </c>
      <c r="AJ717">
        <f t="shared" si="386"/>
        <v>2496</v>
      </c>
      <c r="AK717">
        <f t="shared" si="387"/>
        <v>249.60000000000002</v>
      </c>
      <c r="AL717">
        <f t="shared" si="388"/>
        <v>69.333333333333329</v>
      </c>
      <c r="AM717">
        <f t="shared" si="389"/>
        <v>6.9333333333333336</v>
      </c>
      <c r="AN717">
        <f t="shared" si="390"/>
        <v>1.5</v>
      </c>
      <c r="AO717">
        <f t="shared" si="391"/>
        <v>1.5</v>
      </c>
      <c r="AP717">
        <f t="shared" si="392"/>
        <v>3</v>
      </c>
      <c r="AQ717">
        <v>102</v>
      </c>
      <c r="AR717">
        <v>1</v>
      </c>
    </row>
    <row r="718" spans="1:44" x14ac:dyDescent="0.15">
      <c r="A718">
        <f t="shared" si="393"/>
        <v>1102102</v>
      </c>
      <c r="B718" s="21" t="s">
        <v>265</v>
      </c>
      <c r="C718">
        <v>10</v>
      </c>
      <c r="D718">
        <v>2</v>
      </c>
      <c r="E718">
        <v>2</v>
      </c>
      <c r="F718" s="6" t="s">
        <v>385</v>
      </c>
      <c r="G718" s="6" t="s">
        <v>386</v>
      </c>
      <c r="H718" s="2">
        <v>0</v>
      </c>
      <c r="I718" s="2">
        <v>0</v>
      </c>
      <c r="J718" s="2">
        <f t="shared" ref="J718:J781" si="396">AP718</f>
        <v>3</v>
      </c>
      <c r="K718" s="2">
        <f t="shared" ref="K718:K781" si="397">FLOOR(AN718/1,0.01)</f>
        <v>1.5</v>
      </c>
      <c r="L718" s="2">
        <f t="shared" ref="L718:L781" si="398">FLOOR(AO718/1,0.01)</f>
        <v>1.5</v>
      </c>
      <c r="M718" s="2">
        <v>10</v>
      </c>
      <c r="N718" s="2">
        <f t="shared" ref="N718:N781" si="399">ROUND(AH718,2)</f>
        <v>208</v>
      </c>
      <c r="O718" s="2">
        <f t="shared" ref="O718:O781" si="400">ROUND(AI718,2)</f>
        <v>20.8</v>
      </c>
      <c r="P718" s="2">
        <f t="shared" ref="P718:P781" si="401">ROUND(AJ718,2)</f>
        <v>2496</v>
      </c>
      <c r="Q718" s="2">
        <f t="shared" ref="Q718:Q781" si="402">ROUND(AK718,2)</f>
        <v>249.6</v>
      </c>
      <c r="R718" s="2">
        <f t="shared" ref="R718:R781" si="403">ROUND(AL718,2)</f>
        <v>69.33</v>
      </c>
      <c r="S718" s="2">
        <f t="shared" ref="S718:S781" si="404">ROUND(AM718,2)</f>
        <v>6.93</v>
      </c>
      <c r="T718" s="2">
        <v>0</v>
      </c>
      <c r="U718" s="2">
        <v>0</v>
      </c>
      <c r="V718" s="2">
        <v>0</v>
      </c>
      <c r="W718" s="2">
        <v>0</v>
      </c>
      <c r="X718" s="2">
        <v>0</v>
      </c>
      <c r="Y718" s="25">
        <v>532001</v>
      </c>
      <c r="Z718" s="26" t="s">
        <v>710</v>
      </c>
      <c r="AA718" s="4">
        <v>1</v>
      </c>
      <c r="AB718" s="4">
        <v>0</v>
      </c>
      <c r="AC718" s="4"/>
      <c r="AD718" s="4">
        <f t="shared" si="394"/>
        <v>13192.05888</v>
      </c>
      <c r="AF718" s="1" t="str">
        <f t="shared" si="395"/>
        <v>2</v>
      </c>
      <c r="AG718">
        <v>10</v>
      </c>
      <c r="AH718">
        <f t="shared" ref="AH718:AH781" si="405">INDEX($AV$5:$AV$50,MATCH($AQ718,$AT$5:$AT$50))*$AN718/1.5*$AZ$4*INDEX($AV$87:$BI$87,MATCH($AG718,$AV$86:$BI$86))</f>
        <v>208</v>
      </c>
      <c r="AI718">
        <f t="shared" ref="AI718:AI781" si="406">(INDEX($AV$5:$AV$50,MATCH($AQ718,$AT$5:$AT$50))*$AN718/1.5*$AZ$4*INDEX($AV$87:$BI$87,MATCH($AG718,$AV$86:$BI$86)))*0.1</f>
        <v>20.8</v>
      </c>
      <c r="AJ718">
        <f t="shared" ref="AJ718:AJ781" si="407">INDEX($AW$5:$AW$50,MATCH($AQ718,$AT$5:$AT$50))*$BA$4*INDEX($AV$87:$BI$87,MATCH($AG718,$AV$86:$BI$86))</f>
        <v>2496</v>
      </c>
      <c r="AK718">
        <f t="shared" ref="AK718:AK781" si="408">(INDEX($AW$5:$AW$50,MATCH($AQ718,$AT$5:$AT$50))*$BA$4*INDEX($AV$87:$BI$87,MATCH($AG718,$AV$86:$BI$86)))*0.1</f>
        <v>249.60000000000002</v>
      </c>
      <c r="AL718">
        <f t="shared" ref="AL718:AL781" si="409">$AH718/INDEX($AX$5:$AX$50,MATCH($AQ718,$AT$5:$AT$50))</f>
        <v>69.333333333333329</v>
      </c>
      <c r="AM718">
        <f t="shared" ref="AM718:AM781" si="410">AL718*0.1</f>
        <v>6.9333333333333336</v>
      </c>
      <c r="AN718">
        <f t="shared" ref="AN718:AN781" si="411">INDEX($AY$5:$AY$50,MATCH($AQ718,$AT$5:$AT$50,0))</f>
        <v>1.5</v>
      </c>
      <c r="AO718">
        <f t="shared" ref="AO718:AO736" si="412">ROUND(IF(INDEX($BG$5:$BG$50,MATCH($AQ718,$AT$5:$AT$50,0))&lt;2,INDEX($BG$5:$BG$49,MATCH($AQ718,$AT$5:$AT$49,0))+0.2,2),1)</f>
        <v>1.5</v>
      </c>
      <c r="AP718">
        <f t="shared" ref="AP718:AP781" si="413">INDEX($BC$5:$BC$50,MATCH($AQ718,$AT$5:$AT$50,0))</f>
        <v>3</v>
      </c>
      <c r="AQ718">
        <v>102</v>
      </c>
      <c r="AR718">
        <v>1</v>
      </c>
    </row>
    <row r="719" spans="1:44" x14ac:dyDescent="0.15">
      <c r="A719">
        <f t="shared" si="393"/>
        <v>1102103</v>
      </c>
      <c r="B719" s="21" t="s">
        <v>268</v>
      </c>
      <c r="C719">
        <v>10</v>
      </c>
      <c r="D719">
        <v>2</v>
      </c>
      <c r="E719">
        <v>3</v>
      </c>
      <c r="F719" s="6" t="s">
        <v>387</v>
      </c>
      <c r="G719" s="6" t="s">
        <v>388</v>
      </c>
      <c r="H719" s="2">
        <v>0</v>
      </c>
      <c r="I719" s="2">
        <v>0</v>
      </c>
      <c r="J719" s="2">
        <f t="shared" si="396"/>
        <v>3</v>
      </c>
      <c r="K719" s="2">
        <f t="shared" si="397"/>
        <v>1.5</v>
      </c>
      <c r="L719" s="2">
        <f t="shared" si="398"/>
        <v>1.5</v>
      </c>
      <c r="M719" s="2">
        <v>10</v>
      </c>
      <c r="N719" s="2">
        <f t="shared" si="399"/>
        <v>208</v>
      </c>
      <c r="O719" s="2">
        <f t="shared" si="400"/>
        <v>20.8</v>
      </c>
      <c r="P719" s="2">
        <f t="shared" si="401"/>
        <v>2496</v>
      </c>
      <c r="Q719" s="2">
        <f t="shared" si="402"/>
        <v>249.6</v>
      </c>
      <c r="R719" s="2">
        <f t="shared" si="403"/>
        <v>69.33</v>
      </c>
      <c r="S719" s="2">
        <f t="shared" si="404"/>
        <v>6.93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25">
        <v>532001</v>
      </c>
      <c r="Z719" s="26" t="s">
        <v>710</v>
      </c>
      <c r="AA719" s="4">
        <v>1</v>
      </c>
      <c r="AB719" s="4">
        <v>0</v>
      </c>
      <c r="AC719" s="4"/>
      <c r="AD719" s="4">
        <f t="shared" si="394"/>
        <v>13192.05888</v>
      </c>
      <c r="AF719" s="1" t="str">
        <f t="shared" si="395"/>
        <v>2</v>
      </c>
      <c r="AG719">
        <v>10</v>
      </c>
      <c r="AH719">
        <f t="shared" si="405"/>
        <v>208</v>
      </c>
      <c r="AI719">
        <f t="shared" si="406"/>
        <v>20.8</v>
      </c>
      <c r="AJ719">
        <f t="shared" si="407"/>
        <v>2496</v>
      </c>
      <c r="AK719">
        <f t="shared" si="408"/>
        <v>249.60000000000002</v>
      </c>
      <c r="AL719">
        <f t="shared" si="409"/>
        <v>69.333333333333329</v>
      </c>
      <c r="AM719">
        <f t="shared" si="410"/>
        <v>6.9333333333333336</v>
      </c>
      <c r="AN719">
        <f t="shared" si="411"/>
        <v>1.5</v>
      </c>
      <c r="AO719">
        <f t="shared" si="412"/>
        <v>1.5</v>
      </c>
      <c r="AP719">
        <f t="shared" si="413"/>
        <v>3</v>
      </c>
      <c r="AQ719">
        <v>102</v>
      </c>
      <c r="AR719">
        <v>1</v>
      </c>
    </row>
    <row r="720" spans="1:44" x14ac:dyDescent="0.15">
      <c r="A720">
        <f t="shared" si="393"/>
        <v>1102104</v>
      </c>
      <c r="B720" s="21" t="s">
        <v>271</v>
      </c>
      <c r="C720">
        <v>10</v>
      </c>
      <c r="D720">
        <v>2</v>
      </c>
      <c r="E720">
        <v>4</v>
      </c>
      <c r="F720" s="6" t="s">
        <v>389</v>
      </c>
      <c r="G720" s="6" t="s">
        <v>390</v>
      </c>
      <c r="H720" s="2">
        <v>0</v>
      </c>
      <c r="I720" s="2">
        <v>0</v>
      </c>
      <c r="J720" s="2">
        <f t="shared" si="396"/>
        <v>3</v>
      </c>
      <c r="K720" s="2">
        <f t="shared" si="397"/>
        <v>1.5</v>
      </c>
      <c r="L720" s="2">
        <f t="shared" si="398"/>
        <v>1.5</v>
      </c>
      <c r="M720" s="2">
        <v>10</v>
      </c>
      <c r="N720" s="2">
        <f t="shared" si="399"/>
        <v>208</v>
      </c>
      <c r="O720" s="2">
        <f t="shared" si="400"/>
        <v>20.8</v>
      </c>
      <c r="P720" s="2">
        <f t="shared" si="401"/>
        <v>2496</v>
      </c>
      <c r="Q720" s="2">
        <f t="shared" si="402"/>
        <v>249.6</v>
      </c>
      <c r="R720" s="2">
        <f t="shared" si="403"/>
        <v>69.33</v>
      </c>
      <c r="S720" s="2">
        <f t="shared" si="404"/>
        <v>6.93</v>
      </c>
      <c r="T720" s="2">
        <v>0</v>
      </c>
      <c r="U720" s="2">
        <v>0</v>
      </c>
      <c r="V720" s="2">
        <v>0</v>
      </c>
      <c r="W720" s="2">
        <v>0</v>
      </c>
      <c r="X720" s="2">
        <v>0</v>
      </c>
      <c r="Y720" s="25">
        <v>532001</v>
      </c>
      <c r="Z720" s="26" t="s">
        <v>710</v>
      </c>
      <c r="AA720" s="4">
        <v>1</v>
      </c>
      <c r="AB720" s="4">
        <v>0</v>
      </c>
      <c r="AC720" s="4"/>
      <c r="AD720" s="4">
        <f t="shared" si="394"/>
        <v>13192.05888</v>
      </c>
      <c r="AF720" s="1" t="str">
        <f t="shared" si="395"/>
        <v>2</v>
      </c>
      <c r="AG720">
        <v>10</v>
      </c>
      <c r="AH720">
        <f t="shared" si="405"/>
        <v>208</v>
      </c>
      <c r="AI720">
        <f t="shared" si="406"/>
        <v>20.8</v>
      </c>
      <c r="AJ720">
        <f t="shared" si="407"/>
        <v>2496</v>
      </c>
      <c r="AK720">
        <f t="shared" si="408"/>
        <v>249.60000000000002</v>
      </c>
      <c r="AL720">
        <f t="shared" si="409"/>
        <v>69.333333333333329</v>
      </c>
      <c r="AM720">
        <f t="shared" si="410"/>
        <v>6.9333333333333336</v>
      </c>
      <c r="AN720">
        <f t="shared" si="411"/>
        <v>1.5</v>
      </c>
      <c r="AO720">
        <f t="shared" si="412"/>
        <v>1.5</v>
      </c>
      <c r="AP720">
        <f t="shared" si="413"/>
        <v>3</v>
      </c>
      <c r="AQ720">
        <v>102</v>
      </c>
      <c r="AR720">
        <v>1</v>
      </c>
    </row>
    <row r="721" spans="1:44" x14ac:dyDescent="0.15">
      <c r="A721">
        <f t="shared" si="393"/>
        <v>1102105</v>
      </c>
      <c r="B721" s="21" t="s">
        <v>274</v>
      </c>
      <c r="C721">
        <v>10</v>
      </c>
      <c r="D721">
        <v>2</v>
      </c>
      <c r="E721">
        <v>5</v>
      </c>
      <c r="F721" s="6" t="s">
        <v>391</v>
      </c>
      <c r="G721" s="6" t="s">
        <v>392</v>
      </c>
      <c r="H721">
        <v>0</v>
      </c>
      <c r="I721" s="2">
        <v>0</v>
      </c>
      <c r="J721" s="2">
        <f t="shared" si="396"/>
        <v>3</v>
      </c>
      <c r="K721" s="2">
        <f t="shared" si="397"/>
        <v>1.5</v>
      </c>
      <c r="L721" s="2">
        <f t="shared" si="398"/>
        <v>1.5</v>
      </c>
      <c r="M721" s="2">
        <v>10</v>
      </c>
      <c r="N721" s="2">
        <f t="shared" si="399"/>
        <v>208</v>
      </c>
      <c r="O721" s="2">
        <f t="shared" si="400"/>
        <v>20.8</v>
      </c>
      <c r="P721" s="2">
        <f t="shared" si="401"/>
        <v>2496</v>
      </c>
      <c r="Q721" s="2">
        <f t="shared" si="402"/>
        <v>249.6</v>
      </c>
      <c r="R721" s="2">
        <f t="shared" si="403"/>
        <v>69.33</v>
      </c>
      <c r="S721" s="2">
        <f t="shared" si="404"/>
        <v>6.93</v>
      </c>
      <c r="T721" s="2">
        <v>0</v>
      </c>
      <c r="U721" s="2">
        <v>0</v>
      </c>
      <c r="V721" s="2">
        <v>0</v>
      </c>
      <c r="W721" s="2">
        <v>0</v>
      </c>
      <c r="X721" s="2">
        <v>0</v>
      </c>
      <c r="Y721" s="25">
        <v>532001</v>
      </c>
      <c r="Z721" s="26" t="s">
        <v>710</v>
      </c>
      <c r="AA721" s="4">
        <v>1</v>
      </c>
      <c r="AB721" s="4">
        <v>0</v>
      </c>
      <c r="AC721" s="4"/>
      <c r="AD721" s="4">
        <f t="shared" si="394"/>
        <v>13192.05888</v>
      </c>
      <c r="AF721" s="1" t="str">
        <f t="shared" si="395"/>
        <v>2</v>
      </c>
      <c r="AG721">
        <v>10</v>
      </c>
      <c r="AH721">
        <f t="shared" si="405"/>
        <v>208</v>
      </c>
      <c r="AI721">
        <f t="shared" si="406"/>
        <v>20.8</v>
      </c>
      <c r="AJ721">
        <f t="shared" si="407"/>
        <v>2496</v>
      </c>
      <c r="AK721">
        <f t="shared" si="408"/>
        <v>249.60000000000002</v>
      </c>
      <c r="AL721">
        <f t="shared" si="409"/>
        <v>69.333333333333329</v>
      </c>
      <c r="AM721">
        <f t="shared" si="410"/>
        <v>6.9333333333333336</v>
      </c>
      <c r="AN721">
        <f t="shared" si="411"/>
        <v>1.5</v>
      </c>
      <c r="AO721">
        <f t="shared" si="412"/>
        <v>1.5</v>
      </c>
      <c r="AP721">
        <f t="shared" si="413"/>
        <v>3</v>
      </c>
      <c r="AQ721">
        <v>102</v>
      </c>
      <c r="AR721">
        <v>1</v>
      </c>
    </row>
    <row r="722" spans="1:44" x14ac:dyDescent="0.15">
      <c r="A722">
        <f t="shared" si="393"/>
        <v>1102111</v>
      </c>
      <c r="B722" s="21" t="s">
        <v>262</v>
      </c>
      <c r="C722">
        <v>11</v>
      </c>
      <c r="D722">
        <v>2</v>
      </c>
      <c r="E722">
        <v>1</v>
      </c>
      <c r="F722" s="6" t="s">
        <v>383</v>
      </c>
      <c r="G722" s="6" t="s">
        <v>384</v>
      </c>
      <c r="H722" s="2">
        <v>0</v>
      </c>
      <c r="I722" s="2">
        <v>0</v>
      </c>
      <c r="J722" s="2">
        <f t="shared" si="396"/>
        <v>3</v>
      </c>
      <c r="K722" s="2">
        <f t="shared" si="397"/>
        <v>1.5</v>
      </c>
      <c r="L722" s="2">
        <f t="shared" si="398"/>
        <v>1.5</v>
      </c>
      <c r="M722" s="2">
        <v>10</v>
      </c>
      <c r="N722" s="2">
        <f t="shared" si="399"/>
        <v>224</v>
      </c>
      <c r="O722" s="2">
        <f t="shared" si="400"/>
        <v>22.4</v>
      </c>
      <c r="P722" s="2">
        <f t="shared" si="401"/>
        <v>2688</v>
      </c>
      <c r="Q722" s="2">
        <f t="shared" si="402"/>
        <v>268.8</v>
      </c>
      <c r="R722" s="2">
        <f t="shared" si="403"/>
        <v>74.67</v>
      </c>
      <c r="S722" s="2">
        <f t="shared" si="404"/>
        <v>7.47</v>
      </c>
      <c r="T722" s="2">
        <v>0</v>
      </c>
      <c r="U722" s="2">
        <v>0</v>
      </c>
      <c r="V722" s="2">
        <v>0</v>
      </c>
      <c r="W722" s="2">
        <v>0</v>
      </c>
      <c r="X722" s="2">
        <v>0</v>
      </c>
      <c r="Y722" s="25">
        <v>532001</v>
      </c>
      <c r="Z722" s="26" t="s">
        <v>710</v>
      </c>
      <c r="AA722" s="4">
        <v>1</v>
      </c>
      <c r="AB722" s="4">
        <v>0</v>
      </c>
      <c r="AC722" s="4"/>
      <c r="AD722" s="4">
        <f t="shared" si="394"/>
        <v>15299.665919999999</v>
      </c>
      <c r="AF722" s="1" t="str">
        <f t="shared" si="395"/>
        <v>2</v>
      </c>
      <c r="AG722">
        <v>11</v>
      </c>
      <c r="AH722">
        <f t="shared" si="405"/>
        <v>224</v>
      </c>
      <c r="AI722">
        <f t="shared" si="406"/>
        <v>22.400000000000002</v>
      </c>
      <c r="AJ722">
        <f t="shared" si="407"/>
        <v>2688</v>
      </c>
      <c r="AK722">
        <f t="shared" si="408"/>
        <v>268.8</v>
      </c>
      <c r="AL722">
        <f t="shared" si="409"/>
        <v>74.666666666666671</v>
      </c>
      <c r="AM722">
        <f t="shared" si="410"/>
        <v>7.4666666666666677</v>
      </c>
      <c r="AN722">
        <f t="shared" si="411"/>
        <v>1.5</v>
      </c>
      <c r="AO722">
        <f t="shared" si="412"/>
        <v>1.5</v>
      </c>
      <c r="AP722">
        <f t="shared" si="413"/>
        <v>3</v>
      </c>
      <c r="AQ722">
        <v>102</v>
      </c>
      <c r="AR722">
        <v>1</v>
      </c>
    </row>
    <row r="723" spans="1:44" x14ac:dyDescent="0.15">
      <c r="A723">
        <f t="shared" si="393"/>
        <v>1102112</v>
      </c>
      <c r="B723" s="21" t="s">
        <v>265</v>
      </c>
      <c r="C723">
        <v>11</v>
      </c>
      <c r="D723">
        <v>2</v>
      </c>
      <c r="E723">
        <v>2</v>
      </c>
      <c r="F723" s="6" t="s">
        <v>385</v>
      </c>
      <c r="G723" s="6" t="s">
        <v>386</v>
      </c>
      <c r="H723" s="2">
        <v>0</v>
      </c>
      <c r="I723" s="2">
        <v>0</v>
      </c>
      <c r="J723" s="2">
        <f t="shared" si="396"/>
        <v>3</v>
      </c>
      <c r="K723" s="2">
        <f t="shared" si="397"/>
        <v>1.5</v>
      </c>
      <c r="L723" s="2">
        <f t="shared" si="398"/>
        <v>1.5</v>
      </c>
      <c r="M723" s="2">
        <v>10</v>
      </c>
      <c r="N723" s="2">
        <f t="shared" si="399"/>
        <v>224</v>
      </c>
      <c r="O723" s="2">
        <f t="shared" si="400"/>
        <v>22.4</v>
      </c>
      <c r="P723" s="2">
        <f t="shared" si="401"/>
        <v>2688</v>
      </c>
      <c r="Q723" s="2">
        <f t="shared" si="402"/>
        <v>268.8</v>
      </c>
      <c r="R723" s="2">
        <f t="shared" si="403"/>
        <v>74.67</v>
      </c>
      <c r="S723" s="2">
        <f t="shared" si="404"/>
        <v>7.47</v>
      </c>
      <c r="T723" s="2">
        <v>0</v>
      </c>
      <c r="U723" s="2">
        <v>0</v>
      </c>
      <c r="V723" s="2">
        <v>0</v>
      </c>
      <c r="W723" s="2">
        <v>0</v>
      </c>
      <c r="X723" s="2">
        <v>0</v>
      </c>
      <c r="Y723" s="25">
        <v>532001</v>
      </c>
      <c r="Z723" s="26" t="s">
        <v>710</v>
      </c>
      <c r="AA723" s="4">
        <v>1</v>
      </c>
      <c r="AB723" s="4">
        <v>0</v>
      </c>
      <c r="AC723" s="4"/>
      <c r="AD723" s="4">
        <f t="shared" si="394"/>
        <v>15299.665919999999</v>
      </c>
      <c r="AF723" s="1" t="str">
        <f t="shared" si="395"/>
        <v>2</v>
      </c>
      <c r="AG723">
        <v>11</v>
      </c>
      <c r="AH723">
        <f t="shared" si="405"/>
        <v>224</v>
      </c>
      <c r="AI723">
        <f t="shared" si="406"/>
        <v>22.400000000000002</v>
      </c>
      <c r="AJ723">
        <f t="shared" si="407"/>
        <v>2688</v>
      </c>
      <c r="AK723">
        <f t="shared" si="408"/>
        <v>268.8</v>
      </c>
      <c r="AL723">
        <f t="shared" si="409"/>
        <v>74.666666666666671</v>
      </c>
      <c r="AM723">
        <f t="shared" si="410"/>
        <v>7.4666666666666677</v>
      </c>
      <c r="AN723">
        <f t="shared" si="411"/>
        <v>1.5</v>
      </c>
      <c r="AO723">
        <f t="shared" si="412"/>
        <v>1.5</v>
      </c>
      <c r="AP723">
        <f t="shared" si="413"/>
        <v>3</v>
      </c>
      <c r="AQ723">
        <v>102</v>
      </c>
      <c r="AR723">
        <v>1</v>
      </c>
    </row>
    <row r="724" spans="1:44" x14ac:dyDescent="0.15">
      <c r="A724">
        <f t="shared" si="393"/>
        <v>1102113</v>
      </c>
      <c r="B724" s="21" t="s">
        <v>268</v>
      </c>
      <c r="C724">
        <v>11</v>
      </c>
      <c r="D724">
        <v>2</v>
      </c>
      <c r="E724">
        <v>3</v>
      </c>
      <c r="F724" s="6" t="s">
        <v>387</v>
      </c>
      <c r="G724" s="6" t="s">
        <v>388</v>
      </c>
      <c r="H724" s="2">
        <v>0</v>
      </c>
      <c r="I724" s="2">
        <v>0</v>
      </c>
      <c r="J724" s="2">
        <f t="shared" si="396"/>
        <v>3</v>
      </c>
      <c r="K724" s="2">
        <f t="shared" si="397"/>
        <v>1.5</v>
      </c>
      <c r="L724" s="2">
        <f t="shared" si="398"/>
        <v>1.5</v>
      </c>
      <c r="M724" s="2">
        <v>10</v>
      </c>
      <c r="N724" s="2">
        <f t="shared" si="399"/>
        <v>224</v>
      </c>
      <c r="O724" s="2">
        <f t="shared" si="400"/>
        <v>22.4</v>
      </c>
      <c r="P724" s="2">
        <f t="shared" si="401"/>
        <v>2688</v>
      </c>
      <c r="Q724" s="2">
        <f t="shared" si="402"/>
        <v>268.8</v>
      </c>
      <c r="R724" s="2">
        <f t="shared" si="403"/>
        <v>74.67</v>
      </c>
      <c r="S724" s="2">
        <f t="shared" si="404"/>
        <v>7.47</v>
      </c>
      <c r="T724" s="2">
        <v>0</v>
      </c>
      <c r="U724" s="2">
        <v>0</v>
      </c>
      <c r="V724" s="2">
        <v>0</v>
      </c>
      <c r="W724" s="2">
        <v>0</v>
      </c>
      <c r="X724" s="2">
        <v>0</v>
      </c>
      <c r="Y724" s="25">
        <v>532001</v>
      </c>
      <c r="Z724" s="26" t="s">
        <v>710</v>
      </c>
      <c r="AA724" s="4">
        <v>1</v>
      </c>
      <c r="AB724" s="4">
        <v>0</v>
      </c>
      <c r="AC724" s="4"/>
      <c r="AD724" s="4">
        <f t="shared" si="394"/>
        <v>15299.665919999999</v>
      </c>
      <c r="AF724" s="1" t="str">
        <f t="shared" si="395"/>
        <v>2</v>
      </c>
      <c r="AG724">
        <v>11</v>
      </c>
      <c r="AH724">
        <f t="shared" si="405"/>
        <v>224</v>
      </c>
      <c r="AI724">
        <f t="shared" si="406"/>
        <v>22.400000000000002</v>
      </c>
      <c r="AJ724">
        <f t="shared" si="407"/>
        <v>2688</v>
      </c>
      <c r="AK724">
        <f t="shared" si="408"/>
        <v>268.8</v>
      </c>
      <c r="AL724">
        <f t="shared" si="409"/>
        <v>74.666666666666671</v>
      </c>
      <c r="AM724">
        <f t="shared" si="410"/>
        <v>7.4666666666666677</v>
      </c>
      <c r="AN724">
        <f t="shared" si="411"/>
        <v>1.5</v>
      </c>
      <c r="AO724">
        <f t="shared" si="412"/>
        <v>1.5</v>
      </c>
      <c r="AP724">
        <f t="shared" si="413"/>
        <v>3</v>
      </c>
      <c r="AQ724">
        <v>102</v>
      </c>
      <c r="AR724">
        <v>1</v>
      </c>
    </row>
    <row r="725" spans="1:44" x14ac:dyDescent="0.15">
      <c r="A725">
        <f t="shared" si="393"/>
        <v>1102114</v>
      </c>
      <c r="B725" s="21" t="s">
        <v>271</v>
      </c>
      <c r="C725">
        <v>11</v>
      </c>
      <c r="D725">
        <v>2</v>
      </c>
      <c r="E725">
        <v>4</v>
      </c>
      <c r="F725" s="6" t="s">
        <v>389</v>
      </c>
      <c r="G725" s="6" t="s">
        <v>390</v>
      </c>
      <c r="H725" s="2">
        <v>0</v>
      </c>
      <c r="I725" s="2">
        <v>0</v>
      </c>
      <c r="J725" s="2">
        <f t="shared" si="396"/>
        <v>3</v>
      </c>
      <c r="K725" s="2">
        <f t="shared" si="397"/>
        <v>1.5</v>
      </c>
      <c r="L725" s="2">
        <f t="shared" si="398"/>
        <v>1.5</v>
      </c>
      <c r="M725" s="2">
        <v>10</v>
      </c>
      <c r="N725" s="2">
        <f t="shared" si="399"/>
        <v>224</v>
      </c>
      <c r="O725" s="2">
        <f t="shared" si="400"/>
        <v>22.4</v>
      </c>
      <c r="P725" s="2">
        <f t="shared" si="401"/>
        <v>2688</v>
      </c>
      <c r="Q725" s="2">
        <f t="shared" si="402"/>
        <v>268.8</v>
      </c>
      <c r="R725" s="2">
        <f t="shared" si="403"/>
        <v>74.67</v>
      </c>
      <c r="S725" s="2">
        <f t="shared" si="404"/>
        <v>7.47</v>
      </c>
      <c r="T725" s="2">
        <v>0</v>
      </c>
      <c r="U725" s="2">
        <v>0</v>
      </c>
      <c r="V725" s="2">
        <v>0</v>
      </c>
      <c r="W725" s="2">
        <v>0</v>
      </c>
      <c r="X725" s="2">
        <v>0</v>
      </c>
      <c r="Y725" s="25">
        <v>532001</v>
      </c>
      <c r="Z725" s="26" t="s">
        <v>710</v>
      </c>
      <c r="AA725" s="4">
        <v>1</v>
      </c>
      <c r="AB725" s="4">
        <v>0</v>
      </c>
      <c r="AC725" s="4"/>
      <c r="AD725" s="4">
        <f t="shared" si="394"/>
        <v>15299.665919999999</v>
      </c>
      <c r="AF725" s="1" t="str">
        <f t="shared" si="395"/>
        <v>2</v>
      </c>
      <c r="AG725">
        <v>11</v>
      </c>
      <c r="AH725">
        <f t="shared" si="405"/>
        <v>224</v>
      </c>
      <c r="AI725">
        <f t="shared" si="406"/>
        <v>22.400000000000002</v>
      </c>
      <c r="AJ725">
        <f t="shared" si="407"/>
        <v>2688</v>
      </c>
      <c r="AK725">
        <f t="shared" si="408"/>
        <v>268.8</v>
      </c>
      <c r="AL725">
        <f t="shared" si="409"/>
        <v>74.666666666666671</v>
      </c>
      <c r="AM725">
        <f t="shared" si="410"/>
        <v>7.4666666666666677</v>
      </c>
      <c r="AN725">
        <f t="shared" si="411"/>
        <v>1.5</v>
      </c>
      <c r="AO725">
        <f t="shared" si="412"/>
        <v>1.5</v>
      </c>
      <c r="AP725">
        <f t="shared" si="413"/>
        <v>3</v>
      </c>
      <c r="AQ725">
        <v>102</v>
      </c>
      <c r="AR725">
        <v>1</v>
      </c>
    </row>
    <row r="726" spans="1:44" x14ac:dyDescent="0.15">
      <c r="A726">
        <f t="shared" si="393"/>
        <v>1102115</v>
      </c>
      <c r="B726" s="21" t="s">
        <v>274</v>
      </c>
      <c r="C726">
        <v>11</v>
      </c>
      <c r="D726">
        <v>2</v>
      </c>
      <c r="E726">
        <v>5</v>
      </c>
      <c r="F726" s="6" t="s">
        <v>391</v>
      </c>
      <c r="G726" s="6" t="s">
        <v>392</v>
      </c>
      <c r="H726">
        <v>0</v>
      </c>
      <c r="I726" s="2">
        <v>0</v>
      </c>
      <c r="J726" s="2">
        <f t="shared" si="396"/>
        <v>3</v>
      </c>
      <c r="K726" s="2">
        <f t="shared" si="397"/>
        <v>1.5</v>
      </c>
      <c r="L726" s="2">
        <f t="shared" si="398"/>
        <v>1.5</v>
      </c>
      <c r="M726" s="2">
        <v>10</v>
      </c>
      <c r="N726" s="2">
        <f t="shared" si="399"/>
        <v>224</v>
      </c>
      <c r="O726" s="2">
        <f t="shared" si="400"/>
        <v>22.4</v>
      </c>
      <c r="P726" s="2">
        <f t="shared" si="401"/>
        <v>2688</v>
      </c>
      <c r="Q726" s="2">
        <f t="shared" si="402"/>
        <v>268.8</v>
      </c>
      <c r="R726" s="2">
        <f t="shared" si="403"/>
        <v>74.67</v>
      </c>
      <c r="S726" s="2">
        <f t="shared" si="404"/>
        <v>7.47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25">
        <v>532001</v>
      </c>
      <c r="Z726" s="26" t="s">
        <v>710</v>
      </c>
      <c r="AA726" s="4">
        <v>1</v>
      </c>
      <c r="AB726" s="4">
        <v>0</v>
      </c>
      <c r="AC726" s="4"/>
      <c r="AD726" s="4">
        <f t="shared" si="394"/>
        <v>15299.665919999999</v>
      </c>
      <c r="AF726" s="1" t="str">
        <f t="shared" si="395"/>
        <v>2</v>
      </c>
      <c r="AG726">
        <v>11</v>
      </c>
      <c r="AH726">
        <f t="shared" si="405"/>
        <v>224</v>
      </c>
      <c r="AI726">
        <f t="shared" si="406"/>
        <v>22.400000000000002</v>
      </c>
      <c r="AJ726">
        <f t="shared" si="407"/>
        <v>2688</v>
      </c>
      <c r="AK726">
        <f t="shared" si="408"/>
        <v>268.8</v>
      </c>
      <c r="AL726">
        <f t="shared" si="409"/>
        <v>74.666666666666671</v>
      </c>
      <c r="AM726">
        <f t="shared" si="410"/>
        <v>7.4666666666666677</v>
      </c>
      <c r="AN726">
        <f t="shared" si="411"/>
        <v>1.5</v>
      </c>
      <c r="AO726">
        <f t="shared" si="412"/>
        <v>1.5</v>
      </c>
      <c r="AP726">
        <f t="shared" si="413"/>
        <v>3</v>
      </c>
      <c r="AQ726">
        <v>102</v>
      </c>
      <c r="AR726">
        <v>1</v>
      </c>
    </row>
    <row r="727" spans="1:44" x14ac:dyDescent="0.15">
      <c r="A727">
        <f t="shared" si="393"/>
        <v>1102121</v>
      </c>
      <c r="B727" s="21" t="s">
        <v>262</v>
      </c>
      <c r="C727">
        <v>12</v>
      </c>
      <c r="D727">
        <v>2</v>
      </c>
      <c r="E727">
        <v>1</v>
      </c>
      <c r="F727" s="6" t="s">
        <v>383</v>
      </c>
      <c r="G727" s="6" t="s">
        <v>384</v>
      </c>
      <c r="H727" s="2">
        <v>0</v>
      </c>
      <c r="I727" s="2">
        <v>0</v>
      </c>
      <c r="J727" s="2">
        <f t="shared" si="396"/>
        <v>3</v>
      </c>
      <c r="K727" s="2">
        <f t="shared" si="397"/>
        <v>1.5</v>
      </c>
      <c r="L727" s="2">
        <f t="shared" si="398"/>
        <v>1.5</v>
      </c>
      <c r="M727" s="2">
        <v>10</v>
      </c>
      <c r="N727" s="2">
        <f t="shared" si="399"/>
        <v>240</v>
      </c>
      <c r="O727" s="2">
        <f t="shared" si="400"/>
        <v>24</v>
      </c>
      <c r="P727" s="2">
        <f t="shared" si="401"/>
        <v>2880</v>
      </c>
      <c r="Q727" s="2">
        <f t="shared" si="402"/>
        <v>288</v>
      </c>
      <c r="R727" s="2">
        <f t="shared" si="403"/>
        <v>80</v>
      </c>
      <c r="S727" s="2">
        <f t="shared" si="404"/>
        <v>8</v>
      </c>
      <c r="T727" s="2">
        <v>0</v>
      </c>
      <c r="U727" s="2">
        <v>0</v>
      </c>
      <c r="V727" s="2">
        <v>0</v>
      </c>
      <c r="W727" s="2">
        <v>0</v>
      </c>
      <c r="X727" s="2">
        <v>0</v>
      </c>
      <c r="Y727" s="25">
        <v>532001</v>
      </c>
      <c r="Z727" s="26" t="s">
        <v>710</v>
      </c>
      <c r="AA727" s="4">
        <v>1</v>
      </c>
      <c r="AB727" s="4">
        <v>0</v>
      </c>
      <c r="AC727" s="4"/>
      <c r="AD727" s="4">
        <f t="shared" si="394"/>
        <v>17563.392</v>
      </c>
      <c r="AF727" s="1" t="str">
        <f t="shared" si="395"/>
        <v>2</v>
      </c>
      <c r="AG727">
        <v>12</v>
      </c>
      <c r="AH727">
        <f t="shared" si="405"/>
        <v>240</v>
      </c>
      <c r="AI727">
        <f t="shared" si="406"/>
        <v>24</v>
      </c>
      <c r="AJ727">
        <f t="shared" si="407"/>
        <v>2880</v>
      </c>
      <c r="AK727">
        <f t="shared" si="408"/>
        <v>288</v>
      </c>
      <c r="AL727">
        <f t="shared" si="409"/>
        <v>80</v>
      </c>
      <c r="AM727">
        <f t="shared" si="410"/>
        <v>8</v>
      </c>
      <c r="AN727">
        <f t="shared" si="411"/>
        <v>1.5</v>
      </c>
      <c r="AO727">
        <f t="shared" si="412"/>
        <v>1.5</v>
      </c>
      <c r="AP727">
        <f t="shared" si="413"/>
        <v>3</v>
      </c>
      <c r="AQ727">
        <v>102</v>
      </c>
      <c r="AR727">
        <v>1</v>
      </c>
    </row>
    <row r="728" spans="1:44" x14ac:dyDescent="0.15">
      <c r="A728">
        <f t="shared" si="393"/>
        <v>1102122</v>
      </c>
      <c r="B728" s="21" t="s">
        <v>265</v>
      </c>
      <c r="C728">
        <v>12</v>
      </c>
      <c r="D728">
        <v>2</v>
      </c>
      <c r="E728">
        <v>2</v>
      </c>
      <c r="F728" s="6" t="s">
        <v>385</v>
      </c>
      <c r="G728" s="6" t="s">
        <v>386</v>
      </c>
      <c r="H728" s="2">
        <v>0</v>
      </c>
      <c r="I728" s="2">
        <v>0</v>
      </c>
      <c r="J728" s="2">
        <f t="shared" si="396"/>
        <v>3</v>
      </c>
      <c r="K728" s="2">
        <f t="shared" si="397"/>
        <v>1.5</v>
      </c>
      <c r="L728" s="2">
        <f t="shared" si="398"/>
        <v>1.5</v>
      </c>
      <c r="M728" s="2">
        <v>10</v>
      </c>
      <c r="N728" s="2">
        <f t="shared" si="399"/>
        <v>240</v>
      </c>
      <c r="O728" s="2">
        <f t="shared" si="400"/>
        <v>24</v>
      </c>
      <c r="P728" s="2">
        <f t="shared" si="401"/>
        <v>2880</v>
      </c>
      <c r="Q728" s="2">
        <f t="shared" si="402"/>
        <v>288</v>
      </c>
      <c r="R728" s="2">
        <f t="shared" si="403"/>
        <v>80</v>
      </c>
      <c r="S728" s="2">
        <f t="shared" si="404"/>
        <v>8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25">
        <v>532001</v>
      </c>
      <c r="Z728" s="26" t="s">
        <v>710</v>
      </c>
      <c r="AA728" s="4">
        <v>1</v>
      </c>
      <c r="AB728" s="4">
        <v>0</v>
      </c>
      <c r="AC728" s="4"/>
      <c r="AD728" s="4">
        <f t="shared" si="394"/>
        <v>17563.392</v>
      </c>
      <c r="AF728" s="1" t="str">
        <f t="shared" si="395"/>
        <v>2</v>
      </c>
      <c r="AG728">
        <v>12</v>
      </c>
      <c r="AH728">
        <f t="shared" si="405"/>
        <v>240</v>
      </c>
      <c r="AI728">
        <f t="shared" si="406"/>
        <v>24</v>
      </c>
      <c r="AJ728">
        <f t="shared" si="407"/>
        <v>2880</v>
      </c>
      <c r="AK728">
        <f t="shared" si="408"/>
        <v>288</v>
      </c>
      <c r="AL728">
        <f t="shared" si="409"/>
        <v>80</v>
      </c>
      <c r="AM728">
        <f t="shared" si="410"/>
        <v>8</v>
      </c>
      <c r="AN728">
        <f t="shared" si="411"/>
        <v>1.5</v>
      </c>
      <c r="AO728">
        <f t="shared" si="412"/>
        <v>1.5</v>
      </c>
      <c r="AP728">
        <f t="shared" si="413"/>
        <v>3</v>
      </c>
      <c r="AQ728">
        <v>102</v>
      </c>
      <c r="AR728">
        <v>1</v>
      </c>
    </row>
    <row r="729" spans="1:44" x14ac:dyDescent="0.15">
      <c r="A729">
        <f t="shared" si="393"/>
        <v>1102123</v>
      </c>
      <c r="B729" s="21" t="s">
        <v>268</v>
      </c>
      <c r="C729">
        <v>12</v>
      </c>
      <c r="D729">
        <v>2</v>
      </c>
      <c r="E729">
        <v>3</v>
      </c>
      <c r="F729" s="6" t="s">
        <v>387</v>
      </c>
      <c r="G729" s="6" t="s">
        <v>388</v>
      </c>
      <c r="H729" s="2">
        <v>0</v>
      </c>
      <c r="I729" s="2">
        <v>0</v>
      </c>
      <c r="J729" s="2">
        <f t="shared" si="396"/>
        <v>3</v>
      </c>
      <c r="K729" s="2">
        <f t="shared" si="397"/>
        <v>1.5</v>
      </c>
      <c r="L729" s="2">
        <f t="shared" si="398"/>
        <v>1.5</v>
      </c>
      <c r="M729" s="2">
        <v>10</v>
      </c>
      <c r="N729" s="2">
        <f t="shared" si="399"/>
        <v>240</v>
      </c>
      <c r="O729" s="2">
        <f t="shared" si="400"/>
        <v>24</v>
      </c>
      <c r="P729" s="2">
        <f t="shared" si="401"/>
        <v>2880</v>
      </c>
      <c r="Q729" s="2">
        <f t="shared" si="402"/>
        <v>288</v>
      </c>
      <c r="R729" s="2">
        <f t="shared" si="403"/>
        <v>80</v>
      </c>
      <c r="S729" s="2">
        <f t="shared" si="404"/>
        <v>8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25">
        <v>532001</v>
      </c>
      <c r="Z729" s="26" t="s">
        <v>710</v>
      </c>
      <c r="AA729" s="4">
        <v>1</v>
      </c>
      <c r="AB729" s="4">
        <v>0</v>
      </c>
      <c r="AC729" s="4"/>
      <c r="AD729" s="4">
        <f t="shared" si="394"/>
        <v>17563.392</v>
      </c>
      <c r="AF729" s="1" t="str">
        <f t="shared" si="395"/>
        <v>2</v>
      </c>
      <c r="AG729">
        <v>12</v>
      </c>
      <c r="AH729">
        <f t="shared" si="405"/>
        <v>240</v>
      </c>
      <c r="AI729">
        <f t="shared" si="406"/>
        <v>24</v>
      </c>
      <c r="AJ729">
        <f t="shared" si="407"/>
        <v>2880</v>
      </c>
      <c r="AK729">
        <f t="shared" si="408"/>
        <v>288</v>
      </c>
      <c r="AL729">
        <f t="shared" si="409"/>
        <v>80</v>
      </c>
      <c r="AM729">
        <f t="shared" si="410"/>
        <v>8</v>
      </c>
      <c r="AN729">
        <f t="shared" si="411"/>
        <v>1.5</v>
      </c>
      <c r="AO729">
        <f t="shared" si="412"/>
        <v>1.5</v>
      </c>
      <c r="AP729">
        <f t="shared" si="413"/>
        <v>3</v>
      </c>
      <c r="AQ729">
        <v>102</v>
      </c>
      <c r="AR729">
        <v>1</v>
      </c>
    </row>
    <row r="730" spans="1:44" x14ac:dyDescent="0.15">
      <c r="A730">
        <f t="shared" si="393"/>
        <v>1102124</v>
      </c>
      <c r="B730" s="21" t="s">
        <v>271</v>
      </c>
      <c r="C730">
        <v>12</v>
      </c>
      <c r="D730">
        <v>2</v>
      </c>
      <c r="E730">
        <v>4</v>
      </c>
      <c r="F730" s="6" t="s">
        <v>389</v>
      </c>
      <c r="G730" s="6" t="s">
        <v>390</v>
      </c>
      <c r="H730" s="2">
        <v>0</v>
      </c>
      <c r="I730" s="2">
        <v>0</v>
      </c>
      <c r="J730" s="2">
        <f t="shared" si="396"/>
        <v>3</v>
      </c>
      <c r="K730" s="2">
        <f t="shared" si="397"/>
        <v>1.5</v>
      </c>
      <c r="L730" s="2">
        <f t="shared" si="398"/>
        <v>1.5</v>
      </c>
      <c r="M730" s="2">
        <v>10</v>
      </c>
      <c r="N730" s="2">
        <f t="shared" si="399"/>
        <v>240</v>
      </c>
      <c r="O730" s="2">
        <f t="shared" si="400"/>
        <v>24</v>
      </c>
      <c r="P730" s="2">
        <f t="shared" si="401"/>
        <v>2880</v>
      </c>
      <c r="Q730" s="2">
        <f t="shared" si="402"/>
        <v>288</v>
      </c>
      <c r="R730" s="2">
        <f t="shared" si="403"/>
        <v>80</v>
      </c>
      <c r="S730" s="2">
        <f t="shared" si="404"/>
        <v>8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25">
        <v>532001</v>
      </c>
      <c r="Z730" s="26" t="s">
        <v>710</v>
      </c>
      <c r="AA730" s="4">
        <v>1</v>
      </c>
      <c r="AB730" s="4">
        <v>0</v>
      </c>
      <c r="AC730" s="4"/>
      <c r="AD730" s="4">
        <f t="shared" si="394"/>
        <v>17563.392</v>
      </c>
      <c r="AF730" s="1" t="str">
        <f t="shared" si="395"/>
        <v>2</v>
      </c>
      <c r="AG730">
        <v>12</v>
      </c>
      <c r="AH730">
        <f t="shared" si="405"/>
        <v>240</v>
      </c>
      <c r="AI730">
        <f t="shared" si="406"/>
        <v>24</v>
      </c>
      <c r="AJ730">
        <f t="shared" si="407"/>
        <v>2880</v>
      </c>
      <c r="AK730">
        <f t="shared" si="408"/>
        <v>288</v>
      </c>
      <c r="AL730">
        <f t="shared" si="409"/>
        <v>80</v>
      </c>
      <c r="AM730">
        <f t="shared" si="410"/>
        <v>8</v>
      </c>
      <c r="AN730">
        <f t="shared" si="411"/>
        <v>1.5</v>
      </c>
      <c r="AO730">
        <f t="shared" si="412"/>
        <v>1.5</v>
      </c>
      <c r="AP730">
        <f t="shared" si="413"/>
        <v>3</v>
      </c>
      <c r="AQ730">
        <v>102</v>
      </c>
      <c r="AR730">
        <v>1</v>
      </c>
    </row>
    <row r="731" spans="1:44" x14ac:dyDescent="0.15">
      <c r="A731">
        <f t="shared" si="393"/>
        <v>1102125</v>
      </c>
      <c r="B731" s="21" t="s">
        <v>274</v>
      </c>
      <c r="C731">
        <v>12</v>
      </c>
      <c r="D731">
        <v>2</v>
      </c>
      <c r="E731">
        <v>5</v>
      </c>
      <c r="F731" s="6" t="s">
        <v>391</v>
      </c>
      <c r="G731" s="6" t="s">
        <v>392</v>
      </c>
      <c r="H731">
        <v>0</v>
      </c>
      <c r="I731" s="2">
        <v>0</v>
      </c>
      <c r="J731" s="2">
        <f t="shared" si="396"/>
        <v>3</v>
      </c>
      <c r="K731" s="2">
        <f t="shared" si="397"/>
        <v>1.5</v>
      </c>
      <c r="L731" s="2">
        <f t="shared" si="398"/>
        <v>1.5</v>
      </c>
      <c r="M731" s="2">
        <v>10</v>
      </c>
      <c r="N731" s="2">
        <f t="shared" si="399"/>
        <v>240</v>
      </c>
      <c r="O731" s="2">
        <f t="shared" si="400"/>
        <v>24</v>
      </c>
      <c r="P731" s="2">
        <f t="shared" si="401"/>
        <v>2880</v>
      </c>
      <c r="Q731" s="2">
        <f t="shared" si="402"/>
        <v>288</v>
      </c>
      <c r="R731" s="2">
        <f t="shared" si="403"/>
        <v>80</v>
      </c>
      <c r="S731" s="2">
        <f t="shared" si="404"/>
        <v>8</v>
      </c>
      <c r="T731" s="2">
        <v>0</v>
      </c>
      <c r="U731" s="2">
        <v>0</v>
      </c>
      <c r="V731" s="2">
        <v>0</v>
      </c>
      <c r="W731" s="2">
        <v>0</v>
      </c>
      <c r="X731" s="2">
        <v>0</v>
      </c>
      <c r="Y731" s="25">
        <v>532001</v>
      </c>
      <c r="Z731" s="26" t="s">
        <v>710</v>
      </c>
      <c r="AA731" s="4">
        <v>1</v>
      </c>
      <c r="AB731" s="4">
        <v>0</v>
      </c>
      <c r="AC731" s="4"/>
      <c r="AD731" s="4">
        <f t="shared" si="394"/>
        <v>17563.392</v>
      </c>
      <c r="AF731" s="1" t="str">
        <f t="shared" si="395"/>
        <v>2</v>
      </c>
      <c r="AG731">
        <v>12</v>
      </c>
      <c r="AH731">
        <f t="shared" si="405"/>
        <v>240</v>
      </c>
      <c r="AI731">
        <f t="shared" si="406"/>
        <v>24</v>
      </c>
      <c r="AJ731">
        <f t="shared" si="407"/>
        <v>2880</v>
      </c>
      <c r="AK731">
        <f t="shared" si="408"/>
        <v>288</v>
      </c>
      <c r="AL731">
        <f t="shared" si="409"/>
        <v>80</v>
      </c>
      <c r="AM731">
        <f t="shared" si="410"/>
        <v>8</v>
      </c>
      <c r="AN731">
        <f t="shared" si="411"/>
        <v>1.5</v>
      </c>
      <c r="AO731">
        <f t="shared" si="412"/>
        <v>1.5</v>
      </c>
      <c r="AP731">
        <f t="shared" si="413"/>
        <v>3</v>
      </c>
      <c r="AQ731">
        <v>102</v>
      </c>
      <c r="AR731">
        <v>1</v>
      </c>
    </row>
    <row r="732" spans="1:44" x14ac:dyDescent="0.15">
      <c r="A732">
        <f t="shared" si="393"/>
        <v>1102131</v>
      </c>
      <c r="B732" s="21" t="s">
        <v>262</v>
      </c>
      <c r="C732">
        <v>13</v>
      </c>
      <c r="D732">
        <v>2</v>
      </c>
      <c r="E732">
        <v>1</v>
      </c>
      <c r="F732" s="6" t="s">
        <v>383</v>
      </c>
      <c r="G732" s="6" t="s">
        <v>384</v>
      </c>
      <c r="H732" s="2">
        <v>0</v>
      </c>
      <c r="I732" s="2">
        <v>0</v>
      </c>
      <c r="J732" s="2">
        <f t="shared" si="396"/>
        <v>3</v>
      </c>
      <c r="K732" s="2">
        <f t="shared" si="397"/>
        <v>1.5</v>
      </c>
      <c r="L732" s="2">
        <f t="shared" si="398"/>
        <v>1.5</v>
      </c>
      <c r="M732" s="2">
        <v>10</v>
      </c>
      <c r="N732" s="2">
        <f t="shared" si="399"/>
        <v>256</v>
      </c>
      <c r="O732" s="2">
        <f t="shared" si="400"/>
        <v>25.6</v>
      </c>
      <c r="P732" s="2">
        <f t="shared" si="401"/>
        <v>3072</v>
      </c>
      <c r="Q732" s="2">
        <f t="shared" si="402"/>
        <v>307.2</v>
      </c>
      <c r="R732" s="2">
        <f t="shared" si="403"/>
        <v>85.33</v>
      </c>
      <c r="S732" s="2">
        <f t="shared" si="404"/>
        <v>8.5299999999999994</v>
      </c>
      <c r="T732" s="2">
        <v>0</v>
      </c>
      <c r="U732" s="2">
        <v>0</v>
      </c>
      <c r="V732" s="2">
        <v>0</v>
      </c>
      <c r="W732" s="2">
        <v>0</v>
      </c>
      <c r="X732" s="2">
        <v>0</v>
      </c>
      <c r="Y732" s="25">
        <v>532001</v>
      </c>
      <c r="Z732" s="26" t="s">
        <v>710</v>
      </c>
      <c r="AA732" s="4">
        <v>1</v>
      </c>
      <c r="AB732" s="4">
        <v>0</v>
      </c>
      <c r="AC732" s="4"/>
      <c r="AD732" s="4">
        <f t="shared" si="394"/>
        <v>19983.237120000002</v>
      </c>
      <c r="AF732" s="1" t="str">
        <f t="shared" si="395"/>
        <v>2</v>
      </c>
      <c r="AG732">
        <v>13</v>
      </c>
      <c r="AH732">
        <f t="shared" si="405"/>
        <v>256</v>
      </c>
      <c r="AI732">
        <f t="shared" si="406"/>
        <v>25.6</v>
      </c>
      <c r="AJ732">
        <f t="shared" si="407"/>
        <v>3072</v>
      </c>
      <c r="AK732">
        <f t="shared" si="408"/>
        <v>307.20000000000005</v>
      </c>
      <c r="AL732">
        <f t="shared" si="409"/>
        <v>85.333333333333329</v>
      </c>
      <c r="AM732">
        <f t="shared" si="410"/>
        <v>8.5333333333333332</v>
      </c>
      <c r="AN732">
        <f t="shared" si="411"/>
        <v>1.5</v>
      </c>
      <c r="AO732">
        <f t="shared" si="412"/>
        <v>1.5</v>
      </c>
      <c r="AP732">
        <f t="shared" si="413"/>
        <v>3</v>
      </c>
      <c r="AQ732">
        <v>102</v>
      </c>
      <c r="AR732">
        <v>1</v>
      </c>
    </row>
    <row r="733" spans="1:44" x14ac:dyDescent="0.15">
      <c r="A733">
        <f t="shared" si="393"/>
        <v>1102132</v>
      </c>
      <c r="B733" s="21" t="s">
        <v>265</v>
      </c>
      <c r="C733">
        <v>13</v>
      </c>
      <c r="D733">
        <v>2</v>
      </c>
      <c r="E733">
        <v>2</v>
      </c>
      <c r="F733" s="6" t="s">
        <v>385</v>
      </c>
      <c r="G733" s="6" t="s">
        <v>386</v>
      </c>
      <c r="H733" s="2">
        <v>0</v>
      </c>
      <c r="I733" s="2">
        <v>0</v>
      </c>
      <c r="J733" s="2">
        <f t="shared" si="396"/>
        <v>3</v>
      </c>
      <c r="K733" s="2">
        <f t="shared" si="397"/>
        <v>1.5</v>
      </c>
      <c r="L733" s="2">
        <f t="shared" si="398"/>
        <v>1.5</v>
      </c>
      <c r="M733" s="2">
        <v>10</v>
      </c>
      <c r="N733" s="2">
        <f t="shared" si="399"/>
        <v>256</v>
      </c>
      <c r="O733" s="2">
        <f t="shared" si="400"/>
        <v>25.6</v>
      </c>
      <c r="P733" s="2">
        <f t="shared" si="401"/>
        <v>3072</v>
      </c>
      <c r="Q733" s="2">
        <f t="shared" si="402"/>
        <v>307.2</v>
      </c>
      <c r="R733" s="2">
        <f t="shared" si="403"/>
        <v>85.33</v>
      </c>
      <c r="S733" s="2">
        <f t="shared" si="404"/>
        <v>8.5299999999999994</v>
      </c>
      <c r="T733" s="2">
        <v>0</v>
      </c>
      <c r="U733" s="2">
        <v>0</v>
      </c>
      <c r="V733" s="2">
        <v>0</v>
      </c>
      <c r="W733" s="2">
        <v>0</v>
      </c>
      <c r="X733" s="2">
        <v>0</v>
      </c>
      <c r="Y733" s="25">
        <v>532001</v>
      </c>
      <c r="Z733" s="26" t="s">
        <v>710</v>
      </c>
      <c r="AA733" s="4">
        <v>1</v>
      </c>
      <c r="AB733" s="4">
        <v>0</v>
      </c>
      <c r="AC733" s="4"/>
      <c r="AD733" s="4">
        <f t="shared" si="394"/>
        <v>19983.237120000002</v>
      </c>
      <c r="AF733" s="1" t="str">
        <f t="shared" si="395"/>
        <v>2</v>
      </c>
      <c r="AG733">
        <v>13</v>
      </c>
      <c r="AH733">
        <f t="shared" si="405"/>
        <v>256</v>
      </c>
      <c r="AI733">
        <f t="shared" si="406"/>
        <v>25.6</v>
      </c>
      <c r="AJ733">
        <f t="shared" si="407"/>
        <v>3072</v>
      </c>
      <c r="AK733">
        <f t="shared" si="408"/>
        <v>307.20000000000005</v>
      </c>
      <c r="AL733">
        <f t="shared" si="409"/>
        <v>85.333333333333329</v>
      </c>
      <c r="AM733">
        <f t="shared" si="410"/>
        <v>8.5333333333333332</v>
      </c>
      <c r="AN733">
        <f t="shared" si="411"/>
        <v>1.5</v>
      </c>
      <c r="AO733">
        <f t="shared" si="412"/>
        <v>1.5</v>
      </c>
      <c r="AP733">
        <f t="shared" si="413"/>
        <v>3</v>
      </c>
      <c r="AQ733">
        <v>102</v>
      </c>
      <c r="AR733">
        <v>1</v>
      </c>
    </row>
    <row r="734" spans="1:44" x14ac:dyDescent="0.15">
      <c r="A734">
        <f t="shared" si="393"/>
        <v>1102133</v>
      </c>
      <c r="B734" s="21" t="s">
        <v>268</v>
      </c>
      <c r="C734">
        <v>13</v>
      </c>
      <c r="D734">
        <v>2</v>
      </c>
      <c r="E734">
        <v>3</v>
      </c>
      <c r="F734" s="6" t="s">
        <v>387</v>
      </c>
      <c r="G734" s="6" t="s">
        <v>388</v>
      </c>
      <c r="H734" s="2">
        <v>0</v>
      </c>
      <c r="I734" s="2">
        <v>0</v>
      </c>
      <c r="J734" s="2">
        <f t="shared" si="396"/>
        <v>3</v>
      </c>
      <c r="K734" s="2">
        <f t="shared" si="397"/>
        <v>1.5</v>
      </c>
      <c r="L734" s="2">
        <f t="shared" si="398"/>
        <v>1.5</v>
      </c>
      <c r="M734" s="2">
        <v>10</v>
      </c>
      <c r="N734" s="2">
        <f t="shared" si="399"/>
        <v>256</v>
      </c>
      <c r="O734" s="2">
        <f t="shared" si="400"/>
        <v>25.6</v>
      </c>
      <c r="P734" s="2">
        <f t="shared" si="401"/>
        <v>3072</v>
      </c>
      <c r="Q734" s="2">
        <f t="shared" si="402"/>
        <v>307.2</v>
      </c>
      <c r="R734" s="2">
        <f t="shared" si="403"/>
        <v>85.33</v>
      </c>
      <c r="S734" s="2">
        <f t="shared" si="404"/>
        <v>8.5299999999999994</v>
      </c>
      <c r="T734" s="2">
        <v>0</v>
      </c>
      <c r="U734" s="2">
        <v>0</v>
      </c>
      <c r="V734" s="2">
        <v>0</v>
      </c>
      <c r="W734" s="2">
        <v>0</v>
      </c>
      <c r="X734" s="2">
        <v>0</v>
      </c>
      <c r="Y734" s="25">
        <v>532001</v>
      </c>
      <c r="Z734" s="26" t="s">
        <v>710</v>
      </c>
      <c r="AA734" s="4">
        <v>1</v>
      </c>
      <c r="AB734" s="4">
        <v>0</v>
      </c>
      <c r="AC734" s="4"/>
      <c r="AD734" s="4">
        <f t="shared" si="394"/>
        <v>19983.237120000002</v>
      </c>
      <c r="AF734" s="1" t="str">
        <f t="shared" si="395"/>
        <v>2</v>
      </c>
      <c r="AG734">
        <v>13</v>
      </c>
      <c r="AH734">
        <f t="shared" si="405"/>
        <v>256</v>
      </c>
      <c r="AI734">
        <f t="shared" si="406"/>
        <v>25.6</v>
      </c>
      <c r="AJ734">
        <f t="shared" si="407"/>
        <v>3072</v>
      </c>
      <c r="AK734">
        <f t="shared" si="408"/>
        <v>307.20000000000005</v>
      </c>
      <c r="AL734">
        <f t="shared" si="409"/>
        <v>85.333333333333329</v>
      </c>
      <c r="AM734">
        <f t="shared" si="410"/>
        <v>8.5333333333333332</v>
      </c>
      <c r="AN734">
        <f t="shared" si="411"/>
        <v>1.5</v>
      </c>
      <c r="AO734">
        <f t="shared" si="412"/>
        <v>1.5</v>
      </c>
      <c r="AP734">
        <f t="shared" si="413"/>
        <v>3</v>
      </c>
      <c r="AQ734">
        <v>102</v>
      </c>
      <c r="AR734">
        <v>1</v>
      </c>
    </row>
    <row r="735" spans="1:44" x14ac:dyDescent="0.15">
      <c r="A735">
        <f t="shared" si="393"/>
        <v>1102134</v>
      </c>
      <c r="B735" s="21" t="s">
        <v>271</v>
      </c>
      <c r="C735">
        <v>13</v>
      </c>
      <c r="D735">
        <v>2</v>
      </c>
      <c r="E735">
        <v>4</v>
      </c>
      <c r="F735" s="6" t="s">
        <v>389</v>
      </c>
      <c r="G735" s="6" t="s">
        <v>390</v>
      </c>
      <c r="H735" s="2">
        <v>0</v>
      </c>
      <c r="I735" s="2">
        <v>0</v>
      </c>
      <c r="J735" s="2">
        <f t="shared" si="396"/>
        <v>3</v>
      </c>
      <c r="K735" s="2">
        <f t="shared" si="397"/>
        <v>1.5</v>
      </c>
      <c r="L735" s="2">
        <f t="shared" si="398"/>
        <v>1.5</v>
      </c>
      <c r="M735" s="2">
        <v>10</v>
      </c>
      <c r="N735" s="2">
        <f t="shared" si="399"/>
        <v>256</v>
      </c>
      <c r="O735" s="2">
        <f t="shared" si="400"/>
        <v>25.6</v>
      </c>
      <c r="P735" s="2">
        <f t="shared" si="401"/>
        <v>3072</v>
      </c>
      <c r="Q735" s="2">
        <f t="shared" si="402"/>
        <v>307.2</v>
      </c>
      <c r="R735" s="2">
        <f t="shared" si="403"/>
        <v>85.33</v>
      </c>
      <c r="S735" s="2">
        <f t="shared" si="404"/>
        <v>8.5299999999999994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25">
        <v>532001</v>
      </c>
      <c r="Z735" s="26" t="s">
        <v>710</v>
      </c>
      <c r="AA735" s="4">
        <v>1</v>
      </c>
      <c r="AB735" s="4">
        <v>0</v>
      </c>
      <c r="AC735" s="4"/>
      <c r="AD735" s="4">
        <f t="shared" si="394"/>
        <v>19983.237120000002</v>
      </c>
      <c r="AF735" s="1" t="str">
        <f t="shared" si="395"/>
        <v>2</v>
      </c>
      <c r="AG735">
        <v>13</v>
      </c>
      <c r="AH735">
        <f t="shared" si="405"/>
        <v>256</v>
      </c>
      <c r="AI735">
        <f t="shared" si="406"/>
        <v>25.6</v>
      </c>
      <c r="AJ735">
        <f t="shared" si="407"/>
        <v>3072</v>
      </c>
      <c r="AK735">
        <f t="shared" si="408"/>
        <v>307.20000000000005</v>
      </c>
      <c r="AL735">
        <f t="shared" si="409"/>
        <v>85.333333333333329</v>
      </c>
      <c r="AM735">
        <f t="shared" si="410"/>
        <v>8.5333333333333332</v>
      </c>
      <c r="AN735">
        <f t="shared" si="411"/>
        <v>1.5</v>
      </c>
      <c r="AO735">
        <f t="shared" si="412"/>
        <v>1.5</v>
      </c>
      <c r="AP735">
        <f t="shared" si="413"/>
        <v>3</v>
      </c>
      <c r="AQ735">
        <v>102</v>
      </c>
      <c r="AR735">
        <v>1</v>
      </c>
    </row>
    <row r="736" spans="1:44" x14ac:dyDescent="0.15">
      <c r="A736">
        <f t="shared" si="393"/>
        <v>1102135</v>
      </c>
      <c r="B736" s="21" t="s">
        <v>274</v>
      </c>
      <c r="C736">
        <v>13</v>
      </c>
      <c r="D736">
        <v>2</v>
      </c>
      <c r="E736">
        <v>5</v>
      </c>
      <c r="F736" s="6" t="s">
        <v>391</v>
      </c>
      <c r="G736" s="6" t="s">
        <v>392</v>
      </c>
      <c r="H736">
        <v>0</v>
      </c>
      <c r="I736" s="2">
        <v>0</v>
      </c>
      <c r="J736" s="2">
        <f t="shared" si="396"/>
        <v>3</v>
      </c>
      <c r="K736" s="2">
        <f t="shared" si="397"/>
        <v>1.5</v>
      </c>
      <c r="L736" s="2">
        <f t="shared" si="398"/>
        <v>1.5</v>
      </c>
      <c r="M736" s="2">
        <v>10</v>
      </c>
      <c r="N736" s="2">
        <f t="shared" si="399"/>
        <v>256</v>
      </c>
      <c r="O736" s="2">
        <f t="shared" si="400"/>
        <v>25.6</v>
      </c>
      <c r="P736" s="2">
        <f t="shared" si="401"/>
        <v>3072</v>
      </c>
      <c r="Q736" s="2">
        <f t="shared" si="402"/>
        <v>307.2</v>
      </c>
      <c r="R736" s="2">
        <f t="shared" si="403"/>
        <v>85.33</v>
      </c>
      <c r="S736" s="2">
        <f t="shared" si="404"/>
        <v>8.5299999999999994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25">
        <v>532001</v>
      </c>
      <c r="Z736" s="26" t="s">
        <v>710</v>
      </c>
      <c r="AA736" s="4">
        <v>1</v>
      </c>
      <c r="AB736" s="4">
        <v>0</v>
      </c>
      <c r="AC736" s="4"/>
      <c r="AD736" s="4">
        <f t="shared" si="394"/>
        <v>19983.237120000002</v>
      </c>
      <c r="AF736" s="1" t="str">
        <f t="shared" si="395"/>
        <v>2</v>
      </c>
      <c r="AG736">
        <v>13</v>
      </c>
      <c r="AH736">
        <f t="shared" si="405"/>
        <v>256</v>
      </c>
      <c r="AI736">
        <f t="shared" si="406"/>
        <v>25.6</v>
      </c>
      <c r="AJ736">
        <f t="shared" si="407"/>
        <v>3072</v>
      </c>
      <c r="AK736">
        <f t="shared" si="408"/>
        <v>307.20000000000005</v>
      </c>
      <c r="AL736">
        <f t="shared" si="409"/>
        <v>85.333333333333329</v>
      </c>
      <c r="AM736">
        <f t="shared" si="410"/>
        <v>8.5333333333333332</v>
      </c>
      <c r="AN736">
        <f t="shared" si="411"/>
        <v>1.5</v>
      </c>
      <c r="AO736">
        <f t="shared" si="412"/>
        <v>1.5</v>
      </c>
      <c r="AP736">
        <f t="shared" si="413"/>
        <v>3</v>
      </c>
      <c r="AQ736">
        <v>102</v>
      </c>
      <c r="AR736">
        <v>1</v>
      </c>
    </row>
    <row r="737" spans="1:44" x14ac:dyDescent="0.15">
      <c r="A737">
        <f t="shared" si="393"/>
        <v>1103011</v>
      </c>
      <c r="B737" s="21" t="s">
        <v>262</v>
      </c>
      <c r="C737">
        <v>1</v>
      </c>
      <c r="D737">
        <v>2</v>
      </c>
      <c r="E737">
        <v>1</v>
      </c>
      <c r="F737" s="6" t="s">
        <v>393</v>
      </c>
      <c r="G737" s="6" t="s">
        <v>394</v>
      </c>
      <c r="H737" s="2">
        <v>0</v>
      </c>
      <c r="I737" s="2" t="s">
        <v>395</v>
      </c>
      <c r="J737" s="2">
        <f t="shared" si="396"/>
        <v>6</v>
      </c>
      <c r="K737" s="2">
        <f t="shared" si="397"/>
        <v>1.6</v>
      </c>
      <c r="L737" s="2">
        <f t="shared" si="398"/>
        <v>2</v>
      </c>
      <c r="M737" s="2">
        <v>10</v>
      </c>
      <c r="N737" s="2">
        <f t="shared" si="399"/>
        <v>85.33</v>
      </c>
      <c r="O737" s="2">
        <f t="shared" si="400"/>
        <v>8.5299999999999994</v>
      </c>
      <c r="P737" s="2">
        <f t="shared" si="401"/>
        <v>960</v>
      </c>
      <c r="Q737" s="2">
        <f t="shared" si="402"/>
        <v>96</v>
      </c>
      <c r="R737" s="2">
        <f t="shared" si="403"/>
        <v>28.44</v>
      </c>
      <c r="S737" s="2">
        <f t="shared" si="404"/>
        <v>2.84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>
        <v>21</v>
      </c>
      <c r="Z737" s="26" t="s">
        <v>710</v>
      </c>
      <c r="AA737" s="4">
        <v>1</v>
      </c>
      <c r="AB737" s="4">
        <v>0</v>
      </c>
      <c r="AC737" s="4"/>
      <c r="AD737" s="4">
        <f t="shared" si="394"/>
        <v>1950.7880699999996</v>
      </c>
      <c r="AF737" s="1" t="str">
        <f t="shared" si="395"/>
        <v>3</v>
      </c>
      <c r="AG737">
        <v>1</v>
      </c>
      <c r="AH737">
        <f t="shared" si="405"/>
        <v>85.333333333333329</v>
      </c>
      <c r="AI737">
        <f t="shared" si="406"/>
        <v>8.5333333333333332</v>
      </c>
      <c r="AJ737">
        <f t="shared" si="407"/>
        <v>960</v>
      </c>
      <c r="AK737">
        <f t="shared" si="408"/>
        <v>96</v>
      </c>
      <c r="AL737">
        <f t="shared" si="409"/>
        <v>28.444444444444443</v>
      </c>
      <c r="AM737">
        <f t="shared" si="410"/>
        <v>2.8444444444444446</v>
      </c>
      <c r="AN737">
        <f t="shared" si="411"/>
        <v>1.6</v>
      </c>
      <c r="AO737">
        <f>ROUND(IF(INDEX($BG$5:$BG$50,MATCH($AQ737,$AT$5:$AT$50,0))&lt;2,INDEX($BG$5:$BG$50,MATCH($AQ737,$AT$5:$AT$50,0))+0.2,2),1)</f>
        <v>2</v>
      </c>
      <c r="AP737">
        <f t="shared" si="413"/>
        <v>6</v>
      </c>
      <c r="AQ737">
        <v>103</v>
      </c>
      <c r="AR737">
        <v>1</v>
      </c>
    </row>
    <row r="738" spans="1:44" x14ac:dyDescent="0.15">
      <c r="A738">
        <f t="shared" si="393"/>
        <v>1103012</v>
      </c>
      <c r="B738" s="21" t="s">
        <v>265</v>
      </c>
      <c r="C738">
        <v>1</v>
      </c>
      <c r="D738">
        <v>2</v>
      </c>
      <c r="E738">
        <v>2</v>
      </c>
      <c r="F738" s="6" t="s">
        <v>396</v>
      </c>
      <c r="G738" s="6" t="s">
        <v>397</v>
      </c>
      <c r="H738" s="2">
        <v>0</v>
      </c>
      <c r="I738" s="2" t="s">
        <v>395</v>
      </c>
      <c r="J738" s="2">
        <f t="shared" si="396"/>
        <v>6</v>
      </c>
      <c r="K738" s="2">
        <f t="shared" si="397"/>
        <v>1.6</v>
      </c>
      <c r="L738" s="2">
        <f t="shared" si="398"/>
        <v>2</v>
      </c>
      <c r="M738" s="2">
        <v>10</v>
      </c>
      <c r="N738" s="2">
        <f t="shared" si="399"/>
        <v>85.33</v>
      </c>
      <c r="O738" s="2">
        <f t="shared" si="400"/>
        <v>8.5299999999999994</v>
      </c>
      <c r="P738" s="2">
        <f t="shared" si="401"/>
        <v>960</v>
      </c>
      <c r="Q738" s="2">
        <f t="shared" si="402"/>
        <v>96</v>
      </c>
      <c r="R738" s="2">
        <f t="shared" si="403"/>
        <v>28.44</v>
      </c>
      <c r="S738" s="2">
        <f t="shared" si="404"/>
        <v>2.84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>
        <v>31</v>
      </c>
      <c r="Z738" s="26" t="s">
        <v>710</v>
      </c>
      <c r="AA738" s="4">
        <v>1</v>
      </c>
      <c r="AB738" s="4">
        <v>0</v>
      </c>
      <c r="AC738" s="4"/>
      <c r="AD738" s="4">
        <f t="shared" si="394"/>
        <v>1950.7880699999996</v>
      </c>
      <c r="AF738" s="1" t="str">
        <f t="shared" si="395"/>
        <v>3</v>
      </c>
      <c r="AG738">
        <v>1</v>
      </c>
      <c r="AH738">
        <f t="shared" si="405"/>
        <v>85.333333333333329</v>
      </c>
      <c r="AI738">
        <f t="shared" si="406"/>
        <v>8.5333333333333332</v>
      </c>
      <c r="AJ738">
        <f t="shared" si="407"/>
        <v>960</v>
      </c>
      <c r="AK738">
        <f t="shared" si="408"/>
        <v>96</v>
      </c>
      <c r="AL738">
        <f t="shared" si="409"/>
        <v>28.444444444444443</v>
      </c>
      <c r="AM738">
        <f t="shared" si="410"/>
        <v>2.8444444444444446</v>
      </c>
      <c r="AN738">
        <f t="shared" si="411"/>
        <v>1.6</v>
      </c>
      <c r="AO738">
        <f t="shared" ref="AO738:AO799" si="414">ROUND(IF(INDEX($BG$5:$BG$50,MATCH($AQ738,$AT$5:$AT$50,0))&lt;2,INDEX($BG$5:$BG$50,MATCH($AQ738,$AT$5:$AT$50,0))+0.2,2),1)</f>
        <v>2</v>
      </c>
      <c r="AP738">
        <f t="shared" si="413"/>
        <v>6</v>
      </c>
      <c r="AQ738">
        <v>103</v>
      </c>
      <c r="AR738">
        <v>1</v>
      </c>
    </row>
    <row r="739" spans="1:44" x14ac:dyDescent="0.15">
      <c r="A739">
        <f t="shared" si="393"/>
        <v>1103013</v>
      </c>
      <c r="B739" s="21" t="s">
        <v>268</v>
      </c>
      <c r="C739">
        <v>1</v>
      </c>
      <c r="D739">
        <v>2</v>
      </c>
      <c r="E739">
        <v>3</v>
      </c>
      <c r="F739" s="6" t="s">
        <v>398</v>
      </c>
      <c r="G739" s="6" t="s">
        <v>399</v>
      </c>
      <c r="H739" s="2">
        <v>0</v>
      </c>
      <c r="I739" s="2" t="s">
        <v>395</v>
      </c>
      <c r="J739" s="2">
        <f t="shared" si="396"/>
        <v>6</v>
      </c>
      <c r="K739" s="2">
        <f t="shared" si="397"/>
        <v>1.6</v>
      </c>
      <c r="L739" s="2">
        <f t="shared" si="398"/>
        <v>2</v>
      </c>
      <c r="M739" s="2">
        <v>10</v>
      </c>
      <c r="N739" s="2">
        <f t="shared" si="399"/>
        <v>85.33</v>
      </c>
      <c r="O739" s="2">
        <f t="shared" si="400"/>
        <v>8.5299999999999994</v>
      </c>
      <c r="P739" s="2">
        <f t="shared" si="401"/>
        <v>960</v>
      </c>
      <c r="Q739" s="2">
        <f t="shared" si="402"/>
        <v>96</v>
      </c>
      <c r="R739" s="2">
        <f t="shared" si="403"/>
        <v>28.44</v>
      </c>
      <c r="S739" s="2">
        <f t="shared" si="404"/>
        <v>2.84</v>
      </c>
      <c r="T739" s="2">
        <v>0</v>
      </c>
      <c r="U739" s="2">
        <v>0</v>
      </c>
      <c r="V739" s="2">
        <v>0</v>
      </c>
      <c r="W739" s="2">
        <v>0</v>
      </c>
      <c r="X739" s="2">
        <v>0</v>
      </c>
      <c r="Y739">
        <v>41</v>
      </c>
      <c r="Z739" s="26" t="s">
        <v>710</v>
      </c>
      <c r="AA739" s="4">
        <v>1</v>
      </c>
      <c r="AB739" s="4">
        <v>0</v>
      </c>
      <c r="AC739" s="4"/>
      <c r="AD739" s="4">
        <f t="shared" si="394"/>
        <v>1950.7880699999996</v>
      </c>
      <c r="AF739" s="1" t="str">
        <f t="shared" si="395"/>
        <v>3</v>
      </c>
      <c r="AG739">
        <v>1</v>
      </c>
      <c r="AH739">
        <f t="shared" si="405"/>
        <v>85.333333333333329</v>
      </c>
      <c r="AI739">
        <f t="shared" si="406"/>
        <v>8.5333333333333332</v>
      </c>
      <c r="AJ739">
        <f t="shared" si="407"/>
        <v>960</v>
      </c>
      <c r="AK739">
        <f t="shared" si="408"/>
        <v>96</v>
      </c>
      <c r="AL739">
        <f t="shared" si="409"/>
        <v>28.444444444444443</v>
      </c>
      <c r="AM739">
        <f t="shared" si="410"/>
        <v>2.8444444444444446</v>
      </c>
      <c r="AN739">
        <f t="shared" si="411"/>
        <v>1.6</v>
      </c>
      <c r="AO739">
        <f t="shared" si="414"/>
        <v>2</v>
      </c>
      <c r="AP739">
        <f t="shared" si="413"/>
        <v>6</v>
      </c>
      <c r="AQ739">
        <v>103</v>
      </c>
      <c r="AR739">
        <v>1</v>
      </c>
    </row>
    <row r="740" spans="1:44" x14ac:dyDescent="0.15">
      <c r="A740">
        <f t="shared" ref="A740:A796" si="415">AR740*1000000+AQ740*1000+C740*10+E740</f>
        <v>1103014</v>
      </c>
      <c r="B740" s="21" t="s">
        <v>271</v>
      </c>
      <c r="C740">
        <v>1</v>
      </c>
      <c r="D740">
        <v>2</v>
      </c>
      <c r="E740">
        <v>4</v>
      </c>
      <c r="F740" s="6" t="s">
        <v>400</v>
      </c>
      <c r="G740" s="6" t="s">
        <v>401</v>
      </c>
      <c r="H740" s="2">
        <v>0</v>
      </c>
      <c r="I740" s="2" t="s">
        <v>395</v>
      </c>
      <c r="J740" s="2">
        <f t="shared" si="396"/>
        <v>6</v>
      </c>
      <c r="K740" s="2">
        <f t="shared" si="397"/>
        <v>1.6</v>
      </c>
      <c r="L740" s="2">
        <f t="shared" si="398"/>
        <v>2</v>
      </c>
      <c r="M740" s="2">
        <v>10</v>
      </c>
      <c r="N740" s="2">
        <f t="shared" si="399"/>
        <v>85.33</v>
      </c>
      <c r="O740" s="2">
        <f t="shared" si="400"/>
        <v>8.5299999999999994</v>
      </c>
      <c r="P740" s="2">
        <f t="shared" si="401"/>
        <v>960</v>
      </c>
      <c r="Q740" s="2">
        <f t="shared" si="402"/>
        <v>96</v>
      </c>
      <c r="R740" s="2">
        <f t="shared" si="403"/>
        <v>28.44</v>
      </c>
      <c r="S740" s="2">
        <f t="shared" si="404"/>
        <v>2.84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>
        <v>554021</v>
      </c>
      <c r="Z740" s="26" t="s">
        <v>710</v>
      </c>
      <c r="AA740" s="4">
        <v>1</v>
      </c>
      <c r="AB740" s="4">
        <v>0</v>
      </c>
      <c r="AC740" s="4"/>
      <c r="AD740" s="4">
        <f t="shared" ref="AD740:AD803" si="416">(N740+O740*$AD$2)*(P740+Q740*$AD$2)/K740*0.945/3000</f>
        <v>1950.7880699999996</v>
      </c>
      <c r="AF740" s="1" t="str">
        <f t="shared" ref="AF740:AF803" si="417">RIGHT(AQ740,1)</f>
        <v>3</v>
      </c>
      <c r="AG740">
        <v>1</v>
      </c>
      <c r="AH740">
        <f t="shared" si="405"/>
        <v>85.333333333333329</v>
      </c>
      <c r="AI740">
        <f t="shared" si="406"/>
        <v>8.5333333333333332</v>
      </c>
      <c r="AJ740">
        <f t="shared" si="407"/>
        <v>960</v>
      </c>
      <c r="AK740">
        <f t="shared" si="408"/>
        <v>96</v>
      </c>
      <c r="AL740">
        <f t="shared" si="409"/>
        <v>28.444444444444443</v>
      </c>
      <c r="AM740">
        <f t="shared" si="410"/>
        <v>2.8444444444444446</v>
      </c>
      <c r="AN740">
        <f t="shared" si="411"/>
        <v>1.6</v>
      </c>
      <c r="AO740">
        <f t="shared" si="414"/>
        <v>2</v>
      </c>
      <c r="AP740">
        <f t="shared" si="413"/>
        <v>6</v>
      </c>
      <c r="AQ740">
        <v>103</v>
      </c>
      <c r="AR740">
        <v>1</v>
      </c>
    </row>
    <row r="741" spans="1:44" x14ac:dyDescent="0.15">
      <c r="A741">
        <f t="shared" si="415"/>
        <v>1103015</v>
      </c>
      <c r="B741" s="21" t="s">
        <v>274</v>
      </c>
      <c r="C741">
        <v>1</v>
      </c>
      <c r="D741">
        <v>2</v>
      </c>
      <c r="E741">
        <v>5</v>
      </c>
      <c r="F741" s="6" t="s">
        <v>402</v>
      </c>
      <c r="G741" s="6" t="s">
        <v>403</v>
      </c>
      <c r="H741">
        <v>0</v>
      </c>
      <c r="I741" s="2" t="s">
        <v>395</v>
      </c>
      <c r="J741" s="2">
        <f t="shared" si="396"/>
        <v>6</v>
      </c>
      <c r="K741" s="2">
        <f t="shared" si="397"/>
        <v>1.6</v>
      </c>
      <c r="L741" s="2">
        <f t="shared" si="398"/>
        <v>2</v>
      </c>
      <c r="M741" s="2">
        <v>10</v>
      </c>
      <c r="N741" s="2">
        <f t="shared" si="399"/>
        <v>85.33</v>
      </c>
      <c r="O741" s="2">
        <f t="shared" si="400"/>
        <v>8.5299999999999994</v>
      </c>
      <c r="P741" s="2">
        <f t="shared" si="401"/>
        <v>960</v>
      </c>
      <c r="Q741" s="2">
        <f t="shared" si="402"/>
        <v>96</v>
      </c>
      <c r="R741" s="2">
        <f t="shared" si="403"/>
        <v>28.44</v>
      </c>
      <c r="S741" s="2">
        <f t="shared" si="404"/>
        <v>2.84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>
        <v>354001</v>
      </c>
      <c r="Z741" s="26" t="s">
        <v>710</v>
      </c>
      <c r="AA741" s="4">
        <v>1</v>
      </c>
      <c r="AB741" s="4">
        <v>0</v>
      </c>
      <c r="AC741" s="4"/>
      <c r="AD741" s="4">
        <f t="shared" si="416"/>
        <v>1950.7880699999996</v>
      </c>
      <c r="AF741" s="1" t="str">
        <f t="shared" si="417"/>
        <v>3</v>
      </c>
      <c r="AG741">
        <v>1</v>
      </c>
      <c r="AH741">
        <f t="shared" si="405"/>
        <v>85.333333333333329</v>
      </c>
      <c r="AI741">
        <f t="shared" si="406"/>
        <v>8.5333333333333332</v>
      </c>
      <c r="AJ741">
        <f t="shared" si="407"/>
        <v>960</v>
      </c>
      <c r="AK741">
        <f t="shared" si="408"/>
        <v>96</v>
      </c>
      <c r="AL741">
        <f t="shared" si="409"/>
        <v>28.444444444444443</v>
      </c>
      <c r="AM741">
        <f t="shared" si="410"/>
        <v>2.8444444444444446</v>
      </c>
      <c r="AN741">
        <f t="shared" si="411"/>
        <v>1.6</v>
      </c>
      <c r="AO741">
        <f t="shared" si="414"/>
        <v>2</v>
      </c>
      <c r="AP741">
        <f t="shared" si="413"/>
        <v>6</v>
      </c>
      <c r="AQ741">
        <v>103</v>
      </c>
      <c r="AR741">
        <v>1</v>
      </c>
    </row>
    <row r="742" spans="1:44" x14ac:dyDescent="0.15">
      <c r="A742">
        <f t="shared" si="415"/>
        <v>1103021</v>
      </c>
      <c r="B742" s="21" t="s">
        <v>262</v>
      </c>
      <c r="C742">
        <v>2</v>
      </c>
      <c r="D742">
        <v>2</v>
      </c>
      <c r="E742">
        <v>1</v>
      </c>
      <c r="F742" s="6" t="s">
        <v>393</v>
      </c>
      <c r="G742" s="6" t="s">
        <v>394</v>
      </c>
      <c r="H742" s="2">
        <v>0</v>
      </c>
      <c r="I742" s="2" t="s">
        <v>395</v>
      </c>
      <c r="J742" s="2">
        <f t="shared" si="396"/>
        <v>6</v>
      </c>
      <c r="K742" s="2">
        <f t="shared" si="397"/>
        <v>1.6</v>
      </c>
      <c r="L742" s="2">
        <f t="shared" si="398"/>
        <v>2</v>
      </c>
      <c r="M742" s="2">
        <v>10</v>
      </c>
      <c r="N742" s="2">
        <f t="shared" si="399"/>
        <v>93.87</v>
      </c>
      <c r="O742" s="2">
        <f t="shared" si="400"/>
        <v>9.39</v>
      </c>
      <c r="P742" s="2">
        <f t="shared" si="401"/>
        <v>1056</v>
      </c>
      <c r="Q742" s="2">
        <f t="shared" si="402"/>
        <v>105.6</v>
      </c>
      <c r="R742" s="2">
        <f t="shared" si="403"/>
        <v>31.29</v>
      </c>
      <c r="S742" s="2">
        <f t="shared" si="404"/>
        <v>3.13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>
        <v>21</v>
      </c>
      <c r="Z742" s="26" t="s">
        <v>710</v>
      </c>
      <c r="AA742" s="4">
        <v>1</v>
      </c>
      <c r="AB742" s="4">
        <v>0</v>
      </c>
      <c r="AC742" s="4"/>
      <c r="AD742" s="4">
        <f t="shared" si="416"/>
        <v>2362.0704029999993</v>
      </c>
      <c r="AF742" s="1" t="str">
        <f t="shared" si="417"/>
        <v>3</v>
      </c>
      <c r="AG742">
        <v>2</v>
      </c>
      <c r="AH742">
        <f t="shared" si="405"/>
        <v>93.866666666666674</v>
      </c>
      <c r="AI742">
        <f t="shared" si="406"/>
        <v>9.3866666666666685</v>
      </c>
      <c r="AJ742">
        <f t="shared" si="407"/>
        <v>1056</v>
      </c>
      <c r="AK742">
        <f t="shared" si="408"/>
        <v>105.60000000000001</v>
      </c>
      <c r="AL742">
        <f t="shared" si="409"/>
        <v>31.288888888888891</v>
      </c>
      <c r="AM742">
        <f t="shared" si="410"/>
        <v>3.1288888888888895</v>
      </c>
      <c r="AN742">
        <f t="shared" si="411"/>
        <v>1.6</v>
      </c>
      <c r="AO742">
        <f t="shared" si="414"/>
        <v>2</v>
      </c>
      <c r="AP742">
        <f t="shared" si="413"/>
        <v>6</v>
      </c>
      <c r="AQ742">
        <v>103</v>
      </c>
      <c r="AR742">
        <v>1</v>
      </c>
    </row>
    <row r="743" spans="1:44" x14ac:dyDescent="0.15">
      <c r="A743">
        <f t="shared" si="415"/>
        <v>1103022</v>
      </c>
      <c r="B743" s="21" t="s">
        <v>265</v>
      </c>
      <c r="C743">
        <v>2</v>
      </c>
      <c r="D743">
        <v>2</v>
      </c>
      <c r="E743">
        <v>2</v>
      </c>
      <c r="F743" s="6" t="s">
        <v>396</v>
      </c>
      <c r="G743" s="6" t="s">
        <v>397</v>
      </c>
      <c r="H743" s="2">
        <v>0</v>
      </c>
      <c r="I743" s="2" t="s">
        <v>395</v>
      </c>
      <c r="J743" s="2">
        <f t="shared" si="396"/>
        <v>6</v>
      </c>
      <c r="K743" s="2">
        <f t="shared" si="397"/>
        <v>1.6</v>
      </c>
      <c r="L743" s="2">
        <f t="shared" si="398"/>
        <v>2</v>
      </c>
      <c r="M743" s="2">
        <v>10</v>
      </c>
      <c r="N743" s="2">
        <f t="shared" si="399"/>
        <v>93.87</v>
      </c>
      <c r="O743" s="2">
        <f t="shared" si="400"/>
        <v>9.39</v>
      </c>
      <c r="P743" s="2">
        <f t="shared" si="401"/>
        <v>1056</v>
      </c>
      <c r="Q743" s="2">
        <f t="shared" si="402"/>
        <v>105.6</v>
      </c>
      <c r="R743" s="2">
        <f t="shared" si="403"/>
        <v>31.29</v>
      </c>
      <c r="S743" s="2">
        <f t="shared" si="404"/>
        <v>3.13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>
        <v>31</v>
      </c>
      <c r="Z743" s="26" t="s">
        <v>710</v>
      </c>
      <c r="AA743" s="4">
        <v>1</v>
      </c>
      <c r="AB743" s="4">
        <v>0</v>
      </c>
      <c r="AC743" s="4"/>
      <c r="AD743" s="4">
        <f t="shared" si="416"/>
        <v>2362.0704029999993</v>
      </c>
      <c r="AF743" s="1" t="str">
        <f t="shared" si="417"/>
        <v>3</v>
      </c>
      <c r="AG743">
        <v>2</v>
      </c>
      <c r="AH743">
        <f t="shared" si="405"/>
        <v>93.866666666666674</v>
      </c>
      <c r="AI743">
        <f t="shared" si="406"/>
        <v>9.3866666666666685</v>
      </c>
      <c r="AJ743">
        <f t="shared" si="407"/>
        <v>1056</v>
      </c>
      <c r="AK743">
        <f t="shared" si="408"/>
        <v>105.60000000000001</v>
      </c>
      <c r="AL743">
        <f t="shared" si="409"/>
        <v>31.288888888888891</v>
      </c>
      <c r="AM743">
        <f t="shared" si="410"/>
        <v>3.1288888888888895</v>
      </c>
      <c r="AN743">
        <f t="shared" si="411"/>
        <v>1.6</v>
      </c>
      <c r="AO743">
        <f t="shared" si="414"/>
        <v>2</v>
      </c>
      <c r="AP743">
        <f t="shared" si="413"/>
        <v>6</v>
      </c>
      <c r="AQ743">
        <v>103</v>
      </c>
      <c r="AR743">
        <v>1</v>
      </c>
    </row>
    <row r="744" spans="1:44" x14ac:dyDescent="0.15">
      <c r="A744">
        <f t="shared" si="415"/>
        <v>1103023</v>
      </c>
      <c r="B744" s="21" t="s">
        <v>268</v>
      </c>
      <c r="C744">
        <v>2</v>
      </c>
      <c r="D744">
        <v>2</v>
      </c>
      <c r="E744">
        <v>3</v>
      </c>
      <c r="F744" s="6" t="s">
        <v>398</v>
      </c>
      <c r="G744" s="6" t="s">
        <v>399</v>
      </c>
      <c r="H744" s="2">
        <v>0</v>
      </c>
      <c r="I744" s="2" t="s">
        <v>395</v>
      </c>
      <c r="J744" s="2">
        <f t="shared" si="396"/>
        <v>6</v>
      </c>
      <c r="K744" s="2">
        <f t="shared" si="397"/>
        <v>1.6</v>
      </c>
      <c r="L744" s="2">
        <f t="shared" si="398"/>
        <v>2</v>
      </c>
      <c r="M744" s="2">
        <v>10</v>
      </c>
      <c r="N744" s="2">
        <f t="shared" si="399"/>
        <v>93.87</v>
      </c>
      <c r="O744" s="2">
        <f t="shared" si="400"/>
        <v>9.39</v>
      </c>
      <c r="P744" s="2">
        <f t="shared" si="401"/>
        <v>1056</v>
      </c>
      <c r="Q744" s="2">
        <f t="shared" si="402"/>
        <v>105.6</v>
      </c>
      <c r="R744" s="2">
        <f t="shared" si="403"/>
        <v>31.29</v>
      </c>
      <c r="S744" s="2">
        <f t="shared" si="404"/>
        <v>3.13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>
        <v>41</v>
      </c>
      <c r="Z744" s="26" t="s">
        <v>710</v>
      </c>
      <c r="AA744" s="4">
        <v>1</v>
      </c>
      <c r="AB744" s="4">
        <v>0</v>
      </c>
      <c r="AC744" s="4"/>
      <c r="AD744" s="4">
        <f t="shared" si="416"/>
        <v>2362.0704029999993</v>
      </c>
      <c r="AF744" s="1" t="str">
        <f t="shared" si="417"/>
        <v>3</v>
      </c>
      <c r="AG744">
        <v>2</v>
      </c>
      <c r="AH744">
        <f t="shared" si="405"/>
        <v>93.866666666666674</v>
      </c>
      <c r="AI744">
        <f t="shared" si="406"/>
        <v>9.3866666666666685</v>
      </c>
      <c r="AJ744">
        <f t="shared" si="407"/>
        <v>1056</v>
      </c>
      <c r="AK744">
        <f t="shared" si="408"/>
        <v>105.60000000000001</v>
      </c>
      <c r="AL744">
        <f t="shared" si="409"/>
        <v>31.288888888888891</v>
      </c>
      <c r="AM744">
        <f t="shared" si="410"/>
        <v>3.1288888888888895</v>
      </c>
      <c r="AN744">
        <f t="shared" si="411"/>
        <v>1.6</v>
      </c>
      <c r="AO744">
        <f t="shared" si="414"/>
        <v>2</v>
      </c>
      <c r="AP744">
        <f t="shared" si="413"/>
        <v>6</v>
      </c>
      <c r="AQ744">
        <v>103</v>
      </c>
      <c r="AR744">
        <v>1</v>
      </c>
    </row>
    <row r="745" spans="1:44" x14ac:dyDescent="0.15">
      <c r="A745">
        <f t="shared" si="415"/>
        <v>1103024</v>
      </c>
      <c r="B745" s="21" t="s">
        <v>271</v>
      </c>
      <c r="C745">
        <v>2</v>
      </c>
      <c r="D745">
        <v>2</v>
      </c>
      <c r="E745">
        <v>4</v>
      </c>
      <c r="F745" s="6" t="s">
        <v>400</v>
      </c>
      <c r="G745" s="6" t="s">
        <v>401</v>
      </c>
      <c r="H745" s="2">
        <v>0</v>
      </c>
      <c r="I745" s="2" t="s">
        <v>395</v>
      </c>
      <c r="J745" s="2">
        <f t="shared" si="396"/>
        <v>6</v>
      </c>
      <c r="K745" s="2">
        <f t="shared" si="397"/>
        <v>1.6</v>
      </c>
      <c r="L745" s="2">
        <f t="shared" si="398"/>
        <v>2</v>
      </c>
      <c r="M745" s="2">
        <v>10</v>
      </c>
      <c r="N745" s="2">
        <f t="shared" si="399"/>
        <v>93.87</v>
      </c>
      <c r="O745" s="2">
        <f t="shared" si="400"/>
        <v>9.39</v>
      </c>
      <c r="P745" s="2">
        <f t="shared" si="401"/>
        <v>1056</v>
      </c>
      <c r="Q745" s="2">
        <f t="shared" si="402"/>
        <v>105.6</v>
      </c>
      <c r="R745" s="2">
        <f t="shared" si="403"/>
        <v>31.29</v>
      </c>
      <c r="S745" s="2">
        <f t="shared" si="404"/>
        <v>3.13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>
        <v>554021</v>
      </c>
      <c r="Z745" s="26" t="s">
        <v>710</v>
      </c>
      <c r="AA745" s="4">
        <v>1</v>
      </c>
      <c r="AB745" s="4">
        <v>0</v>
      </c>
      <c r="AC745" s="4"/>
      <c r="AD745" s="4">
        <f t="shared" si="416"/>
        <v>2362.0704029999993</v>
      </c>
      <c r="AF745" s="1" t="str">
        <f t="shared" si="417"/>
        <v>3</v>
      </c>
      <c r="AG745">
        <v>2</v>
      </c>
      <c r="AH745">
        <f t="shared" si="405"/>
        <v>93.866666666666674</v>
      </c>
      <c r="AI745">
        <f t="shared" si="406"/>
        <v>9.3866666666666685</v>
      </c>
      <c r="AJ745">
        <f t="shared" si="407"/>
        <v>1056</v>
      </c>
      <c r="AK745">
        <f t="shared" si="408"/>
        <v>105.60000000000001</v>
      </c>
      <c r="AL745">
        <f t="shared" si="409"/>
        <v>31.288888888888891</v>
      </c>
      <c r="AM745">
        <f t="shared" si="410"/>
        <v>3.1288888888888895</v>
      </c>
      <c r="AN745">
        <f t="shared" si="411"/>
        <v>1.6</v>
      </c>
      <c r="AO745">
        <f t="shared" si="414"/>
        <v>2</v>
      </c>
      <c r="AP745">
        <f t="shared" si="413"/>
        <v>6</v>
      </c>
      <c r="AQ745">
        <v>103</v>
      </c>
      <c r="AR745">
        <v>1</v>
      </c>
    </row>
    <row r="746" spans="1:44" x14ac:dyDescent="0.15">
      <c r="A746">
        <f t="shared" si="415"/>
        <v>1103025</v>
      </c>
      <c r="B746" s="21" t="s">
        <v>274</v>
      </c>
      <c r="C746">
        <v>2</v>
      </c>
      <c r="D746">
        <v>2</v>
      </c>
      <c r="E746">
        <v>5</v>
      </c>
      <c r="F746" s="6" t="s">
        <v>402</v>
      </c>
      <c r="G746" s="6" t="s">
        <v>403</v>
      </c>
      <c r="H746">
        <v>0</v>
      </c>
      <c r="I746" s="2" t="s">
        <v>395</v>
      </c>
      <c r="J746" s="2">
        <f t="shared" si="396"/>
        <v>6</v>
      </c>
      <c r="K746" s="2">
        <f t="shared" si="397"/>
        <v>1.6</v>
      </c>
      <c r="L746" s="2">
        <f t="shared" si="398"/>
        <v>2</v>
      </c>
      <c r="M746" s="2">
        <v>10</v>
      </c>
      <c r="N746" s="2">
        <f t="shared" si="399"/>
        <v>93.87</v>
      </c>
      <c r="O746" s="2">
        <f t="shared" si="400"/>
        <v>9.39</v>
      </c>
      <c r="P746" s="2">
        <f t="shared" si="401"/>
        <v>1056</v>
      </c>
      <c r="Q746" s="2">
        <f t="shared" si="402"/>
        <v>105.6</v>
      </c>
      <c r="R746" s="2">
        <f t="shared" si="403"/>
        <v>31.29</v>
      </c>
      <c r="S746" s="2">
        <f t="shared" si="404"/>
        <v>3.13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>
        <v>354001</v>
      </c>
      <c r="Z746" s="26" t="s">
        <v>710</v>
      </c>
      <c r="AA746" s="4">
        <v>1</v>
      </c>
      <c r="AB746" s="4">
        <v>0</v>
      </c>
      <c r="AC746" s="4"/>
      <c r="AD746" s="4">
        <f t="shared" si="416"/>
        <v>2362.0704029999993</v>
      </c>
      <c r="AF746" s="1" t="str">
        <f t="shared" si="417"/>
        <v>3</v>
      </c>
      <c r="AG746">
        <v>2</v>
      </c>
      <c r="AH746">
        <f t="shared" si="405"/>
        <v>93.866666666666674</v>
      </c>
      <c r="AI746">
        <f t="shared" si="406"/>
        <v>9.3866666666666685</v>
      </c>
      <c r="AJ746">
        <f t="shared" si="407"/>
        <v>1056</v>
      </c>
      <c r="AK746">
        <f t="shared" si="408"/>
        <v>105.60000000000001</v>
      </c>
      <c r="AL746">
        <f t="shared" si="409"/>
        <v>31.288888888888891</v>
      </c>
      <c r="AM746">
        <f t="shared" si="410"/>
        <v>3.1288888888888895</v>
      </c>
      <c r="AN746">
        <f t="shared" si="411"/>
        <v>1.6</v>
      </c>
      <c r="AO746">
        <f t="shared" si="414"/>
        <v>2</v>
      </c>
      <c r="AP746">
        <f t="shared" si="413"/>
        <v>6</v>
      </c>
      <c r="AQ746">
        <v>103</v>
      </c>
      <c r="AR746">
        <v>1</v>
      </c>
    </row>
    <row r="747" spans="1:44" x14ac:dyDescent="0.15">
      <c r="A747">
        <f t="shared" si="415"/>
        <v>1103031</v>
      </c>
      <c r="B747" s="21" t="s">
        <v>262</v>
      </c>
      <c r="C747">
        <v>3</v>
      </c>
      <c r="D747">
        <v>2</v>
      </c>
      <c r="E747">
        <v>1</v>
      </c>
      <c r="F747" s="6" t="s">
        <v>393</v>
      </c>
      <c r="G747" s="6" t="s">
        <v>394</v>
      </c>
      <c r="H747" s="2">
        <v>0</v>
      </c>
      <c r="I747" s="2" t="s">
        <v>395</v>
      </c>
      <c r="J747" s="2">
        <f t="shared" si="396"/>
        <v>6</v>
      </c>
      <c r="K747" s="2">
        <f t="shared" si="397"/>
        <v>1.6</v>
      </c>
      <c r="L747" s="2">
        <f t="shared" si="398"/>
        <v>2</v>
      </c>
      <c r="M747" s="2">
        <v>10</v>
      </c>
      <c r="N747" s="2">
        <f t="shared" si="399"/>
        <v>102.4</v>
      </c>
      <c r="O747" s="2">
        <f t="shared" si="400"/>
        <v>10.24</v>
      </c>
      <c r="P747" s="2">
        <f t="shared" si="401"/>
        <v>1152</v>
      </c>
      <c r="Q747" s="2">
        <f t="shared" si="402"/>
        <v>115.2</v>
      </c>
      <c r="R747" s="2">
        <f t="shared" si="403"/>
        <v>34.130000000000003</v>
      </c>
      <c r="S747" s="2">
        <f t="shared" si="404"/>
        <v>3.41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>
        <v>21</v>
      </c>
      <c r="Z747" s="26" t="s">
        <v>710</v>
      </c>
      <c r="AA747" s="4">
        <v>1</v>
      </c>
      <c r="AB747" s="4">
        <v>0</v>
      </c>
      <c r="AC747" s="4"/>
      <c r="AD747" s="4">
        <f t="shared" si="416"/>
        <v>2810.1427199999998</v>
      </c>
      <c r="AF747" s="1" t="str">
        <f t="shared" si="417"/>
        <v>3</v>
      </c>
      <c r="AG747">
        <v>3</v>
      </c>
      <c r="AH747">
        <f t="shared" si="405"/>
        <v>102.39999999999999</v>
      </c>
      <c r="AI747">
        <f t="shared" si="406"/>
        <v>10.24</v>
      </c>
      <c r="AJ747">
        <f t="shared" si="407"/>
        <v>1152</v>
      </c>
      <c r="AK747">
        <f t="shared" si="408"/>
        <v>115.2</v>
      </c>
      <c r="AL747">
        <f t="shared" si="409"/>
        <v>34.133333333333333</v>
      </c>
      <c r="AM747">
        <f t="shared" si="410"/>
        <v>3.4133333333333336</v>
      </c>
      <c r="AN747">
        <f t="shared" si="411"/>
        <v>1.6</v>
      </c>
      <c r="AO747">
        <f t="shared" si="414"/>
        <v>2</v>
      </c>
      <c r="AP747">
        <f t="shared" si="413"/>
        <v>6</v>
      </c>
      <c r="AQ747">
        <v>103</v>
      </c>
      <c r="AR747">
        <v>1</v>
      </c>
    </row>
    <row r="748" spans="1:44" x14ac:dyDescent="0.15">
      <c r="A748">
        <f t="shared" si="415"/>
        <v>1103032</v>
      </c>
      <c r="B748" s="21" t="s">
        <v>265</v>
      </c>
      <c r="C748">
        <v>3</v>
      </c>
      <c r="D748">
        <v>2</v>
      </c>
      <c r="E748">
        <v>2</v>
      </c>
      <c r="F748" s="6" t="s">
        <v>396</v>
      </c>
      <c r="G748" s="6" t="s">
        <v>397</v>
      </c>
      <c r="H748" s="2">
        <v>0</v>
      </c>
      <c r="I748" s="2" t="s">
        <v>395</v>
      </c>
      <c r="J748" s="2">
        <f t="shared" si="396"/>
        <v>6</v>
      </c>
      <c r="K748" s="2">
        <f t="shared" si="397"/>
        <v>1.6</v>
      </c>
      <c r="L748" s="2">
        <f t="shared" si="398"/>
        <v>2</v>
      </c>
      <c r="M748" s="2">
        <v>10</v>
      </c>
      <c r="N748" s="2">
        <f t="shared" si="399"/>
        <v>102.4</v>
      </c>
      <c r="O748" s="2">
        <f t="shared" si="400"/>
        <v>10.24</v>
      </c>
      <c r="P748" s="2">
        <f t="shared" si="401"/>
        <v>1152</v>
      </c>
      <c r="Q748" s="2">
        <f t="shared" si="402"/>
        <v>115.2</v>
      </c>
      <c r="R748" s="2">
        <f t="shared" si="403"/>
        <v>34.130000000000003</v>
      </c>
      <c r="S748" s="2">
        <f t="shared" si="404"/>
        <v>3.41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>
        <v>31</v>
      </c>
      <c r="Z748" s="26" t="s">
        <v>710</v>
      </c>
      <c r="AA748" s="4">
        <v>1</v>
      </c>
      <c r="AB748" s="4">
        <v>0</v>
      </c>
      <c r="AC748" s="4"/>
      <c r="AD748" s="4">
        <f t="shared" si="416"/>
        <v>2810.1427199999998</v>
      </c>
      <c r="AF748" s="1" t="str">
        <f t="shared" si="417"/>
        <v>3</v>
      </c>
      <c r="AG748">
        <v>3</v>
      </c>
      <c r="AH748">
        <f t="shared" si="405"/>
        <v>102.39999999999999</v>
      </c>
      <c r="AI748">
        <f t="shared" si="406"/>
        <v>10.24</v>
      </c>
      <c r="AJ748">
        <f t="shared" si="407"/>
        <v>1152</v>
      </c>
      <c r="AK748">
        <f t="shared" si="408"/>
        <v>115.2</v>
      </c>
      <c r="AL748">
        <f t="shared" si="409"/>
        <v>34.133333333333333</v>
      </c>
      <c r="AM748">
        <f t="shared" si="410"/>
        <v>3.4133333333333336</v>
      </c>
      <c r="AN748">
        <f t="shared" si="411"/>
        <v>1.6</v>
      </c>
      <c r="AO748">
        <f t="shared" si="414"/>
        <v>2</v>
      </c>
      <c r="AP748">
        <f t="shared" si="413"/>
        <v>6</v>
      </c>
      <c r="AQ748">
        <v>103</v>
      </c>
      <c r="AR748">
        <v>1</v>
      </c>
    </row>
    <row r="749" spans="1:44" x14ac:dyDescent="0.15">
      <c r="A749">
        <f t="shared" si="415"/>
        <v>1103033</v>
      </c>
      <c r="B749" s="21" t="s">
        <v>268</v>
      </c>
      <c r="C749">
        <v>3</v>
      </c>
      <c r="D749">
        <v>2</v>
      </c>
      <c r="E749">
        <v>3</v>
      </c>
      <c r="F749" s="6" t="s">
        <v>398</v>
      </c>
      <c r="G749" s="6" t="s">
        <v>399</v>
      </c>
      <c r="H749" s="2">
        <v>0</v>
      </c>
      <c r="I749" s="2" t="s">
        <v>395</v>
      </c>
      <c r="J749" s="2">
        <f t="shared" si="396"/>
        <v>6</v>
      </c>
      <c r="K749" s="2">
        <f t="shared" si="397"/>
        <v>1.6</v>
      </c>
      <c r="L749" s="2">
        <f t="shared" si="398"/>
        <v>2</v>
      </c>
      <c r="M749" s="2">
        <v>10</v>
      </c>
      <c r="N749" s="2">
        <f t="shared" si="399"/>
        <v>102.4</v>
      </c>
      <c r="O749" s="2">
        <f t="shared" si="400"/>
        <v>10.24</v>
      </c>
      <c r="P749" s="2">
        <f t="shared" si="401"/>
        <v>1152</v>
      </c>
      <c r="Q749" s="2">
        <f t="shared" si="402"/>
        <v>115.2</v>
      </c>
      <c r="R749" s="2">
        <f t="shared" si="403"/>
        <v>34.130000000000003</v>
      </c>
      <c r="S749" s="2">
        <f t="shared" si="404"/>
        <v>3.41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>
        <v>41</v>
      </c>
      <c r="Z749" s="26" t="s">
        <v>710</v>
      </c>
      <c r="AA749" s="4">
        <v>1</v>
      </c>
      <c r="AB749" s="4">
        <v>0</v>
      </c>
      <c r="AC749" s="4"/>
      <c r="AD749" s="4">
        <f t="shared" si="416"/>
        <v>2810.1427199999998</v>
      </c>
      <c r="AF749" s="1" t="str">
        <f t="shared" si="417"/>
        <v>3</v>
      </c>
      <c r="AG749">
        <v>3</v>
      </c>
      <c r="AH749">
        <f t="shared" si="405"/>
        <v>102.39999999999999</v>
      </c>
      <c r="AI749">
        <f t="shared" si="406"/>
        <v>10.24</v>
      </c>
      <c r="AJ749">
        <f t="shared" si="407"/>
        <v>1152</v>
      </c>
      <c r="AK749">
        <f t="shared" si="408"/>
        <v>115.2</v>
      </c>
      <c r="AL749">
        <f t="shared" si="409"/>
        <v>34.133333333333333</v>
      </c>
      <c r="AM749">
        <f t="shared" si="410"/>
        <v>3.4133333333333336</v>
      </c>
      <c r="AN749">
        <f t="shared" si="411"/>
        <v>1.6</v>
      </c>
      <c r="AO749">
        <f t="shared" si="414"/>
        <v>2</v>
      </c>
      <c r="AP749">
        <f t="shared" si="413"/>
        <v>6</v>
      </c>
      <c r="AQ749">
        <v>103</v>
      </c>
      <c r="AR749">
        <v>1</v>
      </c>
    </row>
    <row r="750" spans="1:44" x14ac:dyDescent="0.15">
      <c r="A750">
        <f t="shared" si="415"/>
        <v>1103034</v>
      </c>
      <c r="B750" s="21" t="s">
        <v>271</v>
      </c>
      <c r="C750">
        <v>3</v>
      </c>
      <c r="D750">
        <v>2</v>
      </c>
      <c r="E750">
        <v>4</v>
      </c>
      <c r="F750" s="6" t="s">
        <v>400</v>
      </c>
      <c r="G750" s="6" t="s">
        <v>401</v>
      </c>
      <c r="H750" s="2">
        <v>0</v>
      </c>
      <c r="I750" s="2" t="s">
        <v>395</v>
      </c>
      <c r="J750" s="2">
        <f t="shared" si="396"/>
        <v>6</v>
      </c>
      <c r="K750" s="2">
        <f t="shared" si="397"/>
        <v>1.6</v>
      </c>
      <c r="L750" s="2">
        <f t="shared" si="398"/>
        <v>2</v>
      </c>
      <c r="M750" s="2">
        <v>10</v>
      </c>
      <c r="N750" s="2">
        <f t="shared" si="399"/>
        <v>102.4</v>
      </c>
      <c r="O750" s="2">
        <f t="shared" si="400"/>
        <v>10.24</v>
      </c>
      <c r="P750" s="2">
        <f t="shared" si="401"/>
        <v>1152</v>
      </c>
      <c r="Q750" s="2">
        <f t="shared" si="402"/>
        <v>115.2</v>
      </c>
      <c r="R750" s="2">
        <f t="shared" si="403"/>
        <v>34.130000000000003</v>
      </c>
      <c r="S750" s="2">
        <f t="shared" si="404"/>
        <v>3.41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>
        <v>554021</v>
      </c>
      <c r="Z750" s="26" t="s">
        <v>710</v>
      </c>
      <c r="AA750" s="4">
        <v>1</v>
      </c>
      <c r="AB750" s="4">
        <v>0</v>
      </c>
      <c r="AC750" s="4"/>
      <c r="AD750" s="4">
        <f t="shared" si="416"/>
        <v>2810.1427199999998</v>
      </c>
      <c r="AF750" s="1" t="str">
        <f t="shared" si="417"/>
        <v>3</v>
      </c>
      <c r="AG750">
        <v>3</v>
      </c>
      <c r="AH750">
        <f t="shared" si="405"/>
        <v>102.39999999999999</v>
      </c>
      <c r="AI750">
        <f t="shared" si="406"/>
        <v>10.24</v>
      </c>
      <c r="AJ750">
        <f t="shared" si="407"/>
        <v>1152</v>
      </c>
      <c r="AK750">
        <f t="shared" si="408"/>
        <v>115.2</v>
      </c>
      <c r="AL750">
        <f t="shared" si="409"/>
        <v>34.133333333333333</v>
      </c>
      <c r="AM750">
        <f t="shared" si="410"/>
        <v>3.4133333333333336</v>
      </c>
      <c r="AN750">
        <f t="shared" si="411"/>
        <v>1.6</v>
      </c>
      <c r="AO750">
        <f t="shared" si="414"/>
        <v>2</v>
      </c>
      <c r="AP750">
        <f t="shared" si="413"/>
        <v>6</v>
      </c>
      <c r="AQ750">
        <v>103</v>
      </c>
      <c r="AR750">
        <v>1</v>
      </c>
    </row>
    <row r="751" spans="1:44" x14ac:dyDescent="0.15">
      <c r="A751">
        <f t="shared" si="415"/>
        <v>1103035</v>
      </c>
      <c r="B751" s="21" t="s">
        <v>274</v>
      </c>
      <c r="C751">
        <v>3</v>
      </c>
      <c r="D751">
        <v>2</v>
      </c>
      <c r="E751">
        <v>5</v>
      </c>
      <c r="F751" s="6" t="s">
        <v>402</v>
      </c>
      <c r="G751" s="6" t="s">
        <v>403</v>
      </c>
      <c r="H751">
        <v>0</v>
      </c>
      <c r="I751" s="2" t="s">
        <v>395</v>
      </c>
      <c r="J751" s="2">
        <f t="shared" si="396"/>
        <v>6</v>
      </c>
      <c r="K751" s="2">
        <f t="shared" si="397"/>
        <v>1.6</v>
      </c>
      <c r="L751" s="2">
        <f t="shared" si="398"/>
        <v>2</v>
      </c>
      <c r="M751" s="2">
        <v>10</v>
      </c>
      <c r="N751" s="2">
        <f t="shared" si="399"/>
        <v>102.4</v>
      </c>
      <c r="O751" s="2">
        <f t="shared" si="400"/>
        <v>10.24</v>
      </c>
      <c r="P751" s="2">
        <f t="shared" si="401"/>
        <v>1152</v>
      </c>
      <c r="Q751" s="2">
        <f t="shared" si="402"/>
        <v>115.2</v>
      </c>
      <c r="R751" s="2">
        <f t="shared" si="403"/>
        <v>34.130000000000003</v>
      </c>
      <c r="S751" s="2">
        <f t="shared" si="404"/>
        <v>3.41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>
        <v>354001</v>
      </c>
      <c r="Z751" s="26" t="s">
        <v>710</v>
      </c>
      <c r="AA751" s="4">
        <v>1</v>
      </c>
      <c r="AB751" s="4">
        <v>0</v>
      </c>
      <c r="AC751" s="4"/>
      <c r="AD751" s="4">
        <f t="shared" si="416"/>
        <v>2810.1427199999998</v>
      </c>
      <c r="AF751" s="1" t="str">
        <f t="shared" si="417"/>
        <v>3</v>
      </c>
      <c r="AG751">
        <v>3</v>
      </c>
      <c r="AH751">
        <f t="shared" si="405"/>
        <v>102.39999999999999</v>
      </c>
      <c r="AI751">
        <f t="shared" si="406"/>
        <v>10.24</v>
      </c>
      <c r="AJ751">
        <f t="shared" si="407"/>
        <v>1152</v>
      </c>
      <c r="AK751">
        <f t="shared" si="408"/>
        <v>115.2</v>
      </c>
      <c r="AL751">
        <f t="shared" si="409"/>
        <v>34.133333333333333</v>
      </c>
      <c r="AM751">
        <f t="shared" si="410"/>
        <v>3.4133333333333336</v>
      </c>
      <c r="AN751">
        <f t="shared" si="411"/>
        <v>1.6</v>
      </c>
      <c r="AO751">
        <f t="shared" si="414"/>
        <v>2</v>
      </c>
      <c r="AP751">
        <f t="shared" si="413"/>
        <v>6</v>
      </c>
      <c r="AQ751">
        <v>103</v>
      </c>
      <c r="AR751">
        <v>1</v>
      </c>
    </row>
    <row r="752" spans="1:44" x14ac:dyDescent="0.15">
      <c r="A752">
        <f t="shared" si="415"/>
        <v>1103041</v>
      </c>
      <c r="B752" s="21" t="s">
        <v>262</v>
      </c>
      <c r="C752">
        <v>4</v>
      </c>
      <c r="D752">
        <v>2</v>
      </c>
      <c r="E752">
        <v>1</v>
      </c>
      <c r="F752" s="6" t="s">
        <v>393</v>
      </c>
      <c r="G752" s="6" t="s">
        <v>394</v>
      </c>
      <c r="H752" s="2">
        <v>0</v>
      </c>
      <c r="I752" s="2" t="s">
        <v>395</v>
      </c>
      <c r="J752" s="2">
        <f t="shared" si="396"/>
        <v>6</v>
      </c>
      <c r="K752" s="2">
        <f t="shared" si="397"/>
        <v>1.6</v>
      </c>
      <c r="L752" s="2">
        <f t="shared" si="398"/>
        <v>2</v>
      </c>
      <c r="M752" s="2">
        <v>10</v>
      </c>
      <c r="N752" s="2">
        <f t="shared" si="399"/>
        <v>119.47</v>
      </c>
      <c r="O752" s="2">
        <f t="shared" si="400"/>
        <v>11.95</v>
      </c>
      <c r="P752" s="2">
        <f t="shared" si="401"/>
        <v>1344</v>
      </c>
      <c r="Q752" s="2">
        <f t="shared" si="402"/>
        <v>134.4</v>
      </c>
      <c r="R752" s="2">
        <f t="shared" si="403"/>
        <v>39.82</v>
      </c>
      <c r="S752" s="2">
        <f t="shared" si="404"/>
        <v>3.98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>
        <v>21</v>
      </c>
      <c r="Z752" s="26" t="s">
        <v>710</v>
      </c>
      <c r="AA752" s="4">
        <v>1</v>
      </c>
      <c r="AB752" s="4">
        <v>0</v>
      </c>
      <c r="AC752" s="4"/>
      <c r="AD752" s="4">
        <f t="shared" si="416"/>
        <v>3825.8963819999994</v>
      </c>
      <c r="AF752" s="1" t="str">
        <f t="shared" si="417"/>
        <v>3</v>
      </c>
      <c r="AG752">
        <v>4</v>
      </c>
      <c r="AH752">
        <f t="shared" si="405"/>
        <v>119.46666666666665</v>
      </c>
      <c r="AI752">
        <f t="shared" si="406"/>
        <v>11.946666666666665</v>
      </c>
      <c r="AJ752">
        <f t="shared" si="407"/>
        <v>1344</v>
      </c>
      <c r="AK752">
        <f t="shared" si="408"/>
        <v>134.4</v>
      </c>
      <c r="AL752">
        <f t="shared" si="409"/>
        <v>39.822222222222216</v>
      </c>
      <c r="AM752">
        <f t="shared" si="410"/>
        <v>3.9822222222222217</v>
      </c>
      <c r="AN752">
        <f t="shared" si="411"/>
        <v>1.6</v>
      </c>
      <c r="AO752">
        <f t="shared" si="414"/>
        <v>2</v>
      </c>
      <c r="AP752">
        <f t="shared" si="413"/>
        <v>6</v>
      </c>
      <c r="AQ752">
        <v>103</v>
      </c>
      <c r="AR752">
        <v>1</v>
      </c>
    </row>
    <row r="753" spans="1:44" x14ac:dyDescent="0.15">
      <c r="A753">
        <f t="shared" si="415"/>
        <v>1103042</v>
      </c>
      <c r="B753" s="21" t="s">
        <v>265</v>
      </c>
      <c r="C753">
        <v>4</v>
      </c>
      <c r="D753">
        <v>2</v>
      </c>
      <c r="E753">
        <v>2</v>
      </c>
      <c r="F753" s="6" t="s">
        <v>396</v>
      </c>
      <c r="G753" s="6" t="s">
        <v>397</v>
      </c>
      <c r="H753" s="2">
        <v>0</v>
      </c>
      <c r="I753" s="2" t="s">
        <v>395</v>
      </c>
      <c r="J753" s="2">
        <f t="shared" si="396"/>
        <v>6</v>
      </c>
      <c r="K753" s="2">
        <f t="shared" si="397"/>
        <v>1.6</v>
      </c>
      <c r="L753" s="2">
        <f t="shared" si="398"/>
        <v>2</v>
      </c>
      <c r="M753" s="2">
        <v>10</v>
      </c>
      <c r="N753" s="2">
        <f t="shared" si="399"/>
        <v>119.47</v>
      </c>
      <c r="O753" s="2">
        <f t="shared" si="400"/>
        <v>11.95</v>
      </c>
      <c r="P753" s="2">
        <f t="shared" si="401"/>
        <v>1344</v>
      </c>
      <c r="Q753" s="2">
        <f t="shared" si="402"/>
        <v>134.4</v>
      </c>
      <c r="R753" s="2">
        <f t="shared" si="403"/>
        <v>39.82</v>
      </c>
      <c r="S753" s="2">
        <f t="shared" si="404"/>
        <v>3.98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>
        <v>31</v>
      </c>
      <c r="Z753" s="26" t="s">
        <v>710</v>
      </c>
      <c r="AA753" s="4">
        <v>1</v>
      </c>
      <c r="AB753" s="4">
        <v>0</v>
      </c>
      <c r="AC753" s="4"/>
      <c r="AD753" s="4">
        <f t="shared" si="416"/>
        <v>3825.8963819999994</v>
      </c>
      <c r="AF753" s="1" t="str">
        <f t="shared" si="417"/>
        <v>3</v>
      </c>
      <c r="AG753">
        <v>4</v>
      </c>
      <c r="AH753">
        <f t="shared" si="405"/>
        <v>119.46666666666665</v>
      </c>
      <c r="AI753">
        <f t="shared" si="406"/>
        <v>11.946666666666665</v>
      </c>
      <c r="AJ753">
        <f t="shared" si="407"/>
        <v>1344</v>
      </c>
      <c r="AK753">
        <f t="shared" si="408"/>
        <v>134.4</v>
      </c>
      <c r="AL753">
        <f t="shared" si="409"/>
        <v>39.822222222222216</v>
      </c>
      <c r="AM753">
        <f t="shared" si="410"/>
        <v>3.9822222222222217</v>
      </c>
      <c r="AN753">
        <f t="shared" si="411"/>
        <v>1.6</v>
      </c>
      <c r="AO753">
        <f t="shared" si="414"/>
        <v>2</v>
      </c>
      <c r="AP753">
        <f t="shared" si="413"/>
        <v>6</v>
      </c>
      <c r="AQ753">
        <v>103</v>
      </c>
      <c r="AR753">
        <v>1</v>
      </c>
    </row>
    <row r="754" spans="1:44" x14ac:dyDescent="0.15">
      <c r="A754">
        <f t="shared" si="415"/>
        <v>1103043</v>
      </c>
      <c r="B754" s="21" t="s">
        <v>268</v>
      </c>
      <c r="C754">
        <v>4</v>
      </c>
      <c r="D754">
        <v>2</v>
      </c>
      <c r="E754">
        <v>3</v>
      </c>
      <c r="F754" s="6" t="s">
        <v>398</v>
      </c>
      <c r="G754" s="6" t="s">
        <v>399</v>
      </c>
      <c r="H754" s="2">
        <v>0</v>
      </c>
      <c r="I754" s="2" t="s">
        <v>395</v>
      </c>
      <c r="J754" s="2">
        <f t="shared" si="396"/>
        <v>6</v>
      </c>
      <c r="K754" s="2">
        <f t="shared" si="397"/>
        <v>1.6</v>
      </c>
      <c r="L754" s="2">
        <f t="shared" si="398"/>
        <v>2</v>
      </c>
      <c r="M754" s="2">
        <v>10</v>
      </c>
      <c r="N754" s="2">
        <f t="shared" si="399"/>
        <v>119.47</v>
      </c>
      <c r="O754" s="2">
        <f t="shared" si="400"/>
        <v>11.95</v>
      </c>
      <c r="P754" s="2">
        <f t="shared" si="401"/>
        <v>1344</v>
      </c>
      <c r="Q754" s="2">
        <f t="shared" si="402"/>
        <v>134.4</v>
      </c>
      <c r="R754" s="2">
        <f t="shared" si="403"/>
        <v>39.82</v>
      </c>
      <c r="S754" s="2">
        <f t="shared" si="404"/>
        <v>3.98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>
        <v>41</v>
      </c>
      <c r="Z754" s="26" t="s">
        <v>710</v>
      </c>
      <c r="AA754" s="4">
        <v>1</v>
      </c>
      <c r="AB754" s="4">
        <v>0</v>
      </c>
      <c r="AC754" s="4"/>
      <c r="AD754" s="4">
        <f t="shared" si="416"/>
        <v>3825.8963819999994</v>
      </c>
      <c r="AF754" s="1" t="str">
        <f t="shared" si="417"/>
        <v>3</v>
      </c>
      <c r="AG754">
        <v>4</v>
      </c>
      <c r="AH754">
        <f t="shared" si="405"/>
        <v>119.46666666666665</v>
      </c>
      <c r="AI754">
        <f t="shared" si="406"/>
        <v>11.946666666666665</v>
      </c>
      <c r="AJ754">
        <f t="shared" si="407"/>
        <v>1344</v>
      </c>
      <c r="AK754">
        <f t="shared" si="408"/>
        <v>134.4</v>
      </c>
      <c r="AL754">
        <f t="shared" si="409"/>
        <v>39.822222222222216</v>
      </c>
      <c r="AM754">
        <f t="shared" si="410"/>
        <v>3.9822222222222217</v>
      </c>
      <c r="AN754">
        <f t="shared" si="411"/>
        <v>1.6</v>
      </c>
      <c r="AO754">
        <f t="shared" si="414"/>
        <v>2</v>
      </c>
      <c r="AP754">
        <f t="shared" si="413"/>
        <v>6</v>
      </c>
      <c r="AQ754">
        <v>103</v>
      </c>
      <c r="AR754">
        <v>1</v>
      </c>
    </row>
    <row r="755" spans="1:44" x14ac:dyDescent="0.15">
      <c r="A755">
        <f t="shared" si="415"/>
        <v>1103044</v>
      </c>
      <c r="B755" s="21" t="s">
        <v>271</v>
      </c>
      <c r="C755">
        <v>4</v>
      </c>
      <c r="D755">
        <v>2</v>
      </c>
      <c r="E755">
        <v>4</v>
      </c>
      <c r="F755" s="6" t="s">
        <v>400</v>
      </c>
      <c r="G755" s="6" t="s">
        <v>401</v>
      </c>
      <c r="H755" s="2">
        <v>0</v>
      </c>
      <c r="I755" s="2" t="s">
        <v>395</v>
      </c>
      <c r="J755" s="2">
        <f t="shared" si="396"/>
        <v>6</v>
      </c>
      <c r="K755" s="2">
        <f t="shared" si="397"/>
        <v>1.6</v>
      </c>
      <c r="L755" s="2">
        <f t="shared" si="398"/>
        <v>2</v>
      </c>
      <c r="M755" s="2">
        <v>10</v>
      </c>
      <c r="N755" s="2">
        <f t="shared" si="399"/>
        <v>119.47</v>
      </c>
      <c r="O755" s="2">
        <f t="shared" si="400"/>
        <v>11.95</v>
      </c>
      <c r="P755" s="2">
        <f t="shared" si="401"/>
        <v>1344</v>
      </c>
      <c r="Q755" s="2">
        <f t="shared" si="402"/>
        <v>134.4</v>
      </c>
      <c r="R755" s="2">
        <f t="shared" si="403"/>
        <v>39.82</v>
      </c>
      <c r="S755" s="2">
        <f t="shared" si="404"/>
        <v>3.98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>
        <v>554021</v>
      </c>
      <c r="Z755" s="26" t="s">
        <v>710</v>
      </c>
      <c r="AA755" s="4">
        <v>1</v>
      </c>
      <c r="AB755" s="4">
        <v>0</v>
      </c>
      <c r="AC755" s="4"/>
      <c r="AD755" s="4">
        <f t="shared" si="416"/>
        <v>3825.8963819999994</v>
      </c>
      <c r="AF755" s="1" t="str">
        <f t="shared" si="417"/>
        <v>3</v>
      </c>
      <c r="AG755">
        <v>4</v>
      </c>
      <c r="AH755">
        <f t="shared" si="405"/>
        <v>119.46666666666665</v>
      </c>
      <c r="AI755">
        <f t="shared" si="406"/>
        <v>11.946666666666665</v>
      </c>
      <c r="AJ755">
        <f t="shared" si="407"/>
        <v>1344</v>
      </c>
      <c r="AK755">
        <f t="shared" si="408"/>
        <v>134.4</v>
      </c>
      <c r="AL755">
        <f t="shared" si="409"/>
        <v>39.822222222222216</v>
      </c>
      <c r="AM755">
        <f t="shared" si="410"/>
        <v>3.9822222222222217</v>
      </c>
      <c r="AN755">
        <f t="shared" si="411"/>
        <v>1.6</v>
      </c>
      <c r="AO755">
        <f t="shared" si="414"/>
        <v>2</v>
      </c>
      <c r="AP755">
        <f t="shared" si="413"/>
        <v>6</v>
      </c>
      <c r="AQ755">
        <v>103</v>
      </c>
      <c r="AR755">
        <v>1</v>
      </c>
    </row>
    <row r="756" spans="1:44" x14ac:dyDescent="0.15">
      <c r="A756">
        <f t="shared" si="415"/>
        <v>1103045</v>
      </c>
      <c r="B756" s="21" t="s">
        <v>274</v>
      </c>
      <c r="C756">
        <v>4</v>
      </c>
      <c r="D756">
        <v>2</v>
      </c>
      <c r="E756">
        <v>5</v>
      </c>
      <c r="F756" s="6" t="s">
        <v>402</v>
      </c>
      <c r="G756" s="6" t="s">
        <v>403</v>
      </c>
      <c r="H756">
        <v>0</v>
      </c>
      <c r="I756" s="2" t="s">
        <v>395</v>
      </c>
      <c r="J756" s="2">
        <f t="shared" si="396"/>
        <v>6</v>
      </c>
      <c r="K756" s="2">
        <f t="shared" si="397"/>
        <v>1.6</v>
      </c>
      <c r="L756" s="2">
        <f t="shared" si="398"/>
        <v>2</v>
      </c>
      <c r="M756" s="2">
        <v>10</v>
      </c>
      <c r="N756" s="2">
        <f t="shared" si="399"/>
        <v>119.47</v>
      </c>
      <c r="O756" s="2">
        <f t="shared" si="400"/>
        <v>11.95</v>
      </c>
      <c r="P756" s="2">
        <f t="shared" si="401"/>
        <v>1344</v>
      </c>
      <c r="Q756" s="2">
        <f t="shared" si="402"/>
        <v>134.4</v>
      </c>
      <c r="R756" s="2">
        <f t="shared" si="403"/>
        <v>39.82</v>
      </c>
      <c r="S756" s="2">
        <f t="shared" si="404"/>
        <v>3.98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>
        <v>354001</v>
      </c>
      <c r="Z756" s="26" t="s">
        <v>710</v>
      </c>
      <c r="AA756" s="4">
        <v>1</v>
      </c>
      <c r="AB756" s="4">
        <v>0</v>
      </c>
      <c r="AC756" s="4"/>
      <c r="AD756" s="4">
        <f t="shared" si="416"/>
        <v>3825.8963819999994</v>
      </c>
      <c r="AF756" s="1" t="str">
        <f t="shared" si="417"/>
        <v>3</v>
      </c>
      <c r="AG756">
        <v>4</v>
      </c>
      <c r="AH756">
        <f t="shared" si="405"/>
        <v>119.46666666666665</v>
      </c>
      <c r="AI756">
        <f t="shared" si="406"/>
        <v>11.946666666666665</v>
      </c>
      <c r="AJ756">
        <f t="shared" si="407"/>
        <v>1344</v>
      </c>
      <c r="AK756">
        <f t="shared" si="408"/>
        <v>134.4</v>
      </c>
      <c r="AL756">
        <f t="shared" si="409"/>
        <v>39.822222222222216</v>
      </c>
      <c r="AM756">
        <f t="shared" si="410"/>
        <v>3.9822222222222217</v>
      </c>
      <c r="AN756">
        <f t="shared" si="411"/>
        <v>1.6</v>
      </c>
      <c r="AO756">
        <f t="shared" si="414"/>
        <v>2</v>
      </c>
      <c r="AP756">
        <f t="shared" si="413"/>
        <v>6</v>
      </c>
      <c r="AQ756">
        <v>103</v>
      </c>
      <c r="AR756">
        <v>1</v>
      </c>
    </row>
    <row r="757" spans="1:44" x14ac:dyDescent="0.15">
      <c r="A757">
        <f t="shared" si="415"/>
        <v>1103051</v>
      </c>
      <c r="B757" s="21" t="s">
        <v>262</v>
      </c>
      <c r="C757">
        <v>5</v>
      </c>
      <c r="D757">
        <v>2</v>
      </c>
      <c r="E757">
        <v>1</v>
      </c>
      <c r="F757" s="6" t="s">
        <v>393</v>
      </c>
      <c r="G757" s="6" t="s">
        <v>394</v>
      </c>
      <c r="H757" s="2">
        <v>0</v>
      </c>
      <c r="I757" s="2" t="s">
        <v>395</v>
      </c>
      <c r="J757" s="2">
        <f t="shared" si="396"/>
        <v>6</v>
      </c>
      <c r="K757" s="2">
        <f t="shared" si="397"/>
        <v>1.6</v>
      </c>
      <c r="L757" s="2">
        <f t="shared" si="398"/>
        <v>2</v>
      </c>
      <c r="M757" s="2">
        <v>10</v>
      </c>
      <c r="N757" s="2">
        <f t="shared" si="399"/>
        <v>136.53</v>
      </c>
      <c r="O757" s="2">
        <f t="shared" si="400"/>
        <v>13.65</v>
      </c>
      <c r="P757" s="2">
        <f t="shared" si="401"/>
        <v>1536</v>
      </c>
      <c r="Q757" s="2">
        <f t="shared" si="402"/>
        <v>153.6</v>
      </c>
      <c r="R757" s="2">
        <f t="shared" si="403"/>
        <v>45.51</v>
      </c>
      <c r="S757" s="2">
        <f t="shared" si="404"/>
        <v>4.55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>
        <v>21</v>
      </c>
      <c r="Z757" s="26" t="s">
        <v>710</v>
      </c>
      <c r="AA757" s="4">
        <v>1</v>
      </c>
      <c r="AB757" s="4">
        <v>0</v>
      </c>
      <c r="AC757" s="4"/>
      <c r="AD757" s="4">
        <f t="shared" si="416"/>
        <v>4994.6893919999993</v>
      </c>
      <c r="AF757" s="1" t="str">
        <f t="shared" si="417"/>
        <v>3</v>
      </c>
      <c r="AG757">
        <v>5</v>
      </c>
      <c r="AH757">
        <f t="shared" si="405"/>
        <v>136.53333333333333</v>
      </c>
      <c r="AI757">
        <f t="shared" si="406"/>
        <v>13.653333333333334</v>
      </c>
      <c r="AJ757">
        <f t="shared" si="407"/>
        <v>1536</v>
      </c>
      <c r="AK757">
        <f t="shared" si="408"/>
        <v>153.60000000000002</v>
      </c>
      <c r="AL757">
        <f t="shared" si="409"/>
        <v>45.511111111111113</v>
      </c>
      <c r="AM757">
        <f t="shared" si="410"/>
        <v>4.5511111111111111</v>
      </c>
      <c r="AN757">
        <f t="shared" si="411"/>
        <v>1.6</v>
      </c>
      <c r="AO757">
        <f t="shared" si="414"/>
        <v>2</v>
      </c>
      <c r="AP757">
        <f t="shared" si="413"/>
        <v>6</v>
      </c>
      <c r="AQ757">
        <v>103</v>
      </c>
      <c r="AR757">
        <v>1</v>
      </c>
    </row>
    <row r="758" spans="1:44" x14ac:dyDescent="0.15">
      <c r="A758">
        <f t="shared" si="415"/>
        <v>1103052</v>
      </c>
      <c r="B758" s="21" t="s">
        <v>265</v>
      </c>
      <c r="C758">
        <v>5</v>
      </c>
      <c r="D758">
        <v>2</v>
      </c>
      <c r="E758">
        <v>2</v>
      </c>
      <c r="F758" s="6" t="s">
        <v>396</v>
      </c>
      <c r="G758" s="6" t="s">
        <v>397</v>
      </c>
      <c r="H758" s="2">
        <v>0</v>
      </c>
      <c r="I758" s="2" t="s">
        <v>395</v>
      </c>
      <c r="J758" s="2">
        <f t="shared" si="396"/>
        <v>6</v>
      </c>
      <c r="K758" s="2">
        <f t="shared" si="397"/>
        <v>1.6</v>
      </c>
      <c r="L758" s="2">
        <f t="shared" si="398"/>
        <v>2</v>
      </c>
      <c r="M758" s="2">
        <v>10</v>
      </c>
      <c r="N758" s="2">
        <f t="shared" si="399"/>
        <v>136.53</v>
      </c>
      <c r="O758" s="2">
        <f t="shared" si="400"/>
        <v>13.65</v>
      </c>
      <c r="P758" s="2">
        <f t="shared" si="401"/>
        <v>1536</v>
      </c>
      <c r="Q758" s="2">
        <f t="shared" si="402"/>
        <v>153.6</v>
      </c>
      <c r="R758" s="2">
        <f t="shared" si="403"/>
        <v>45.51</v>
      </c>
      <c r="S758" s="2">
        <f t="shared" si="404"/>
        <v>4.55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>
        <v>31</v>
      </c>
      <c r="Z758" s="26" t="s">
        <v>710</v>
      </c>
      <c r="AA758" s="4">
        <v>1</v>
      </c>
      <c r="AB758" s="4">
        <v>0</v>
      </c>
      <c r="AC758" s="4"/>
      <c r="AD758" s="4">
        <f t="shared" si="416"/>
        <v>4994.6893919999993</v>
      </c>
      <c r="AF758" s="1" t="str">
        <f t="shared" si="417"/>
        <v>3</v>
      </c>
      <c r="AG758">
        <v>5</v>
      </c>
      <c r="AH758">
        <f t="shared" si="405"/>
        <v>136.53333333333333</v>
      </c>
      <c r="AI758">
        <f t="shared" si="406"/>
        <v>13.653333333333334</v>
      </c>
      <c r="AJ758">
        <f t="shared" si="407"/>
        <v>1536</v>
      </c>
      <c r="AK758">
        <f t="shared" si="408"/>
        <v>153.60000000000002</v>
      </c>
      <c r="AL758">
        <f t="shared" si="409"/>
        <v>45.511111111111113</v>
      </c>
      <c r="AM758">
        <f t="shared" si="410"/>
        <v>4.5511111111111111</v>
      </c>
      <c r="AN758">
        <f t="shared" si="411"/>
        <v>1.6</v>
      </c>
      <c r="AO758">
        <f t="shared" si="414"/>
        <v>2</v>
      </c>
      <c r="AP758">
        <f t="shared" si="413"/>
        <v>6</v>
      </c>
      <c r="AQ758">
        <v>103</v>
      </c>
      <c r="AR758">
        <v>1</v>
      </c>
    </row>
    <row r="759" spans="1:44" x14ac:dyDescent="0.15">
      <c r="A759">
        <f t="shared" si="415"/>
        <v>1103053</v>
      </c>
      <c r="B759" s="21" t="s">
        <v>268</v>
      </c>
      <c r="C759">
        <v>5</v>
      </c>
      <c r="D759">
        <v>2</v>
      </c>
      <c r="E759">
        <v>3</v>
      </c>
      <c r="F759" s="6" t="s">
        <v>398</v>
      </c>
      <c r="G759" s="6" t="s">
        <v>399</v>
      </c>
      <c r="H759" s="2">
        <v>0</v>
      </c>
      <c r="I759" s="2" t="s">
        <v>395</v>
      </c>
      <c r="J759" s="2">
        <f t="shared" si="396"/>
        <v>6</v>
      </c>
      <c r="K759" s="2">
        <f t="shared" si="397"/>
        <v>1.6</v>
      </c>
      <c r="L759" s="2">
        <f t="shared" si="398"/>
        <v>2</v>
      </c>
      <c r="M759" s="2">
        <v>10</v>
      </c>
      <c r="N759" s="2">
        <f t="shared" si="399"/>
        <v>136.53</v>
      </c>
      <c r="O759" s="2">
        <f t="shared" si="400"/>
        <v>13.65</v>
      </c>
      <c r="P759" s="2">
        <f t="shared" si="401"/>
        <v>1536</v>
      </c>
      <c r="Q759" s="2">
        <f t="shared" si="402"/>
        <v>153.6</v>
      </c>
      <c r="R759" s="2">
        <f t="shared" si="403"/>
        <v>45.51</v>
      </c>
      <c r="S759" s="2">
        <f t="shared" si="404"/>
        <v>4.55</v>
      </c>
      <c r="T759" s="2">
        <v>0</v>
      </c>
      <c r="U759" s="2">
        <v>0</v>
      </c>
      <c r="V759" s="2">
        <v>0</v>
      </c>
      <c r="W759" s="2">
        <v>0</v>
      </c>
      <c r="X759" s="2">
        <v>0</v>
      </c>
      <c r="Y759">
        <v>41</v>
      </c>
      <c r="Z759" s="26" t="s">
        <v>710</v>
      </c>
      <c r="AA759" s="4">
        <v>1</v>
      </c>
      <c r="AB759" s="4">
        <v>0</v>
      </c>
      <c r="AC759" s="4"/>
      <c r="AD759" s="4">
        <f t="shared" si="416"/>
        <v>4994.6893919999993</v>
      </c>
      <c r="AF759" s="1" t="str">
        <f t="shared" si="417"/>
        <v>3</v>
      </c>
      <c r="AG759">
        <v>5</v>
      </c>
      <c r="AH759">
        <f t="shared" si="405"/>
        <v>136.53333333333333</v>
      </c>
      <c r="AI759">
        <f t="shared" si="406"/>
        <v>13.653333333333334</v>
      </c>
      <c r="AJ759">
        <f t="shared" si="407"/>
        <v>1536</v>
      </c>
      <c r="AK759">
        <f t="shared" si="408"/>
        <v>153.60000000000002</v>
      </c>
      <c r="AL759">
        <f t="shared" si="409"/>
        <v>45.511111111111113</v>
      </c>
      <c r="AM759">
        <f t="shared" si="410"/>
        <v>4.5511111111111111</v>
      </c>
      <c r="AN759">
        <f t="shared" si="411"/>
        <v>1.6</v>
      </c>
      <c r="AO759">
        <f t="shared" si="414"/>
        <v>2</v>
      </c>
      <c r="AP759">
        <f t="shared" si="413"/>
        <v>6</v>
      </c>
      <c r="AQ759">
        <v>103</v>
      </c>
      <c r="AR759">
        <v>1</v>
      </c>
    </row>
    <row r="760" spans="1:44" x14ac:dyDescent="0.15">
      <c r="A760">
        <f t="shared" si="415"/>
        <v>1103054</v>
      </c>
      <c r="B760" s="21" t="s">
        <v>271</v>
      </c>
      <c r="C760">
        <v>5</v>
      </c>
      <c r="D760">
        <v>2</v>
      </c>
      <c r="E760">
        <v>4</v>
      </c>
      <c r="F760" s="6" t="s">
        <v>400</v>
      </c>
      <c r="G760" s="6" t="s">
        <v>401</v>
      </c>
      <c r="H760" s="2">
        <v>0</v>
      </c>
      <c r="I760" s="2" t="s">
        <v>395</v>
      </c>
      <c r="J760" s="2">
        <f t="shared" si="396"/>
        <v>6</v>
      </c>
      <c r="K760" s="2">
        <f t="shared" si="397"/>
        <v>1.6</v>
      </c>
      <c r="L760" s="2">
        <f t="shared" si="398"/>
        <v>2</v>
      </c>
      <c r="M760" s="2">
        <v>10</v>
      </c>
      <c r="N760" s="2">
        <f t="shared" si="399"/>
        <v>136.53</v>
      </c>
      <c r="O760" s="2">
        <f t="shared" si="400"/>
        <v>13.65</v>
      </c>
      <c r="P760" s="2">
        <f t="shared" si="401"/>
        <v>1536</v>
      </c>
      <c r="Q760" s="2">
        <f t="shared" si="402"/>
        <v>153.6</v>
      </c>
      <c r="R760" s="2">
        <f t="shared" si="403"/>
        <v>45.51</v>
      </c>
      <c r="S760" s="2">
        <f t="shared" si="404"/>
        <v>4.55</v>
      </c>
      <c r="T760" s="2">
        <v>0</v>
      </c>
      <c r="U760" s="2">
        <v>0</v>
      </c>
      <c r="V760" s="2">
        <v>0</v>
      </c>
      <c r="W760" s="2">
        <v>0</v>
      </c>
      <c r="X760" s="2">
        <v>0</v>
      </c>
      <c r="Y760">
        <v>554021</v>
      </c>
      <c r="Z760" s="26" t="s">
        <v>710</v>
      </c>
      <c r="AA760" s="4">
        <v>1</v>
      </c>
      <c r="AB760" s="4">
        <v>0</v>
      </c>
      <c r="AC760" s="4"/>
      <c r="AD760" s="4">
        <f t="shared" si="416"/>
        <v>4994.6893919999993</v>
      </c>
      <c r="AF760" s="1" t="str">
        <f t="shared" si="417"/>
        <v>3</v>
      </c>
      <c r="AG760">
        <v>5</v>
      </c>
      <c r="AH760">
        <f t="shared" si="405"/>
        <v>136.53333333333333</v>
      </c>
      <c r="AI760">
        <f t="shared" si="406"/>
        <v>13.653333333333334</v>
      </c>
      <c r="AJ760">
        <f t="shared" si="407"/>
        <v>1536</v>
      </c>
      <c r="AK760">
        <f t="shared" si="408"/>
        <v>153.60000000000002</v>
      </c>
      <c r="AL760">
        <f t="shared" si="409"/>
        <v>45.511111111111113</v>
      </c>
      <c r="AM760">
        <f t="shared" si="410"/>
        <v>4.5511111111111111</v>
      </c>
      <c r="AN760">
        <f t="shared" si="411"/>
        <v>1.6</v>
      </c>
      <c r="AO760">
        <f t="shared" si="414"/>
        <v>2</v>
      </c>
      <c r="AP760">
        <f t="shared" si="413"/>
        <v>6</v>
      </c>
      <c r="AQ760">
        <v>103</v>
      </c>
      <c r="AR760">
        <v>1</v>
      </c>
    </row>
    <row r="761" spans="1:44" x14ac:dyDescent="0.15">
      <c r="A761">
        <f t="shared" si="415"/>
        <v>1103055</v>
      </c>
      <c r="B761" s="21" t="s">
        <v>274</v>
      </c>
      <c r="C761">
        <v>5</v>
      </c>
      <c r="D761">
        <v>2</v>
      </c>
      <c r="E761">
        <v>5</v>
      </c>
      <c r="F761" s="6" t="s">
        <v>402</v>
      </c>
      <c r="G761" s="6" t="s">
        <v>403</v>
      </c>
      <c r="H761">
        <v>0</v>
      </c>
      <c r="I761" s="2" t="s">
        <v>395</v>
      </c>
      <c r="J761" s="2">
        <f t="shared" si="396"/>
        <v>6</v>
      </c>
      <c r="K761" s="2">
        <f t="shared" si="397"/>
        <v>1.6</v>
      </c>
      <c r="L761" s="2">
        <f t="shared" si="398"/>
        <v>2</v>
      </c>
      <c r="M761" s="2">
        <v>10</v>
      </c>
      <c r="N761" s="2">
        <f t="shared" si="399"/>
        <v>136.53</v>
      </c>
      <c r="O761" s="2">
        <f t="shared" si="400"/>
        <v>13.65</v>
      </c>
      <c r="P761" s="2">
        <f t="shared" si="401"/>
        <v>1536</v>
      </c>
      <c r="Q761" s="2">
        <f t="shared" si="402"/>
        <v>153.6</v>
      </c>
      <c r="R761" s="2">
        <f t="shared" si="403"/>
        <v>45.51</v>
      </c>
      <c r="S761" s="2">
        <f t="shared" si="404"/>
        <v>4.55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>
        <v>354001</v>
      </c>
      <c r="Z761" s="26" t="s">
        <v>710</v>
      </c>
      <c r="AA761" s="4">
        <v>1</v>
      </c>
      <c r="AB761" s="4">
        <v>0</v>
      </c>
      <c r="AC761" s="4"/>
      <c r="AD761" s="4">
        <f t="shared" si="416"/>
        <v>4994.6893919999993</v>
      </c>
      <c r="AF761" s="1" t="str">
        <f t="shared" si="417"/>
        <v>3</v>
      </c>
      <c r="AG761">
        <v>5</v>
      </c>
      <c r="AH761">
        <f t="shared" si="405"/>
        <v>136.53333333333333</v>
      </c>
      <c r="AI761">
        <f t="shared" si="406"/>
        <v>13.653333333333334</v>
      </c>
      <c r="AJ761">
        <f t="shared" si="407"/>
        <v>1536</v>
      </c>
      <c r="AK761">
        <f t="shared" si="408"/>
        <v>153.60000000000002</v>
      </c>
      <c r="AL761">
        <f t="shared" si="409"/>
        <v>45.511111111111113</v>
      </c>
      <c r="AM761">
        <f t="shared" si="410"/>
        <v>4.5511111111111111</v>
      </c>
      <c r="AN761">
        <f t="shared" si="411"/>
        <v>1.6</v>
      </c>
      <c r="AO761">
        <f t="shared" si="414"/>
        <v>2</v>
      </c>
      <c r="AP761">
        <f t="shared" si="413"/>
        <v>6</v>
      </c>
      <c r="AQ761">
        <v>103</v>
      </c>
      <c r="AR761">
        <v>1</v>
      </c>
    </row>
    <row r="762" spans="1:44" x14ac:dyDescent="0.15">
      <c r="A762">
        <f t="shared" si="415"/>
        <v>1103061</v>
      </c>
      <c r="B762" s="21" t="s">
        <v>262</v>
      </c>
      <c r="C762">
        <v>6</v>
      </c>
      <c r="D762">
        <v>2</v>
      </c>
      <c r="E762">
        <v>1</v>
      </c>
      <c r="F762" s="6" t="s">
        <v>393</v>
      </c>
      <c r="G762" s="6" t="s">
        <v>394</v>
      </c>
      <c r="H762" s="2">
        <v>0</v>
      </c>
      <c r="I762" s="2" t="s">
        <v>395</v>
      </c>
      <c r="J762" s="2">
        <f t="shared" si="396"/>
        <v>6</v>
      </c>
      <c r="K762" s="2">
        <f t="shared" si="397"/>
        <v>1.6</v>
      </c>
      <c r="L762" s="2">
        <f t="shared" si="398"/>
        <v>2</v>
      </c>
      <c r="M762" s="2">
        <v>10</v>
      </c>
      <c r="N762" s="2">
        <f t="shared" si="399"/>
        <v>153.6</v>
      </c>
      <c r="O762" s="2">
        <f t="shared" si="400"/>
        <v>15.36</v>
      </c>
      <c r="P762" s="2">
        <f t="shared" si="401"/>
        <v>1728</v>
      </c>
      <c r="Q762" s="2">
        <f t="shared" si="402"/>
        <v>172.8</v>
      </c>
      <c r="R762" s="2">
        <f t="shared" si="403"/>
        <v>51.2</v>
      </c>
      <c r="S762" s="2">
        <f t="shared" si="404"/>
        <v>5.12</v>
      </c>
      <c r="T762" s="2">
        <v>0</v>
      </c>
      <c r="U762" s="2">
        <v>0</v>
      </c>
      <c r="V762" s="2">
        <v>0</v>
      </c>
      <c r="W762" s="2">
        <v>0</v>
      </c>
      <c r="X762" s="2">
        <v>0</v>
      </c>
      <c r="Y762">
        <v>21</v>
      </c>
      <c r="Z762" s="26" t="s">
        <v>710</v>
      </c>
      <c r="AA762" s="4">
        <v>1</v>
      </c>
      <c r="AB762" s="4">
        <v>0</v>
      </c>
      <c r="AC762" s="4"/>
      <c r="AD762" s="4">
        <f t="shared" si="416"/>
        <v>6322.8211199999987</v>
      </c>
      <c r="AF762" s="1" t="str">
        <f t="shared" si="417"/>
        <v>3</v>
      </c>
      <c r="AG762">
        <v>6</v>
      </c>
      <c r="AH762">
        <f t="shared" si="405"/>
        <v>153.6</v>
      </c>
      <c r="AI762">
        <f t="shared" si="406"/>
        <v>15.36</v>
      </c>
      <c r="AJ762">
        <f t="shared" si="407"/>
        <v>1728</v>
      </c>
      <c r="AK762">
        <f t="shared" si="408"/>
        <v>172.8</v>
      </c>
      <c r="AL762">
        <f t="shared" si="409"/>
        <v>51.199999999999996</v>
      </c>
      <c r="AM762">
        <f t="shared" si="410"/>
        <v>5.12</v>
      </c>
      <c r="AN762">
        <f t="shared" si="411"/>
        <v>1.6</v>
      </c>
      <c r="AO762">
        <f t="shared" si="414"/>
        <v>2</v>
      </c>
      <c r="AP762">
        <f t="shared" si="413"/>
        <v>6</v>
      </c>
      <c r="AQ762">
        <v>103</v>
      </c>
      <c r="AR762">
        <v>1</v>
      </c>
    </row>
    <row r="763" spans="1:44" x14ac:dyDescent="0.15">
      <c r="A763">
        <f t="shared" si="415"/>
        <v>1103062</v>
      </c>
      <c r="B763" s="21" t="s">
        <v>265</v>
      </c>
      <c r="C763">
        <v>6</v>
      </c>
      <c r="D763">
        <v>2</v>
      </c>
      <c r="E763">
        <v>2</v>
      </c>
      <c r="F763" s="6" t="s">
        <v>396</v>
      </c>
      <c r="G763" s="6" t="s">
        <v>397</v>
      </c>
      <c r="H763" s="2">
        <v>0</v>
      </c>
      <c r="I763" s="2" t="s">
        <v>395</v>
      </c>
      <c r="J763" s="2">
        <f t="shared" si="396"/>
        <v>6</v>
      </c>
      <c r="K763" s="2">
        <f t="shared" si="397"/>
        <v>1.6</v>
      </c>
      <c r="L763" s="2">
        <f t="shared" si="398"/>
        <v>2</v>
      </c>
      <c r="M763" s="2">
        <v>10</v>
      </c>
      <c r="N763" s="2">
        <f t="shared" si="399"/>
        <v>153.6</v>
      </c>
      <c r="O763" s="2">
        <f t="shared" si="400"/>
        <v>15.36</v>
      </c>
      <c r="P763" s="2">
        <f t="shared" si="401"/>
        <v>1728</v>
      </c>
      <c r="Q763" s="2">
        <f t="shared" si="402"/>
        <v>172.8</v>
      </c>
      <c r="R763" s="2">
        <f t="shared" si="403"/>
        <v>51.2</v>
      </c>
      <c r="S763" s="2">
        <f t="shared" si="404"/>
        <v>5.12</v>
      </c>
      <c r="T763" s="2">
        <v>0</v>
      </c>
      <c r="U763" s="2">
        <v>0</v>
      </c>
      <c r="V763" s="2">
        <v>0</v>
      </c>
      <c r="W763" s="2">
        <v>0</v>
      </c>
      <c r="X763" s="2">
        <v>0</v>
      </c>
      <c r="Y763">
        <v>31</v>
      </c>
      <c r="Z763" s="26" t="s">
        <v>710</v>
      </c>
      <c r="AA763" s="4">
        <v>1</v>
      </c>
      <c r="AB763" s="4">
        <v>0</v>
      </c>
      <c r="AC763" s="4"/>
      <c r="AD763" s="4">
        <f t="shared" si="416"/>
        <v>6322.8211199999987</v>
      </c>
      <c r="AF763" s="1" t="str">
        <f t="shared" si="417"/>
        <v>3</v>
      </c>
      <c r="AG763">
        <v>6</v>
      </c>
      <c r="AH763">
        <f t="shared" si="405"/>
        <v>153.6</v>
      </c>
      <c r="AI763">
        <f t="shared" si="406"/>
        <v>15.36</v>
      </c>
      <c r="AJ763">
        <f t="shared" si="407"/>
        <v>1728</v>
      </c>
      <c r="AK763">
        <f t="shared" si="408"/>
        <v>172.8</v>
      </c>
      <c r="AL763">
        <f t="shared" si="409"/>
        <v>51.199999999999996</v>
      </c>
      <c r="AM763">
        <f t="shared" si="410"/>
        <v>5.12</v>
      </c>
      <c r="AN763">
        <f t="shared" si="411"/>
        <v>1.6</v>
      </c>
      <c r="AO763">
        <f t="shared" si="414"/>
        <v>2</v>
      </c>
      <c r="AP763">
        <f t="shared" si="413"/>
        <v>6</v>
      </c>
      <c r="AQ763">
        <v>103</v>
      </c>
      <c r="AR763">
        <v>1</v>
      </c>
    </row>
    <row r="764" spans="1:44" x14ac:dyDescent="0.15">
      <c r="A764">
        <f t="shared" si="415"/>
        <v>1103063</v>
      </c>
      <c r="B764" s="21" t="s">
        <v>268</v>
      </c>
      <c r="C764">
        <v>6</v>
      </c>
      <c r="D764">
        <v>2</v>
      </c>
      <c r="E764">
        <v>3</v>
      </c>
      <c r="F764" s="6" t="s">
        <v>398</v>
      </c>
      <c r="G764" s="6" t="s">
        <v>399</v>
      </c>
      <c r="H764" s="2">
        <v>0</v>
      </c>
      <c r="I764" s="2" t="s">
        <v>395</v>
      </c>
      <c r="J764" s="2">
        <f t="shared" si="396"/>
        <v>6</v>
      </c>
      <c r="K764" s="2">
        <f t="shared" si="397"/>
        <v>1.6</v>
      </c>
      <c r="L764" s="2">
        <f t="shared" si="398"/>
        <v>2</v>
      </c>
      <c r="M764" s="2">
        <v>10</v>
      </c>
      <c r="N764" s="2">
        <f t="shared" si="399"/>
        <v>153.6</v>
      </c>
      <c r="O764" s="2">
        <f t="shared" si="400"/>
        <v>15.36</v>
      </c>
      <c r="P764" s="2">
        <f t="shared" si="401"/>
        <v>1728</v>
      </c>
      <c r="Q764" s="2">
        <f t="shared" si="402"/>
        <v>172.8</v>
      </c>
      <c r="R764" s="2">
        <f t="shared" si="403"/>
        <v>51.2</v>
      </c>
      <c r="S764" s="2">
        <f t="shared" si="404"/>
        <v>5.12</v>
      </c>
      <c r="T764" s="2">
        <v>0</v>
      </c>
      <c r="U764" s="2">
        <v>0</v>
      </c>
      <c r="V764" s="2">
        <v>0</v>
      </c>
      <c r="W764" s="2">
        <v>0</v>
      </c>
      <c r="X764" s="2">
        <v>0</v>
      </c>
      <c r="Y764">
        <v>41</v>
      </c>
      <c r="Z764" s="26" t="s">
        <v>710</v>
      </c>
      <c r="AA764" s="4">
        <v>1</v>
      </c>
      <c r="AB764" s="4">
        <v>0</v>
      </c>
      <c r="AC764" s="4"/>
      <c r="AD764" s="4">
        <f t="shared" si="416"/>
        <v>6322.8211199999987</v>
      </c>
      <c r="AF764" s="1" t="str">
        <f t="shared" si="417"/>
        <v>3</v>
      </c>
      <c r="AG764">
        <v>6</v>
      </c>
      <c r="AH764">
        <f t="shared" si="405"/>
        <v>153.6</v>
      </c>
      <c r="AI764">
        <f t="shared" si="406"/>
        <v>15.36</v>
      </c>
      <c r="AJ764">
        <f t="shared" si="407"/>
        <v>1728</v>
      </c>
      <c r="AK764">
        <f t="shared" si="408"/>
        <v>172.8</v>
      </c>
      <c r="AL764">
        <f t="shared" si="409"/>
        <v>51.199999999999996</v>
      </c>
      <c r="AM764">
        <f t="shared" si="410"/>
        <v>5.12</v>
      </c>
      <c r="AN764">
        <f t="shared" si="411"/>
        <v>1.6</v>
      </c>
      <c r="AO764">
        <f t="shared" si="414"/>
        <v>2</v>
      </c>
      <c r="AP764">
        <f t="shared" si="413"/>
        <v>6</v>
      </c>
      <c r="AQ764">
        <v>103</v>
      </c>
      <c r="AR764">
        <v>1</v>
      </c>
    </row>
    <row r="765" spans="1:44" x14ac:dyDescent="0.15">
      <c r="A765">
        <f t="shared" si="415"/>
        <v>1103064</v>
      </c>
      <c r="B765" s="21" t="s">
        <v>271</v>
      </c>
      <c r="C765">
        <v>6</v>
      </c>
      <c r="D765">
        <v>2</v>
      </c>
      <c r="E765">
        <v>4</v>
      </c>
      <c r="F765" s="6" t="s">
        <v>400</v>
      </c>
      <c r="G765" s="6" t="s">
        <v>401</v>
      </c>
      <c r="H765" s="2">
        <v>0</v>
      </c>
      <c r="I765" s="2" t="s">
        <v>395</v>
      </c>
      <c r="J765" s="2">
        <f t="shared" si="396"/>
        <v>6</v>
      </c>
      <c r="K765" s="2">
        <f t="shared" si="397"/>
        <v>1.6</v>
      </c>
      <c r="L765" s="2">
        <f t="shared" si="398"/>
        <v>2</v>
      </c>
      <c r="M765" s="2">
        <v>10</v>
      </c>
      <c r="N765" s="2">
        <f t="shared" si="399"/>
        <v>153.6</v>
      </c>
      <c r="O765" s="2">
        <f t="shared" si="400"/>
        <v>15.36</v>
      </c>
      <c r="P765" s="2">
        <f t="shared" si="401"/>
        <v>1728</v>
      </c>
      <c r="Q765" s="2">
        <f t="shared" si="402"/>
        <v>172.8</v>
      </c>
      <c r="R765" s="2">
        <f t="shared" si="403"/>
        <v>51.2</v>
      </c>
      <c r="S765" s="2">
        <f t="shared" si="404"/>
        <v>5.12</v>
      </c>
      <c r="T765" s="2">
        <v>0</v>
      </c>
      <c r="U765" s="2">
        <v>0</v>
      </c>
      <c r="V765" s="2">
        <v>0</v>
      </c>
      <c r="W765" s="2">
        <v>0</v>
      </c>
      <c r="X765" s="2">
        <v>0</v>
      </c>
      <c r="Y765">
        <v>554021</v>
      </c>
      <c r="Z765" s="26" t="s">
        <v>710</v>
      </c>
      <c r="AA765" s="4">
        <v>1</v>
      </c>
      <c r="AB765" s="4">
        <v>0</v>
      </c>
      <c r="AC765" s="4"/>
      <c r="AD765" s="4">
        <f t="shared" si="416"/>
        <v>6322.8211199999987</v>
      </c>
      <c r="AF765" s="1" t="str">
        <f t="shared" si="417"/>
        <v>3</v>
      </c>
      <c r="AG765">
        <v>6</v>
      </c>
      <c r="AH765">
        <f t="shared" si="405"/>
        <v>153.6</v>
      </c>
      <c r="AI765">
        <f t="shared" si="406"/>
        <v>15.36</v>
      </c>
      <c r="AJ765">
        <f t="shared" si="407"/>
        <v>1728</v>
      </c>
      <c r="AK765">
        <f t="shared" si="408"/>
        <v>172.8</v>
      </c>
      <c r="AL765">
        <f t="shared" si="409"/>
        <v>51.199999999999996</v>
      </c>
      <c r="AM765">
        <f t="shared" si="410"/>
        <v>5.12</v>
      </c>
      <c r="AN765">
        <f t="shared" si="411"/>
        <v>1.6</v>
      </c>
      <c r="AO765">
        <f t="shared" si="414"/>
        <v>2</v>
      </c>
      <c r="AP765">
        <f t="shared" si="413"/>
        <v>6</v>
      </c>
      <c r="AQ765">
        <v>103</v>
      </c>
      <c r="AR765">
        <v>1</v>
      </c>
    </row>
    <row r="766" spans="1:44" x14ac:dyDescent="0.15">
      <c r="A766">
        <f t="shared" si="415"/>
        <v>1103065</v>
      </c>
      <c r="B766" s="21" t="s">
        <v>274</v>
      </c>
      <c r="C766">
        <v>6</v>
      </c>
      <c r="D766">
        <v>2</v>
      </c>
      <c r="E766">
        <v>5</v>
      </c>
      <c r="F766" s="6" t="s">
        <v>402</v>
      </c>
      <c r="G766" s="6" t="s">
        <v>403</v>
      </c>
      <c r="H766">
        <v>0</v>
      </c>
      <c r="I766" s="2" t="s">
        <v>395</v>
      </c>
      <c r="J766" s="2">
        <f t="shared" si="396"/>
        <v>6</v>
      </c>
      <c r="K766" s="2">
        <f t="shared" si="397"/>
        <v>1.6</v>
      </c>
      <c r="L766" s="2">
        <f t="shared" si="398"/>
        <v>2</v>
      </c>
      <c r="M766" s="2">
        <v>10</v>
      </c>
      <c r="N766" s="2">
        <f t="shared" si="399"/>
        <v>153.6</v>
      </c>
      <c r="O766" s="2">
        <f t="shared" si="400"/>
        <v>15.36</v>
      </c>
      <c r="P766" s="2">
        <f t="shared" si="401"/>
        <v>1728</v>
      </c>
      <c r="Q766" s="2">
        <f t="shared" si="402"/>
        <v>172.8</v>
      </c>
      <c r="R766" s="2">
        <f t="shared" si="403"/>
        <v>51.2</v>
      </c>
      <c r="S766" s="2">
        <f t="shared" si="404"/>
        <v>5.12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>
        <v>354001</v>
      </c>
      <c r="Z766" s="26" t="s">
        <v>710</v>
      </c>
      <c r="AA766" s="4">
        <v>1</v>
      </c>
      <c r="AB766" s="4">
        <v>0</v>
      </c>
      <c r="AC766" s="4"/>
      <c r="AD766" s="4">
        <f t="shared" si="416"/>
        <v>6322.8211199999987</v>
      </c>
      <c r="AF766" s="1" t="str">
        <f t="shared" si="417"/>
        <v>3</v>
      </c>
      <c r="AG766">
        <v>6</v>
      </c>
      <c r="AH766">
        <f t="shared" si="405"/>
        <v>153.6</v>
      </c>
      <c r="AI766">
        <f t="shared" si="406"/>
        <v>15.36</v>
      </c>
      <c r="AJ766">
        <f t="shared" si="407"/>
        <v>1728</v>
      </c>
      <c r="AK766">
        <f t="shared" si="408"/>
        <v>172.8</v>
      </c>
      <c r="AL766">
        <f t="shared" si="409"/>
        <v>51.199999999999996</v>
      </c>
      <c r="AM766">
        <f t="shared" si="410"/>
        <v>5.12</v>
      </c>
      <c r="AN766">
        <f t="shared" si="411"/>
        <v>1.6</v>
      </c>
      <c r="AO766">
        <f t="shared" si="414"/>
        <v>2</v>
      </c>
      <c r="AP766">
        <f t="shared" si="413"/>
        <v>6</v>
      </c>
      <c r="AQ766">
        <v>103</v>
      </c>
      <c r="AR766">
        <v>1</v>
      </c>
    </row>
    <row r="767" spans="1:44" x14ac:dyDescent="0.15">
      <c r="A767">
        <f t="shared" si="415"/>
        <v>1103071</v>
      </c>
      <c r="B767" s="21" t="s">
        <v>262</v>
      </c>
      <c r="C767">
        <v>7</v>
      </c>
      <c r="D767">
        <v>2</v>
      </c>
      <c r="E767">
        <v>1</v>
      </c>
      <c r="F767" s="6" t="s">
        <v>393</v>
      </c>
      <c r="G767" s="6" t="s">
        <v>394</v>
      </c>
      <c r="H767" s="2">
        <v>0</v>
      </c>
      <c r="I767" s="2" t="s">
        <v>395</v>
      </c>
      <c r="J767" s="2">
        <f t="shared" si="396"/>
        <v>6</v>
      </c>
      <c r="K767" s="2">
        <f t="shared" si="397"/>
        <v>1.6</v>
      </c>
      <c r="L767" s="2">
        <f t="shared" si="398"/>
        <v>2</v>
      </c>
      <c r="M767" s="2">
        <v>10</v>
      </c>
      <c r="N767" s="2">
        <f t="shared" si="399"/>
        <v>170.67</v>
      </c>
      <c r="O767" s="2">
        <f t="shared" si="400"/>
        <v>17.07</v>
      </c>
      <c r="P767" s="2">
        <f t="shared" si="401"/>
        <v>1920</v>
      </c>
      <c r="Q767" s="2">
        <f t="shared" si="402"/>
        <v>192</v>
      </c>
      <c r="R767" s="2">
        <f t="shared" si="403"/>
        <v>56.89</v>
      </c>
      <c r="S767" s="2">
        <f t="shared" si="404"/>
        <v>5.69</v>
      </c>
      <c r="T767" s="2">
        <v>0</v>
      </c>
      <c r="U767" s="2">
        <v>0</v>
      </c>
      <c r="V767" s="2">
        <v>0</v>
      </c>
      <c r="W767" s="2">
        <v>0</v>
      </c>
      <c r="X767" s="2">
        <v>0</v>
      </c>
      <c r="Y767">
        <v>21</v>
      </c>
      <c r="Z767" s="26" t="s">
        <v>710</v>
      </c>
      <c r="AA767" s="4">
        <v>1</v>
      </c>
      <c r="AB767" s="4">
        <v>0</v>
      </c>
      <c r="AC767" s="4"/>
      <c r="AD767" s="4">
        <f t="shared" si="416"/>
        <v>7807.3518599999979</v>
      </c>
      <c r="AF767" s="1" t="str">
        <f t="shared" si="417"/>
        <v>3</v>
      </c>
      <c r="AG767">
        <v>7</v>
      </c>
      <c r="AH767">
        <f t="shared" si="405"/>
        <v>170.66666666666666</v>
      </c>
      <c r="AI767">
        <f t="shared" si="406"/>
        <v>17.066666666666666</v>
      </c>
      <c r="AJ767">
        <f t="shared" si="407"/>
        <v>1920</v>
      </c>
      <c r="AK767">
        <f t="shared" si="408"/>
        <v>192</v>
      </c>
      <c r="AL767">
        <f t="shared" si="409"/>
        <v>56.888888888888886</v>
      </c>
      <c r="AM767">
        <f t="shared" si="410"/>
        <v>5.6888888888888891</v>
      </c>
      <c r="AN767">
        <f t="shared" si="411"/>
        <v>1.6</v>
      </c>
      <c r="AO767">
        <f t="shared" si="414"/>
        <v>2</v>
      </c>
      <c r="AP767">
        <f t="shared" si="413"/>
        <v>6</v>
      </c>
      <c r="AQ767">
        <v>103</v>
      </c>
      <c r="AR767">
        <v>1</v>
      </c>
    </row>
    <row r="768" spans="1:44" x14ac:dyDescent="0.15">
      <c r="A768">
        <f t="shared" si="415"/>
        <v>1103072</v>
      </c>
      <c r="B768" s="21" t="s">
        <v>265</v>
      </c>
      <c r="C768">
        <v>7</v>
      </c>
      <c r="D768">
        <v>2</v>
      </c>
      <c r="E768">
        <v>2</v>
      </c>
      <c r="F768" s="6" t="s">
        <v>396</v>
      </c>
      <c r="G768" s="6" t="s">
        <v>397</v>
      </c>
      <c r="H768" s="2">
        <v>0</v>
      </c>
      <c r="I768" s="2" t="s">
        <v>395</v>
      </c>
      <c r="J768" s="2">
        <f t="shared" si="396"/>
        <v>6</v>
      </c>
      <c r="K768" s="2">
        <f t="shared" si="397"/>
        <v>1.6</v>
      </c>
      <c r="L768" s="2">
        <f t="shared" si="398"/>
        <v>2</v>
      </c>
      <c r="M768" s="2">
        <v>10</v>
      </c>
      <c r="N768" s="2">
        <f t="shared" si="399"/>
        <v>170.67</v>
      </c>
      <c r="O768" s="2">
        <f t="shared" si="400"/>
        <v>17.07</v>
      </c>
      <c r="P768" s="2">
        <f t="shared" si="401"/>
        <v>1920</v>
      </c>
      <c r="Q768" s="2">
        <f t="shared" si="402"/>
        <v>192</v>
      </c>
      <c r="R768" s="2">
        <f t="shared" si="403"/>
        <v>56.89</v>
      </c>
      <c r="S768" s="2">
        <f t="shared" si="404"/>
        <v>5.69</v>
      </c>
      <c r="T768" s="2">
        <v>0</v>
      </c>
      <c r="U768" s="2">
        <v>0</v>
      </c>
      <c r="V768" s="2">
        <v>0</v>
      </c>
      <c r="W768" s="2">
        <v>0</v>
      </c>
      <c r="X768" s="2">
        <v>0</v>
      </c>
      <c r="Y768">
        <v>31</v>
      </c>
      <c r="Z768" s="26" t="s">
        <v>710</v>
      </c>
      <c r="AA768" s="4">
        <v>1</v>
      </c>
      <c r="AB768" s="4">
        <v>0</v>
      </c>
      <c r="AC768" s="4"/>
      <c r="AD768" s="4">
        <f t="shared" si="416"/>
        <v>7807.3518599999979</v>
      </c>
      <c r="AF768" s="1" t="str">
        <f t="shared" si="417"/>
        <v>3</v>
      </c>
      <c r="AG768">
        <v>7</v>
      </c>
      <c r="AH768">
        <f t="shared" si="405"/>
        <v>170.66666666666666</v>
      </c>
      <c r="AI768">
        <f t="shared" si="406"/>
        <v>17.066666666666666</v>
      </c>
      <c r="AJ768">
        <f t="shared" si="407"/>
        <v>1920</v>
      </c>
      <c r="AK768">
        <f t="shared" si="408"/>
        <v>192</v>
      </c>
      <c r="AL768">
        <f t="shared" si="409"/>
        <v>56.888888888888886</v>
      </c>
      <c r="AM768">
        <f t="shared" si="410"/>
        <v>5.6888888888888891</v>
      </c>
      <c r="AN768">
        <f t="shared" si="411"/>
        <v>1.6</v>
      </c>
      <c r="AO768">
        <f t="shared" si="414"/>
        <v>2</v>
      </c>
      <c r="AP768">
        <f t="shared" si="413"/>
        <v>6</v>
      </c>
      <c r="AQ768">
        <v>103</v>
      </c>
      <c r="AR768">
        <v>1</v>
      </c>
    </row>
    <row r="769" spans="1:44" x14ac:dyDescent="0.15">
      <c r="A769">
        <f t="shared" si="415"/>
        <v>1103073</v>
      </c>
      <c r="B769" s="21" t="s">
        <v>268</v>
      </c>
      <c r="C769">
        <v>7</v>
      </c>
      <c r="D769">
        <v>2</v>
      </c>
      <c r="E769">
        <v>3</v>
      </c>
      <c r="F769" s="6" t="s">
        <v>398</v>
      </c>
      <c r="G769" s="6" t="s">
        <v>399</v>
      </c>
      <c r="H769" s="2">
        <v>0</v>
      </c>
      <c r="I769" s="2" t="s">
        <v>395</v>
      </c>
      <c r="J769" s="2">
        <f t="shared" si="396"/>
        <v>6</v>
      </c>
      <c r="K769" s="2">
        <f t="shared" si="397"/>
        <v>1.6</v>
      </c>
      <c r="L769" s="2">
        <f t="shared" si="398"/>
        <v>2</v>
      </c>
      <c r="M769" s="2">
        <v>10</v>
      </c>
      <c r="N769" s="2">
        <f t="shared" si="399"/>
        <v>170.67</v>
      </c>
      <c r="O769" s="2">
        <f t="shared" si="400"/>
        <v>17.07</v>
      </c>
      <c r="P769" s="2">
        <f t="shared" si="401"/>
        <v>1920</v>
      </c>
      <c r="Q769" s="2">
        <f t="shared" si="402"/>
        <v>192</v>
      </c>
      <c r="R769" s="2">
        <f t="shared" si="403"/>
        <v>56.89</v>
      </c>
      <c r="S769" s="2">
        <f t="shared" si="404"/>
        <v>5.69</v>
      </c>
      <c r="T769" s="2">
        <v>0</v>
      </c>
      <c r="U769" s="2">
        <v>0</v>
      </c>
      <c r="V769" s="2">
        <v>0</v>
      </c>
      <c r="W769" s="2">
        <v>0</v>
      </c>
      <c r="X769" s="2">
        <v>0</v>
      </c>
      <c r="Y769">
        <v>41</v>
      </c>
      <c r="Z769" s="26" t="s">
        <v>710</v>
      </c>
      <c r="AA769" s="4">
        <v>1</v>
      </c>
      <c r="AB769" s="4">
        <v>0</v>
      </c>
      <c r="AC769" s="4"/>
      <c r="AD769" s="4">
        <f t="shared" si="416"/>
        <v>7807.3518599999979</v>
      </c>
      <c r="AF769" s="1" t="str">
        <f t="shared" si="417"/>
        <v>3</v>
      </c>
      <c r="AG769">
        <v>7</v>
      </c>
      <c r="AH769">
        <f t="shared" si="405"/>
        <v>170.66666666666666</v>
      </c>
      <c r="AI769">
        <f t="shared" si="406"/>
        <v>17.066666666666666</v>
      </c>
      <c r="AJ769">
        <f t="shared" si="407"/>
        <v>1920</v>
      </c>
      <c r="AK769">
        <f t="shared" si="408"/>
        <v>192</v>
      </c>
      <c r="AL769">
        <f t="shared" si="409"/>
        <v>56.888888888888886</v>
      </c>
      <c r="AM769">
        <f t="shared" si="410"/>
        <v>5.6888888888888891</v>
      </c>
      <c r="AN769">
        <f t="shared" si="411"/>
        <v>1.6</v>
      </c>
      <c r="AO769">
        <f t="shared" si="414"/>
        <v>2</v>
      </c>
      <c r="AP769">
        <f t="shared" si="413"/>
        <v>6</v>
      </c>
      <c r="AQ769">
        <v>103</v>
      </c>
      <c r="AR769">
        <v>1</v>
      </c>
    </row>
    <row r="770" spans="1:44" x14ac:dyDescent="0.15">
      <c r="A770">
        <f t="shared" si="415"/>
        <v>1103074</v>
      </c>
      <c r="B770" s="21" t="s">
        <v>271</v>
      </c>
      <c r="C770">
        <v>7</v>
      </c>
      <c r="D770">
        <v>2</v>
      </c>
      <c r="E770">
        <v>4</v>
      </c>
      <c r="F770" s="6" t="s">
        <v>400</v>
      </c>
      <c r="G770" s="6" t="s">
        <v>401</v>
      </c>
      <c r="H770" s="2">
        <v>0</v>
      </c>
      <c r="I770" s="2" t="s">
        <v>395</v>
      </c>
      <c r="J770" s="2">
        <f t="shared" si="396"/>
        <v>6</v>
      </c>
      <c r="K770" s="2">
        <f t="shared" si="397"/>
        <v>1.6</v>
      </c>
      <c r="L770" s="2">
        <f t="shared" si="398"/>
        <v>2</v>
      </c>
      <c r="M770" s="2">
        <v>10</v>
      </c>
      <c r="N770" s="2">
        <f t="shared" si="399"/>
        <v>170.67</v>
      </c>
      <c r="O770" s="2">
        <f t="shared" si="400"/>
        <v>17.07</v>
      </c>
      <c r="P770" s="2">
        <f t="shared" si="401"/>
        <v>1920</v>
      </c>
      <c r="Q770" s="2">
        <f t="shared" si="402"/>
        <v>192</v>
      </c>
      <c r="R770" s="2">
        <f t="shared" si="403"/>
        <v>56.89</v>
      </c>
      <c r="S770" s="2">
        <f t="shared" si="404"/>
        <v>5.69</v>
      </c>
      <c r="T770" s="2">
        <v>0</v>
      </c>
      <c r="U770" s="2">
        <v>0</v>
      </c>
      <c r="V770" s="2">
        <v>0</v>
      </c>
      <c r="W770" s="2">
        <v>0</v>
      </c>
      <c r="X770" s="2">
        <v>0</v>
      </c>
      <c r="Y770">
        <v>554021</v>
      </c>
      <c r="Z770" s="26" t="s">
        <v>710</v>
      </c>
      <c r="AA770" s="4">
        <v>1</v>
      </c>
      <c r="AB770" s="4">
        <v>0</v>
      </c>
      <c r="AC770" s="4"/>
      <c r="AD770" s="4">
        <f t="shared" si="416"/>
        <v>7807.3518599999979</v>
      </c>
      <c r="AF770" s="1" t="str">
        <f t="shared" si="417"/>
        <v>3</v>
      </c>
      <c r="AG770">
        <v>7</v>
      </c>
      <c r="AH770">
        <f t="shared" si="405"/>
        <v>170.66666666666666</v>
      </c>
      <c r="AI770">
        <f t="shared" si="406"/>
        <v>17.066666666666666</v>
      </c>
      <c r="AJ770">
        <f t="shared" si="407"/>
        <v>1920</v>
      </c>
      <c r="AK770">
        <f t="shared" si="408"/>
        <v>192</v>
      </c>
      <c r="AL770">
        <f t="shared" si="409"/>
        <v>56.888888888888886</v>
      </c>
      <c r="AM770">
        <f t="shared" si="410"/>
        <v>5.6888888888888891</v>
      </c>
      <c r="AN770">
        <f t="shared" si="411"/>
        <v>1.6</v>
      </c>
      <c r="AO770">
        <f t="shared" si="414"/>
        <v>2</v>
      </c>
      <c r="AP770">
        <f t="shared" si="413"/>
        <v>6</v>
      </c>
      <c r="AQ770">
        <v>103</v>
      </c>
      <c r="AR770">
        <v>1</v>
      </c>
    </row>
    <row r="771" spans="1:44" x14ac:dyDescent="0.15">
      <c r="A771">
        <f t="shared" si="415"/>
        <v>1103075</v>
      </c>
      <c r="B771" s="21" t="s">
        <v>274</v>
      </c>
      <c r="C771">
        <v>7</v>
      </c>
      <c r="D771">
        <v>2</v>
      </c>
      <c r="E771">
        <v>5</v>
      </c>
      <c r="F771" s="6" t="s">
        <v>402</v>
      </c>
      <c r="G771" s="6" t="s">
        <v>403</v>
      </c>
      <c r="H771">
        <v>0</v>
      </c>
      <c r="I771" s="2" t="s">
        <v>395</v>
      </c>
      <c r="J771" s="2">
        <f t="shared" si="396"/>
        <v>6</v>
      </c>
      <c r="K771" s="2">
        <f t="shared" si="397"/>
        <v>1.6</v>
      </c>
      <c r="L771" s="2">
        <f t="shared" si="398"/>
        <v>2</v>
      </c>
      <c r="M771" s="2">
        <v>10</v>
      </c>
      <c r="N771" s="2">
        <f t="shared" si="399"/>
        <v>170.67</v>
      </c>
      <c r="O771" s="2">
        <f t="shared" si="400"/>
        <v>17.07</v>
      </c>
      <c r="P771" s="2">
        <f t="shared" si="401"/>
        <v>1920</v>
      </c>
      <c r="Q771" s="2">
        <f t="shared" si="402"/>
        <v>192</v>
      </c>
      <c r="R771" s="2">
        <f t="shared" si="403"/>
        <v>56.89</v>
      </c>
      <c r="S771" s="2">
        <f t="shared" si="404"/>
        <v>5.69</v>
      </c>
      <c r="T771" s="2">
        <v>0</v>
      </c>
      <c r="U771" s="2">
        <v>0</v>
      </c>
      <c r="V771" s="2">
        <v>0</v>
      </c>
      <c r="W771" s="2">
        <v>0</v>
      </c>
      <c r="X771" s="2">
        <v>0</v>
      </c>
      <c r="Y771">
        <v>354001</v>
      </c>
      <c r="Z771" s="26" t="s">
        <v>710</v>
      </c>
      <c r="AA771" s="4">
        <v>1</v>
      </c>
      <c r="AB771" s="4">
        <v>0</v>
      </c>
      <c r="AC771" s="4"/>
      <c r="AD771" s="4">
        <f t="shared" si="416"/>
        <v>7807.3518599999979</v>
      </c>
      <c r="AF771" s="1" t="str">
        <f t="shared" si="417"/>
        <v>3</v>
      </c>
      <c r="AG771">
        <v>7</v>
      </c>
      <c r="AH771">
        <f t="shared" si="405"/>
        <v>170.66666666666666</v>
      </c>
      <c r="AI771">
        <f t="shared" si="406"/>
        <v>17.066666666666666</v>
      </c>
      <c r="AJ771">
        <f t="shared" si="407"/>
        <v>1920</v>
      </c>
      <c r="AK771">
        <f t="shared" si="408"/>
        <v>192</v>
      </c>
      <c r="AL771">
        <f t="shared" si="409"/>
        <v>56.888888888888886</v>
      </c>
      <c r="AM771">
        <f t="shared" si="410"/>
        <v>5.6888888888888891</v>
      </c>
      <c r="AN771">
        <f t="shared" si="411"/>
        <v>1.6</v>
      </c>
      <c r="AO771">
        <f t="shared" si="414"/>
        <v>2</v>
      </c>
      <c r="AP771">
        <f t="shared" si="413"/>
        <v>6</v>
      </c>
      <c r="AQ771">
        <v>103</v>
      </c>
      <c r="AR771">
        <v>1</v>
      </c>
    </row>
    <row r="772" spans="1:44" x14ac:dyDescent="0.15">
      <c r="A772">
        <f t="shared" si="415"/>
        <v>1103081</v>
      </c>
      <c r="B772" s="21" t="s">
        <v>262</v>
      </c>
      <c r="C772">
        <v>8</v>
      </c>
      <c r="D772">
        <v>2</v>
      </c>
      <c r="E772">
        <v>1</v>
      </c>
      <c r="F772" s="6" t="s">
        <v>393</v>
      </c>
      <c r="G772" s="6" t="s">
        <v>394</v>
      </c>
      <c r="H772" s="2">
        <v>0</v>
      </c>
      <c r="I772" s="2" t="s">
        <v>395</v>
      </c>
      <c r="J772" s="2">
        <f t="shared" si="396"/>
        <v>6</v>
      </c>
      <c r="K772" s="2">
        <f t="shared" si="397"/>
        <v>1.6</v>
      </c>
      <c r="L772" s="2">
        <f t="shared" si="398"/>
        <v>2</v>
      </c>
      <c r="M772" s="2">
        <v>10</v>
      </c>
      <c r="N772" s="2">
        <f t="shared" si="399"/>
        <v>187.73</v>
      </c>
      <c r="O772" s="2">
        <f t="shared" si="400"/>
        <v>18.77</v>
      </c>
      <c r="P772" s="2">
        <f t="shared" si="401"/>
        <v>2112</v>
      </c>
      <c r="Q772" s="2">
        <f t="shared" si="402"/>
        <v>211.2</v>
      </c>
      <c r="R772" s="2">
        <f t="shared" si="403"/>
        <v>62.58</v>
      </c>
      <c r="S772" s="2">
        <f t="shared" si="404"/>
        <v>6.26</v>
      </c>
      <c r="T772" s="2">
        <v>0</v>
      </c>
      <c r="U772" s="2">
        <v>0</v>
      </c>
      <c r="V772" s="2">
        <v>0</v>
      </c>
      <c r="W772" s="2">
        <v>0</v>
      </c>
      <c r="X772" s="2">
        <v>0</v>
      </c>
      <c r="Y772">
        <v>21</v>
      </c>
      <c r="Z772" s="26" t="s">
        <v>710</v>
      </c>
      <c r="AA772" s="4">
        <v>1</v>
      </c>
      <c r="AB772" s="4">
        <v>0</v>
      </c>
      <c r="AC772" s="4"/>
      <c r="AD772" s="4">
        <f t="shared" si="416"/>
        <v>9443.662073999998</v>
      </c>
      <c r="AF772" s="1" t="str">
        <f t="shared" si="417"/>
        <v>3</v>
      </c>
      <c r="AG772">
        <v>8</v>
      </c>
      <c r="AH772">
        <f t="shared" si="405"/>
        <v>187.73333333333335</v>
      </c>
      <c r="AI772">
        <f t="shared" si="406"/>
        <v>18.773333333333337</v>
      </c>
      <c r="AJ772">
        <f t="shared" si="407"/>
        <v>2112</v>
      </c>
      <c r="AK772">
        <f t="shared" si="408"/>
        <v>211.20000000000002</v>
      </c>
      <c r="AL772">
        <f t="shared" si="409"/>
        <v>62.577777777777783</v>
      </c>
      <c r="AM772">
        <f t="shared" si="410"/>
        <v>6.257777777777779</v>
      </c>
      <c r="AN772">
        <f t="shared" si="411"/>
        <v>1.6</v>
      </c>
      <c r="AO772">
        <f t="shared" si="414"/>
        <v>2</v>
      </c>
      <c r="AP772">
        <f t="shared" si="413"/>
        <v>6</v>
      </c>
      <c r="AQ772">
        <v>103</v>
      </c>
      <c r="AR772">
        <v>1</v>
      </c>
    </row>
    <row r="773" spans="1:44" x14ac:dyDescent="0.15">
      <c r="A773">
        <f t="shared" si="415"/>
        <v>1103082</v>
      </c>
      <c r="B773" s="21" t="s">
        <v>265</v>
      </c>
      <c r="C773">
        <v>8</v>
      </c>
      <c r="D773">
        <v>2</v>
      </c>
      <c r="E773">
        <v>2</v>
      </c>
      <c r="F773" s="6" t="s">
        <v>396</v>
      </c>
      <c r="G773" s="6" t="s">
        <v>397</v>
      </c>
      <c r="H773" s="2">
        <v>0</v>
      </c>
      <c r="I773" s="2" t="s">
        <v>395</v>
      </c>
      <c r="J773" s="2">
        <f t="shared" si="396"/>
        <v>6</v>
      </c>
      <c r="K773" s="2">
        <f t="shared" si="397"/>
        <v>1.6</v>
      </c>
      <c r="L773" s="2">
        <f t="shared" si="398"/>
        <v>2</v>
      </c>
      <c r="M773" s="2">
        <v>10</v>
      </c>
      <c r="N773" s="2">
        <f t="shared" si="399"/>
        <v>187.73</v>
      </c>
      <c r="O773" s="2">
        <f t="shared" si="400"/>
        <v>18.77</v>
      </c>
      <c r="P773" s="2">
        <f t="shared" si="401"/>
        <v>2112</v>
      </c>
      <c r="Q773" s="2">
        <f t="shared" si="402"/>
        <v>211.2</v>
      </c>
      <c r="R773" s="2">
        <f t="shared" si="403"/>
        <v>62.58</v>
      </c>
      <c r="S773" s="2">
        <f t="shared" si="404"/>
        <v>6.26</v>
      </c>
      <c r="T773" s="2">
        <v>0</v>
      </c>
      <c r="U773" s="2">
        <v>0</v>
      </c>
      <c r="V773" s="2">
        <v>0</v>
      </c>
      <c r="W773" s="2">
        <v>0</v>
      </c>
      <c r="X773" s="2">
        <v>0</v>
      </c>
      <c r="Y773">
        <v>31</v>
      </c>
      <c r="Z773" s="26" t="s">
        <v>710</v>
      </c>
      <c r="AA773" s="4">
        <v>1</v>
      </c>
      <c r="AB773" s="4">
        <v>0</v>
      </c>
      <c r="AC773" s="4"/>
      <c r="AD773" s="4">
        <f t="shared" si="416"/>
        <v>9443.662073999998</v>
      </c>
      <c r="AF773" s="1" t="str">
        <f t="shared" si="417"/>
        <v>3</v>
      </c>
      <c r="AG773">
        <v>8</v>
      </c>
      <c r="AH773">
        <f t="shared" si="405"/>
        <v>187.73333333333335</v>
      </c>
      <c r="AI773">
        <f t="shared" si="406"/>
        <v>18.773333333333337</v>
      </c>
      <c r="AJ773">
        <f t="shared" si="407"/>
        <v>2112</v>
      </c>
      <c r="AK773">
        <f t="shared" si="408"/>
        <v>211.20000000000002</v>
      </c>
      <c r="AL773">
        <f t="shared" si="409"/>
        <v>62.577777777777783</v>
      </c>
      <c r="AM773">
        <f t="shared" si="410"/>
        <v>6.257777777777779</v>
      </c>
      <c r="AN773">
        <f t="shared" si="411"/>
        <v>1.6</v>
      </c>
      <c r="AO773">
        <f t="shared" si="414"/>
        <v>2</v>
      </c>
      <c r="AP773">
        <f t="shared" si="413"/>
        <v>6</v>
      </c>
      <c r="AQ773">
        <v>103</v>
      </c>
      <c r="AR773">
        <v>1</v>
      </c>
    </row>
    <row r="774" spans="1:44" x14ac:dyDescent="0.15">
      <c r="A774">
        <f t="shared" si="415"/>
        <v>1103083</v>
      </c>
      <c r="B774" s="21" t="s">
        <v>268</v>
      </c>
      <c r="C774">
        <v>8</v>
      </c>
      <c r="D774">
        <v>2</v>
      </c>
      <c r="E774">
        <v>3</v>
      </c>
      <c r="F774" s="6" t="s">
        <v>398</v>
      </c>
      <c r="G774" s="6" t="s">
        <v>399</v>
      </c>
      <c r="H774" s="2">
        <v>0</v>
      </c>
      <c r="I774" s="2" t="s">
        <v>395</v>
      </c>
      <c r="J774" s="2">
        <f t="shared" si="396"/>
        <v>6</v>
      </c>
      <c r="K774" s="2">
        <f t="shared" si="397"/>
        <v>1.6</v>
      </c>
      <c r="L774" s="2">
        <f t="shared" si="398"/>
        <v>2</v>
      </c>
      <c r="M774" s="2">
        <v>10</v>
      </c>
      <c r="N774" s="2">
        <f t="shared" si="399"/>
        <v>187.73</v>
      </c>
      <c r="O774" s="2">
        <f t="shared" si="400"/>
        <v>18.77</v>
      </c>
      <c r="P774" s="2">
        <f t="shared" si="401"/>
        <v>2112</v>
      </c>
      <c r="Q774" s="2">
        <f t="shared" si="402"/>
        <v>211.2</v>
      </c>
      <c r="R774" s="2">
        <f t="shared" si="403"/>
        <v>62.58</v>
      </c>
      <c r="S774" s="2">
        <f t="shared" si="404"/>
        <v>6.26</v>
      </c>
      <c r="T774" s="2">
        <v>0</v>
      </c>
      <c r="U774" s="2">
        <v>0</v>
      </c>
      <c r="V774" s="2">
        <v>0</v>
      </c>
      <c r="W774" s="2">
        <v>0</v>
      </c>
      <c r="X774" s="2">
        <v>0</v>
      </c>
      <c r="Y774">
        <v>41</v>
      </c>
      <c r="Z774" s="26" t="s">
        <v>710</v>
      </c>
      <c r="AA774" s="4">
        <v>1</v>
      </c>
      <c r="AB774" s="4">
        <v>0</v>
      </c>
      <c r="AC774" s="4"/>
      <c r="AD774" s="4">
        <f t="shared" si="416"/>
        <v>9443.662073999998</v>
      </c>
      <c r="AF774" s="1" t="str">
        <f t="shared" si="417"/>
        <v>3</v>
      </c>
      <c r="AG774">
        <v>8</v>
      </c>
      <c r="AH774">
        <f t="shared" si="405"/>
        <v>187.73333333333335</v>
      </c>
      <c r="AI774">
        <f t="shared" si="406"/>
        <v>18.773333333333337</v>
      </c>
      <c r="AJ774">
        <f t="shared" si="407"/>
        <v>2112</v>
      </c>
      <c r="AK774">
        <f t="shared" si="408"/>
        <v>211.20000000000002</v>
      </c>
      <c r="AL774">
        <f t="shared" si="409"/>
        <v>62.577777777777783</v>
      </c>
      <c r="AM774">
        <f t="shared" si="410"/>
        <v>6.257777777777779</v>
      </c>
      <c r="AN774">
        <f t="shared" si="411"/>
        <v>1.6</v>
      </c>
      <c r="AO774">
        <f t="shared" si="414"/>
        <v>2</v>
      </c>
      <c r="AP774">
        <f t="shared" si="413"/>
        <v>6</v>
      </c>
      <c r="AQ774">
        <v>103</v>
      </c>
      <c r="AR774">
        <v>1</v>
      </c>
    </row>
    <row r="775" spans="1:44" x14ac:dyDescent="0.15">
      <c r="A775">
        <f t="shared" si="415"/>
        <v>1103084</v>
      </c>
      <c r="B775" s="21" t="s">
        <v>271</v>
      </c>
      <c r="C775">
        <v>8</v>
      </c>
      <c r="D775">
        <v>2</v>
      </c>
      <c r="E775">
        <v>4</v>
      </c>
      <c r="F775" s="6" t="s">
        <v>400</v>
      </c>
      <c r="G775" s="6" t="s">
        <v>401</v>
      </c>
      <c r="H775" s="2">
        <v>0</v>
      </c>
      <c r="I775" s="2" t="s">
        <v>395</v>
      </c>
      <c r="J775" s="2">
        <f t="shared" si="396"/>
        <v>6</v>
      </c>
      <c r="K775" s="2">
        <f t="shared" si="397"/>
        <v>1.6</v>
      </c>
      <c r="L775" s="2">
        <f t="shared" si="398"/>
        <v>2</v>
      </c>
      <c r="M775" s="2">
        <v>10</v>
      </c>
      <c r="N775" s="2">
        <f t="shared" si="399"/>
        <v>187.73</v>
      </c>
      <c r="O775" s="2">
        <f t="shared" si="400"/>
        <v>18.77</v>
      </c>
      <c r="P775" s="2">
        <f t="shared" si="401"/>
        <v>2112</v>
      </c>
      <c r="Q775" s="2">
        <f t="shared" si="402"/>
        <v>211.2</v>
      </c>
      <c r="R775" s="2">
        <f t="shared" si="403"/>
        <v>62.58</v>
      </c>
      <c r="S775" s="2">
        <f t="shared" si="404"/>
        <v>6.26</v>
      </c>
      <c r="T775" s="2">
        <v>0</v>
      </c>
      <c r="U775" s="2">
        <v>0</v>
      </c>
      <c r="V775" s="2">
        <v>0</v>
      </c>
      <c r="W775" s="2">
        <v>0</v>
      </c>
      <c r="X775" s="2">
        <v>0</v>
      </c>
      <c r="Y775">
        <v>554021</v>
      </c>
      <c r="Z775" s="26" t="s">
        <v>710</v>
      </c>
      <c r="AA775" s="4">
        <v>1</v>
      </c>
      <c r="AB775" s="4">
        <v>0</v>
      </c>
      <c r="AC775" s="4"/>
      <c r="AD775" s="4">
        <f t="shared" si="416"/>
        <v>9443.662073999998</v>
      </c>
      <c r="AF775" s="1" t="str">
        <f t="shared" si="417"/>
        <v>3</v>
      </c>
      <c r="AG775">
        <v>8</v>
      </c>
      <c r="AH775">
        <f t="shared" si="405"/>
        <v>187.73333333333335</v>
      </c>
      <c r="AI775">
        <f t="shared" si="406"/>
        <v>18.773333333333337</v>
      </c>
      <c r="AJ775">
        <f t="shared" si="407"/>
        <v>2112</v>
      </c>
      <c r="AK775">
        <f t="shared" si="408"/>
        <v>211.20000000000002</v>
      </c>
      <c r="AL775">
        <f t="shared" si="409"/>
        <v>62.577777777777783</v>
      </c>
      <c r="AM775">
        <f t="shared" si="410"/>
        <v>6.257777777777779</v>
      </c>
      <c r="AN775">
        <f t="shared" si="411"/>
        <v>1.6</v>
      </c>
      <c r="AO775">
        <f t="shared" si="414"/>
        <v>2</v>
      </c>
      <c r="AP775">
        <f t="shared" si="413"/>
        <v>6</v>
      </c>
      <c r="AQ775">
        <v>103</v>
      </c>
      <c r="AR775">
        <v>1</v>
      </c>
    </row>
    <row r="776" spans="1:44" x14ac:dyDescent="0.15">
      <c r="A776">
        <f t="shared" si="415"/>
        <v>1103085</v>
      </c>
      <c r="B776" s="21" t="s">
        <v>274</v>
      </c>
      <c r="C776">
        <v>8</v>
      </c>
      <c r="D776">
        <v>2</v>
      </c>
      <c r="E776">
        <v>5</v>
      </c>
      <c r="F776" s="6" t="s">
        <v>402</v>
      </c>
      <c r="G776" s="6" t="s">
        <v>403</v>
      </c>
      <c r="H776">
        <v>0</v>
      </c>
      <c r="I776" s="2" t="s">
        <v>395</v>
      </c>
      <c r="J776" s="2">
        <f t="shared" si="396"/>
        <v>6</v>
      </c>
      <c r="K776" s="2">
        <f t="shared" si="397"/>
        <v>1.6</v>
      </c>
      <c r="L776" s="2">
        <f t="shared" si="398"/>
        <v>2</v>
      </c>
      <c r="M776" s="2">
        <v>10</v>
      </c>
      <c r="N776" s="2">
        <f t="shared" si="399"/>
        <v>187.73</v>
      </c>
      <c r="O776" s="2">
        <f t="shared" si="400"/>
        <v>18.77</v>
      </c>
      <c r="P776" s="2">
        <f t="shared" si="401"/>
        <v>2112</v>
      </c>
      <c r="Q776" s="2">
        <f t="shared" si="402"/>
        <v>211.2</v>
      </c>
      <c r="R776" s="2">
        <f t="shared" si="403"/>
        <v>62.58</v>
      </c>
      <c r="S776" s="2">
        <f t="shared" si="404"/>
        <v>6.26</v>
      </c>
      <c r="T776" s="2">
        <v>0</v>
      </c>
      <c r="U776" s="2">
        <v>0</v>
      </c>
      <c r="V776" s="2">
        <v>0</v>
      </c>
      <c r="W776" s="2">
        <v>0</v>
      </c>
      <c r="X776" s="2">
        <v>0</v>
      </c>
      <c r="Y776">
        <v>354001</v>
      </c>
      <c r="Z776" s="26" t="s">
        <v>710</v>
      </c>
      <c r="AA776" s="4">
        <v>1</v>
      </c>
      <c r="AB776" s="4">
        <v>0</v>
      </c>
      <c r="AC776" s="4"/>
      <c r="AD776" s="4">
        <f t="shared" si="416"/>
        <v>9443.662073999998</v>
      </c>
      <c r="AF776" s="1" t="str">
        <f t="shared" si="417"/>
        <v>3</v>
      </c>
      <c r="AG776">
        <v>8</v>
      </c>
      <c r="AH776">
        <f t="shared" si="405"/>
        <v>187.73333333333335</v>
      </c>
      <c r="AI776">
        <f t="shared" si="406"/>
        <v>18.773333333333337</v>
      </c>
      <c r="AJ776">
        <f t="shared" si="407"/>
        <v>2112</v>
      </c>
      <c r="AK776">
        <f t="shared" si="408"/>
        <v>211.20000000000002</v>
      </c>
      <c r="AL776">
        <f t="shared" si="409"/>
        <v>62.577777777777783</v>
      </c>
      <c r="AM776">
        <f t="shared" si="410"/>
        <v>6.257777777777779</v>
      </c>
      <c r="AN776">
        <f t="shared" si="411"/>
        <v>1.6</v>
      </c>
      <c r="AO776">
        <f t="shared" si="414"/>
        <v>2</v>
      </c>
      <c r="AP776">
        <f t="shared" si="413"/>
        <v>6</v>
      </c>
      <c r="AQ776">
        <v>103</v>
      </c>
      <c r="AR776">
        <v>1</v>
      </c>
    </row>
    <row r="777" spans="1:44" x14ac:dyDescent="0.15">
      <c r="A777">
        <f t="shared" si="415"/>
        <v>1103091</v>
      </c>
      <c r="B777" s="21" t="s">
        <v>262</v>
      </c>
      <c r="C777">
        <v>9</v>
      </c>
      <c r="D777">
        <v>2</v>
      </c>
      <c r="E777">
        <v>1</v>
      </c>
      <c r="F777" s="6" t="s">
        <v>393</v>
      </c>
      <c r="G777" s="6" t="s">
        <v>394</v>
      </c>
      <c r="H777" s="2">
        <v>0</v>
      </c>
      <c r="I777" s="2" t="s">
        <v>395</v>
      </c>
      <c r="J777" s="2">
        <f t="shared" si="396"/>
        <v>6</v>
      </c>
      <c r="K777" s="2">
        <f t="shared" si="397"/>
        <v>1.6</v>
      </c>
      <c r="L777" s="2">
        <f t="shared" si="398"/>
        <v>2</v>
      </c>
      <c r="M777" s="2">
        <v>10</v>
      </c>
      <c r="N777" s="2">
        <f t="shared" si="399"/>
        <v>204.8</v>
      </c>
      <c r="O777" s="2">
        <f t="shared" si="400"/>
        <v>20.48</v>
      </c>
      <c r="P777" s="2">
        <f t="shared" si="401"/>
        <v>2304</v>
      </c>
      <c r="Q777" s="2">
        <f t="shared" si="402"/>
        <v>230.4</v>
      </c>
      <c r="R777" s="2">
        <f t="shared" si="403"/>
        <v>68.27</v>
      </c>
      <c r="S777" s="2">
        <f t="shared" si="404"/>
        <v>6.83</v>
      </c>
      <c r="T777" s="2">
        <v>0</v>
      </c>
      <c r="U777" s="2">
        <v>0</v>
      </c>
      <c r="V777" s="2">
        <v>0</v>
      </c>
      <c r="W777" s="2">
        <v>0</v>
      </c>
      <c r="X777" s="2">
        <v>0</v>
      </c>
      <c r="Y777">
        <v>21</v>
      </c>
      <c r="Z777" s="26" t="s">
        <v>710</v>
      </c>
      <c r="AA777" s="4">
        <v>1</v>
      </c>
      <c r="AB777" s="4">
        <v>0</v>
      </c>
      <c r="AC777" s="4"/>
      <c r="AD777" s="4">
        <f t="shared" si="416"/>
        <v>11240.570879999999</v>
      </c>
      <c r="AF777" s="1" t="str">
        <f t="shared" si="417"/>
        <v>3</v>
      </c>
      <c r="AG777">
        <v>9</v>
      </c>
      <c r="AH777">
        <f t="shared" si="405"/>
        <v>204.79999999999998</v>
      </c>
      <c r="AI777">
        <f t="shared" si="406"/>
        <v>20.48</v>
      </c>
      <c r="AJ777">
        <f t="shared" si="407"/>
        <v>2304</v>
      </c>
      <c r="AK777">
        <f t="shared" si="408"/>
        <v>230.4</v>
      </c>
      <c r="AL777">
        <f t="shared" si="409"/>
        <v>68.266666666666666</v>
      </c>
      <c r="AM777">
        <f t="shared" si="410"/>
        <v>6.8266666666666671</v>
      </c>
      <c r="AN777">
        <f t="shared" si="411"/>
        <v>1.6</v>
      </c>
      <c r="AO777">
        <f t="shared" si="414"/>
        <v>2</v>
      </c>
      <c r="AP777">
        <f t="shared" si="413"/>
        <v>6</v>
      </c>
      <c r="AQ777">
        <v>103</v>
      </c>
      <c r="AR777">
        <v>1</v>
      </c>
    </row>
    <row r="778" spans="1:44" x14ac:dyDescent="0.15">
      <c r="A778">
        <f t="shared" si="415"/>
        <v>1103092</v>
      </c>
      <c r="B778" s="21" t="s">
        <v>265</v>
      </c>
      <c r="C778">
        <v>9</v>
      </c>
      <c r="D778">
        <v>2</v>
      </c>
      <c r="E778">
        <v>2</v>
      </c>
      <c r="F778" s="6" t="s">
        <v>396</v>
      </c>
      <c r="G778" s="6" t="s">
        <v>397</v>
      </c>
      <c r="H778" s="2">
        <v>0</v>
      </c>
      <c r="I778" s="2" t="s">
        <v>395</v>
      </c>
      <c r="J778" s="2">
        <f t="shared" si="396"/>
        <v>6</v>
      </c>
      <c r="K778" s="2">
        <f t="shared" si="397"/>
        <v>1.6</v>
      </c>
      <c r="L778" s="2">
        <f t="shared" si="398"/>
        <v>2</v>
      </c>
      <c r="M778" s="2">
        <v>10</v>
      </c>
      <c r="N778" s="2">
        <f t="shared" si="399"/>
        <v>204.8</v>
      </c>
      <c r="O778" s="2">
        <f t="shared" si="400"/>
        <v>20.48</v>
      </c>
      <c r="P778" s="2">
        <f t="shared" si="401"/>
        <v>2304</v>
      </c>
      <c r="Q778" s="2">
        <f t="shared" si="402"/>
        <v>230.4</v>
      </c>
      <c r="R778" s="2">
        <f t="shared" si="403"/>
        <v>68.27</v>
      </c>
      <c r="S778" s="2">
        <f t="shared" si="404"/>
        <v>6.83</v>
      </c>
      <c r="T778" s="2">
        <v>0</v>
      </c>
      <c r="U778" s="2">
        <v>0</v>
      </c>
      <c r="V778" s="2">
        <v>0</v>
      </c>
      <c r="W778" s="2">
        <v>0</v>
      </c>
      <c r="X778" s="2">
        <v>0</v>
      </c>
      <c r="Y778">
        <v>31</v>
      </c>
      <c r="Z778" s="26" t="s">
        <v>710</v>
      </c>
      <c r="AA778" s="4">
        <v>1</v>
      </c>
      <c r="AB778" s="4">
        <v>0</v>
      </c>
      <c r="AC778" s="4"/>
      <c r="AD778" s="4">
        <f t="shared" si="416"/>
        <v>11240.570879999999</v>
      </c>
      <c r="AF778" s="1" t="str">
        <f t="shared" si="417"/>
        <v>3</v>
      </c>
      <c r="AG778">
        <v>9</v>
      </c>
      <c r="AH778">
        <f t="shared" si="405"/>
        <v>204.79999999999998</v>
      </c>
      <c r="AI778">
        <f t="shared" si="406"/>
        <v>20.48</v>
      </c>
      <c r="AJ778">
        <f t="shared" si="407"/>
        <v>2304</v>
      </c>
      <c r="AK778">
        <f t="shared" si="408"/>
        <v>230.4</v>
      </c>
      <c r="AL778">
        <f t="shared" si="409"/>
        <v>68.266666666666666</v>
      </c>
      <c r="AM778">
        <f t="shared" si="410"/>
        <v>6.8266666666666671</v>
      </c>
      <c r="AN778">
        <f t="shared" si="411"/>
        <v>1.6</v>
      </c>
      <c r="AO778">
        <f t="shared" si="414"/>
        <v>2</v>
      </c>
      <c r="AP778">
        <f t="shared" si="413"/>
        <v>6</v>
      </c>
      <c r="AQ778">
        <v>103</v>
      </c>
      <c r="AR778">
        <v>1</v>
      </c>
    </row>
    <row r="779" spans="1:44" x14ac:dyDescent="0.15">
      <c r="A779">
        <f t="shared" si="415"/>
        <v>1103093</v>
      </c>
      <c r="B779" s="21" t="s">
        <v>268</v>
      </c>
      <c r="C779">
        <v>9</v>
      </c>
      <c r="D779">
        <v>2</v>
      </c>
      <c r="E779">
        <v>3</v>
      </c>
      <c r="F779" s="6" t="s">
        <v>398</v>
      </c>
      <c r="G779" s="6" t="s">
        <v>399</v>
      </c>
      <c r="H779" s="2">
        <v>0</v>
      </c>
      <c r="I779" s="2" t="s">
        <v>395</v>
      </c>
      <c r="J779" s="2">
        <f t="shared" si="396"/>
        <v>6</v>
      </c>
      <c r="K779" s="2">
        <f t="shared" si="397"/>
        <v>1.6</v>
      </c>
      <c r="L779" s="2">
        <f t="shared" si="398"/>
        <v>2</v>
      </c>
      <c r="M779" s="2">
        <v>10</v>
      </c>
      <c r="N779" s="2">
        <f t="shared" si="399"/>
        <v>204.8</v>
      </c>
      <c r="O779" s="2">
        <f t="shared" si="400"/>
        <v>20.48</v>
      </c>
      <c r="P779" s="2">
        <f t="shared" si="401"/>
        <v>2304</v>
      </c>
      <c r="Q779" s="2">
        <f t="shared" si="402"/>
        <v>230.4</v>
      </c>
      <c r="R779" s="2">
        <f t="shared" si="403"/>
        <v>68.27</v>
      </c>
      <c r="S779" s="2">
        <f t="shared" si="404"/>
        <v>6.83</v>
      </c>
      <c r="T779" s="2">
        <v>0</v>
      </c>
      <c r="U779" s="2">
        <v>0</v>
      </c>
      <c r="V779" s="2">
        <v>0</v>
      </c>
      <c r="W779" s="2">
        <v>0</v>
      </c>
      <c r="X779" s="2">
        <v>0</v>
      </c>
      <c r="Y779">
        <v>41</v>
      </c>
      <c r="Z779" s="26" t="s">
        <v>710</v>
      </c>
      <c r="AA779" s="4">
        <v>1</v>
      </c>
      <c r="AB779" s="4">
        <v>0</v>
      </c>
      <c r="AC779" s="4"/>
      <c r="AD779" s="4">
        <f t="shared" si="416"/>
        <v>11240.570879999999</v>
      </c>
      <c r="AF779" s="1" t="str">
        <f t="shared" si="417"/>
        <v>3</v>
      </c>
      <c r="AG779">
        <v>9</v>
      </c>
      <c r="AH779">
        <f t="shared" si="405"/>
        <v>204.79999999999998</v>
      </c>
      <c r="AI779">
        <f t="shared" si="406"/>
        <v>20.48</v>
      </c>
      <c r="AJ779">
        <f t="shared" si="407"/>
        <v>2304</v>
      </c>
      <c r="AK779">
        <f t="shared" si="408"/>
        <v>230.4</v>
      </c>
      <c r="AL779">
        <f t="shared" si="409"/>
        <v>68.266666666666666</v>
      </c>
      <c r="AM779">
        <f t="shared" si="410"/>
        <v>6.8266666666666671</v>
      </c>
      <c r="AN779">
        <f t="shared" si="411"/>
        <v>1.6</v>
      </c>
      <c r="AO779">
        <f t="shared" si="414"/>
        <v>2</v>
      </c>
      <c r="AP779">
        <f t="shared" si="413"/>
        <v>6</v>
      </c>
      <c r="AQ779">
        <v>103</v>
      </c>
      <c r="AR779">
        <v>1</v>
      </c>
    </row>
    <row r="780" spans="1:44" x14ac:dyDescent="0.15">
      <c r="A780">
        <f t="shared" si="415"/>
        <v>1103094</v>
      </c>
      <c r="B780" s="21" t="s">
        <v>271</v>
      </c>
      <c r="C780">
        <v>9</v>
      </c>
      <c r="D780">
        <v>2</v>
      </c>
      <c r="E780">
        <v>4</v>
      </c>
      <c r="F780" s="6" t="s">
        <v>400</v>
      </c>
      <c r="G780" s="6" t="s">
        <v>401</v>
      </c>
      <c r="H780" s="2">
        <v>0</v>
      </c>
      <c r="I780" s="2" t="s">
        <v>395</v>
      </c>
      <c r="J780" s="2">
        <f t="shared" si="396"/>
        <v>6</v>
      </c>
      <c r="K780" s="2">
        <f t="shared" si="397"/>
        <v>1.6</v>
      </c>
      <c r="L780" s="2">
        <f t="shared" si="398"/>
        <v>2</v>
      </c>
      <c r="M780" s="2">
        <v>10</v>
      </c>
      <c r="N780" s="2">
        <f t="shared" si="399"/>
        <v>204.8</v>
      </c>
      <c r="O780" s="2">
        <f t="shared" si="400"/>
        <v>20.48</v>
      </c>
      <c r="P780" s="2">
        <f t="shared" si="401"/>
        <v>2304</v>
      </c>
      <c r="Q780" s="2">
        <f t="shared" si="402"/>
        <v>230.4</v>
      </c>
      <c r="R780" s="2">
        <f t="shared" si="403"/>
        <v>68.27</v>
      </c>
      <c r="S780" s="2">
        <f t="shared" si="404"/>
        <v>6.83</v>
      </c>
      <c r="T780" s="2">
        <v>0</v>
      </c>
      <c r="U780" s="2">
        <v>0</v>
      </c>
      <c r="V780" s="2">
        <v>0</v>
      </c>
      <c r="W780" s="2">
        <v>0</v>
      </c>
      <c r="X780" s="2">
        <v>0</v>
      </c>
      <c r="Y780">
        <v>554021</v>
      </c>
      <c r="Z780" s="26" t="s">
        <v>710</v>
      </c>
      <c r="AA780" s="4">
        <v>1</v>
      </c>
      <c r="AB780" s="4">
        <v>0</v>
      </c>
      <c r="AC780" s="4"/>
      <c r="AD780" s="4">
        <f t="shared" si="416"/>
        <v>11240.570879999999</v>
      </c>
      <c r="AF780" s="1" t="str">
        <f t="shared" si="417"/>
        <v>3</v>
      </c>
      <c r="AG780">
        <v>9</v>
      </c>
      <c r="AH780">
        <f t="shared" si="405"/>
        <v>204.79999999999998</v>
      </c>
      <c r="AI780">
        <f t="shared" si="406"/>
        <v>20.48</v>
      </c>
      <c r="AJ780">
        <f t="shared" si="407"/>
        <v>2304</v>
      </c>
      <c r="AK780">
        <f t="shared" si="408"/>
        <v>230.4</v>
      </c>
      <c r="AL780">
        <f t="shared" si="409"/>
        <v>68.266666666666666</v>
      </c>
      <c r="AM780">
        <f t="shared" si="410"/>
        <v>6.8266666666666671</v>
      </c>
      <c r="AN780">
        <f t="shared" si="411"/>
        <v>1.6</v>
      </c>
      <c r="AO780">
        <f t="shared" si="414"/>
        <v>2</v>
      </c>
      <c r="AP780">
        <f t="shared" si="413"/>
        <v>6</v>
      </c>
      <c r="AQ780">
        <v>103</v>
      </c>
      <c r="AR780">
        <v>1</v>
      </c>
    </row>
    <row r="781" spans="1:44" x14ac:dyDescent="0.15">
      <c r="A781">
        <f t="shared" si="415"/>
        <v>1103095</v>
      </c>
      <c r="B781" s="21" t="s">
        <v>274</v>
      </c>
      <c r="C781">
        <v>9</v>
      </c>
      <c r="D781">
        <v>2</v>
      </c>
      <c r="E781">
        <v>5</v>
      </c>
      <c r="F781" s="6" t="s">
        <v>402</v>
      </c>
      <c r="G781" s="6" t="s">
        <v>403</v>
      </c>
      <c r="H781">
        <v>0</v>
      </c>
      <c r="I781" s="2" t="s">
        <v>395</v>
      </c>
      <c r="J781" s="2">
        <f t="shared" si="396"/>
        <v>6</v>
      </c>
      <c r="K781" s="2">
        <f t="shared" si="397"/>
        <v>1.6</v>
      </c>
      <c r="L781" s="2">
        <f t="shared" si="398"/>
        <v>2</v>
      </c>
      <c r="M781" s="2">
        <v>10</v>
      </c>
      <c r="N781" s="2">
        <f t="shared" si="399"/>
        <v>204.8</v>
      </c>
      <c r="O781" s="2">
        <f t="shared" si="400"/>
        <v>20.48</v>
      </c>
      <c r="P781" s="2">
        <f t="shared" si="401"/>
        <v>2304</v>
      </c>
      <c r="Q781" s="2">
        <f t="shared" si="402"/>
        <v>230.4</v>
      </c>
      <c r="R781" s="2">
        <f t="shared" si="403"/>
        <v>68.27</v>
      </c>
      <c r="S781" s="2">
        <f t="shared" si="404"/>
        <v>6.83</v>
      </c>
      <c r="T781" s="2">
        <v>0</v>
      </c>
      <c r="U781" s="2">
        <v>0</v>
      </c>
      <c r="V781" s="2">
        <v>0</v>
      </c>
      <c r="W781" s="2">
        <v>0</v>
      </c>
      <c r="X781" s="2">
        <v>0</v>
      </c>
      <c r="Y781">
        <v>354001</v>
      </c>
      <c r="Z781" s="26" t="s">
        <v>710</v>
      </c>
      <c r="AA781" s="4">
        <v>1</v>
      </c>
      <c r="AB781" s="4">
        <v>0</v>
      </c>
      <c r="AC781" s="4"/>
      <c r="AD781" s="4">
        <f t="shared" si="416"/>
        <v>11240.570879999999</v>
      </c>
      <c r="AF781" s="1" t="str">
        <f t="shared" si="417"/>
        <v>3</v>
      </c>
      <c r="AG781">
        <v>9</v>
      </c>
      <c r="AH781">
        <f t="shared" si="405"/>
        <v>204.79999999999998</v>
      </c>
      <c r="AI781">
        <f t="shared" si="406"/>
        <v>20.48</v>
      </c>
      <c r="AJ781">
        <f t="shared" si="407"/>
        <v>2304</v>
      </c>
      <c r="AK781">
        <f t="shared" si="408"/>
        <v>230.4</v>
      </c>
      <c r="AL781">
        <f t="shared" si="409"/>
        <v>68.266666666666666</v>
      </c>
      <c r="AM781">
        <f t="shared" si="410"/>
        <v>6.8266666666666671</v>
      </c>
      <c r="AN781">
        <f t="shared" si="411"/>
        <v>1.6</v>
      </c>
      <c r="AO781">
        <f t="shared" si="414"/>
        <v>2</v>
      </c>
      <c r="AP781">
        <f t="shared" si="413"/>
        <v>6</v>
      </c>
      <c r="AQ781">
        <v>103</v>
      </c>
      <c r="AR781">
        <v>1</v>
      </c>
    </row>
    <row r="782" spans="1:44" x14ac:dyDescent="0.15">
      <c r="A782">
        <f t="shared" si="415"/>
        <v>1103101</v>
      </c>
      <c r="B782" s="21" t="s">
        <v>262</v>
      </c>
      <c r="C782">
        <v>10</v>
      </c>
      <c r="D782">
        <v>2</v>
      </c>
      <c r="E782">
        <v>1</v>
      </c>
      <c r="F782" s="6" t="s">
        <v>393</v>
      </c>
      <c r="G782" s="6" t="s">
        <v>394</v>
      </c>
      <c r="H782" s="2">
        <v>0</v>
      </c>
      <c r="I782" s="2" t="s">
        <v>395</v>
      </c>
      <c r="J782" s="2">
        <f t="shared" ref="J782:J845" si="418">AP782</f>
        <v>6</v>
      </c>
      <c r="K782" s="2">
        <f t="shared" ref="K782:K845" si="419">FLOOR(AN782/1,0.01)</f>
        <v>1.6</v>
      </c>
      <c r="L782" s="2">
        <f t="shared" ref="L782:L845" si="420">FLOOR(AO782/1,0.01)</f>
        <v>2</v>
      </c>
      <c r="M782" s="2">
        <v>10</v>
      </c>
      <c r="N782" s="2">
        <f t="shared" ref="N782:N845" si="421">ROUND(AH782,2)</f>
        <v>221.87</v>
      </c>
      <c r="O782" s="2">
        <f t="shared" ref="O782:O845" si="422">ROUND(AI782,2)</f>
        <v>22.19</v>
      </c>
      <c r="P782" s="2">
        <f t="shared" ref="P782:P799" si="423">ROUND(AJ782,2)</f>
        <v>2496</v>
      </c>
      <c r="Q782" s="2">
        <f t="shared" ref="Q782:Q845" si="424">ROUND(AK782,2)</f>
        <v>249.6</v>
      </c>
      <c r="R782" s="2">
        <f t="shared" ref="R782:R845" si="425">ROUND(AL782,2)</f>
        <v>73.959999999999994</v>
      </c>
      <c r="S782" s="2">
        <f t="shared" ref="S782:S845" si="426">ROUND(AM782,2)</f>
        <v>7.4</v>
      </c>
      <c r="T782" s="2">
        <v>0</v>
      </c>
      <c r="U782" s="2">
        <v>0</v>
      </c>
      <c r="V782" s="2">
        <v>0</v>
      </c>
      <c r="W782" s="2">
        <v>0</v>
      </c>
      <c r="X782" s="2">
        <v>0</v>
      </c>
      <c r="Y782">
        <v>21</v>
      </c>
      <c r="Z782" s="26" t="s">
        <v>710</v>
      </c>
      <c r="AA782" s="4">
        <v>1</v>
      </c>
      <c r="AB782" s="4">
        <v>0</v>
      </c>
      <c r="AC782" s="4"/>
      <c r="AD782" s="4">
        <f t="shared" si="416"/>
        <v>13193.878697999999</v>
      </c>
      <c r="AF782" s="1" t="str">
        <f t="shared" si="417"/>
        <v>3</v>
      </c>
      <c r="AG782">
        <v>10</v>
      </c>
      <c r="AH782">
        <f t="shared" ref="AH782:AH845" si="427">INDEX($AV$5:$AV$50,MATCH($AQ782,$AT$5:$AT$50))*$AN782/1.5*$AZ$4*INDEX($AV$87:$BI$87,MATCH($AG782,$AV$86:$BI$86))</f>
        <v>221.86666666666667</v>
      </c>
      <c r="AI782">
        <f t="shared" ref="AI782:AI845" si="428">(INDEX($AV$5:$AV$50,MATCH($AQ782,$AT$5:$AT$50))*$AN782/1.5*$AZ$4*INDEX($AV$87:$BI$87,MATCH($AG782,$AV$86:$BI$86)))*0.1</f>
        <v>22.186666666666667</v>
      </c>
      <c r="AJ782">
        <f t="shared" ref="AJ782:AJ845" si="429">INDEX($AW$5:$AW$50,MATCH($AQ782,$AT$5:$AT$50))*$BA$4*INDEX($AV$87:$BI$87,MATCH($AG782,$AV$86:$BI$86))</f>
        <v>2496</v>
      </c>
      <c r="AK782">
        <f t="shared" ref="AK782:AK845" si="430">(INDEX($AW$5:$AW$50,MATCH($AQ782,$AT$5:$AT$50))*$BA$4*INDEX($AV$87:$BI$87,MATCH($AG782,$AV$86:$BI$86)))*0.1</f>
        <v>249.60000000000002</v>
      </c>
      <c r="AL782">
        <f t="shared" ref="AL782:AL845" si="431">$AH782/INDEX($AX$5:$AX$50,MATCH($AQ782,$AT$5:$AT$50))</f>
        <v>73.955555555555563</v>
      </c>
      <c r="AM782">
        <f t="shared" ref="AM782:AM845" si="432">AL782*0.1</f>
        <v>7.395555555555557</v>
      </c>
      <c r="AN782">
        <f t="shared" ref="AN782:AN845" si="433">INDEX($AY$5:$AY$50,MATCH($AQ782,$AT$5:$AT$50,0))</f>
        <v>1.6</v>
      </c>
      <c r="AO782">
        <f t="shared" si="414"/>
        <v>2</v>
      </c>
      <c r="AP782">
        <f t="shared" ref="AP782:AP845" si="434">INDEX($BC$5:$BC$50,MATCH($AQ782,$AT$5:$AT$50,0))</f>
        <v>6</v>
      </c>
      <c r="AQ782">
        <v>103</v>
      </c>
      <c r="AR782">
        <v>1</v>
      </c>
    </row>
    <row r="783" spans="1:44" x14ac:dyDescent="0.15">
      <c r="A783">
        <f t="shared" si="415"/>
        <v>1103102</v>
      </c>
      <c r="B783" s="21" t="s">
        <v>265</v>
      </c>
      <c r="C783">
        <v>10</v>
      </c>
      <c r="D783">
        <v>2</v>
      </c>
      <c r="E783">
        <v>2</v>
      </c>
      <c r="F783" s="6" t="s">
        <v>396</v>
      </c>
      <c r="G783" s="6" t="s">
        <v>397</v>
      </c>
      <c r="H783" s="2">
        <v>0</v>
      </c>
      <c r="I783" s="2" t="s">
        <v>395</v>
      </c>
      <c r="J783" s="2">
        <f t="shared" si="418"/>
        <v>6</v>
      </c>
      <c r="K783" s="2">
        <f t="shared" si="419"/>
        <v>1.6</v>
      </c>
      <c r="L783" s="2">
        <f t="shared" si="420"/>
        <v>2</v>
      </c>
      <c r="M783" s="2">
        <v>10</v>
      </c>
      <c r="N783" s="2">
        <f t="shared" si="421"/>
        <v>221.87</v>
      </c>
      <c r="O783" s="2">
        <f t="shared" si="422"/>
        <v>22.19</v>
      </c>
      <c r="P783" s="2">
        <f t="shared" si="423"/>
        <v>2496</v>
      </c>
      <c r="Q783" s="2">
        <f t="shared" si="424"/>
        <v>249.6</v>
      </c>
      <c r="R783" s="2">
        <f t="shared" si="425"/>
        <v>73.959999999999994</v>
      </c>
      <c r="S783" s="2">
        <f t="shared" si="426"/>
        <v>7.4</v>
      </c>
      <c r="T783" s="2">
        <v>0</v>
      </c>
      <c r="U783" s="2">
        <v>0</v>
      </c>
      <c r="V783" s="2">
        <v>0</v>
      </c>
      <c r="W783" s="2">
        <v>0</v>
      </c>
      <c r="X783" s="2">
        <v>0</v>
      </c>
      <c r="Y783">
        <v>31</v>
      </c>
      <c r="Z783" s="26" t="s">
        <v>710</v>
      </c>
      <c r="AA783" s="4">
        <v>1</v>
      </c>
      <c r="AB783" s="4">
        <v>0</v>
      </c>
      <c r="AC783" s="4"/>
      <c r="AD783" s="4">
        <f t="shared" si="416"/>
        <v>13193.878697999999</v>
      </c>
      <c r="AF783" s="1" t="str">
        <f t="shared" si="417"/>
        <v>3</v>
      </c>
      <c r="AG783">
        <v>10</v>
      </c>
      <c r="AH783">
        <f t="shared" si="427"/>
        <v>221.86666666666667</v>
      </c>
      <c r="AI783">
        <f t="shared" si="428"/>
        <v>22.186666666666667</v>
      </c>
      <c r="AJ783">
        <f t="shared" si="429"/>
        <v>2496</v>
      </c>
      <c r="AK783">
        <f t="shared" si="430"/>
        <v>249.60000000000002</v>
      </c>
      <c r="AL783">
        <f t="shared" si="431"/>
        <v>73.955555555555563</v>
      </c>
      <c r="AM783">
        <f t="shared" si="432"/>
        <v>7.395555555555557</v>
      </c>
      <c r="AN783">
        <f t="shared" si="433"/>
        <v>1.6</v>
      </c>
      <c r="AO783">
        <f t="shared" si="414"/>
        <v>2</v>
      </c>
      <c r="AP783">
        <f t="shared" si="434"/>
        <v>6</v>
      </c>
      <c r="AQ783">
        <v>103</v>
      </c>
      <c r="AR783">
        <v>1</v>
      </c>
    </row>
    <row r="784" spans="1:44" x14ac:dyDescent="0.15">
      <c r="A784">
        <f t="shared" si="415"/>
        <v>1103103</v>
      </c>
      <c r="B784" s="21" t="s">
        <v>268</v>
      </c>
      <c r="C784">
        <v>10</v>
      </c>
      <c r="D784">
        <v>2</v>
      </c>
      <c r="E784">
        <v>3</v>
      </c>
      <c r="F784" s="6" t="s">
        <v>398</v>
      </c>
      <c r="G784" s="6" t="s">
        <v>399</v>
      </c>
      <c r="H784" s="2">
        <v>0</v>
      </c>
      <c r="I784" s="2" t="s">
        <v>395</v>
      </c>
      <c r="J784" s="2">
        <f t="shared" si="418"/>
        <v>6</v>
      </c>
      <c r="K784" s="2">
        <f t="shared" si="419"/>
        <v>1.6</v>
      </c>
      <c r="L784" s="2">
        <f t="shared" si="420"/>
        <v>2</v>
      </c>
      <c r="M784" s="2">
        <v>10</v>
      </c>
      <c r="N784" s="2">
        <f t="shared" si="421"/>
        <v>221.87</v>
      </c>
      <c r="O784" s="2">
        <f t="shared" si="422"/>
        <v>22.19</v>
      </c>
      <c r="P784" s="2">
        <f t="shared" si="423"/>
        <v>2496</v>
      </c>
      <c r="Q784" s="2">
        <f t="shared" si="424"/>
        <v>249.6</v>
      </c>
      <c r="R784" s="2">
        <f t="shared" si="425"/>
        <v>73.959999999999994</v>
      </c>
      <c r="S784" s="2">
        <f t="shared" si="426"/>
        <v>7.4</v>
      </c>
      <c r="T784" s="2">
        <v>0</v>
      </c>
      <c r="U784" s="2">
        <v>0</v>
      </c>
      <c r="V784" s="2">
        <v>0</v>
      </c>
      <c r="W784" s="2">
        <v>0</v>
      </c>
      <c r="X784" s="2">
        <v>0</v>
      </c>
      <c r="Y784">
        <v>41</v>
      </c>
      <c r="Z784" s="26" t="s">
        <v>710</v>
      </c>
      <c r="AA784" s="4">
        <v>1</v>
      </c>
      <c r="AB784" s="4">
        <v>0</v>
      </c>
      <c r="AC784" s="4"/>
      <c r="AD784" s="4">
        <f t="shared" si="416"/>
        <v>13193.878697999999</v>
      </c>
      <c r="AF784" s="1" t="str">
        <f t="shared" si="417"/>
        <v>3</v>
      </c>
      <c r="AG784">
        <v>10</v>
      </c>
      <c r="AH784">
        <f t="shared" si="427"/>
        <v>221.86666666666667</v>
      </c>
      <c r="AI784">
        <f t="shared" si="428"/>
        <v>22.186666666666667</v>
      </c>
      <c r="AJ784">
        <f t="shared" si="429"/>
        <v>2496</v>
      </c>
      <c r="AK784">
        <f t="shared" si="430"/>
        <v>249.60000000000002</v>
      </c>
      <c r="AL784">
        <f t="shared" si="431"/>
        <v>73.955555555555563</v>
      </c>
      <c r="AM784">
        <f t="shared" si="432"/>
        <v>7.395555555555557</v>
      </c>
      <c r="AN784">
        <f t="shared" si="433"/>
        <v>1.6</v>
      </c>
      <c r="AO784">
        <f t="shared" si="414"/>
        <v>2</v>
      </c>
      <c r="AP784">
        <f t="shared" si="434"/>
        <v>6</v>
      </c>
      <c r="AQ784">
        <v>103</v>
      </c>
      <c r="AR784">
        <v>1</v>
      </c>
    </row>
    <row r="785" spans="1:44" x14ac:dyDescent="0.15">
      <c r="A785">
        <f t="shared" si="415"/>
        <v>1103104</v>
      </c>
      <c r="B785" s="21" t="s">
        <v>271</v>
      </c>
      <c r="C785">
        <v>10</v>
      </c>
      <c r="D785">
        <v>2</v>
      </c>
      <c r="E785">
        <v>4</v>
      </c>
      <c r="F785" s="6" t="s">
        <v>400</v>
      </c>
      <c r="G785" s="6" t="s">
        <v>401</v>
      </c>
      <c r="H785" s="2">
        <v>0</v>
      </c>
      <c r="I785" s="2" t="s">
        <v>395</v>
      </c>
      <c r="J785" s="2">
        <f t="shared" si="418"/>
        <v>6</v>
      </c>
      <c r="K785" s="2">
        <f t="shared" si="419"/>
        <v>1.6</v>
      </c>
      <c r="L785" s="2">
        <f t="shared" si="420"/>
        <v>2</v>
      </c>
      <c r="M785" s="2">
        <v>10</v>
      </c>
      <c r="N785" s="2">
        <f t="shared" si="421"/>
        <v>221.87</v>
      </c>
      <c r="O785" s="2">
        <f t="shared" si="422"/>
        <v>22.19</v>
      </c>
      <c r="P785" s="2">
        <f t="shared" si="423"/>
        <v>2496</v>
      </c>
      <c r="Q785" s="2">
        <f t="shared" si="424"/>
        <v>249.6</v>
      </c>
      <c r="R785" s="2">
        <f t="shared" si="425"/>
        <v>73.959999999999994</v>
      </c>
      <c r="S785" s="2">
        <f t="shared" si="426"/>
        <v>7.4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>
        <v>554021</v>
      </c>
      <c r="Z785" s="26" t="s">
        <v>710</v>
      </c>
      <c r="AA785" s="4">
        <v>1</v>
      </c>
      <c r="AB785" s="4">
        <v>0</v>
      </c>
      <c r="AC785" s="4"/>
      <c r="AD785" s="4">
        <f t="shared" si="416"/>
        <v>13193.878697999999</v>
      </c>
      <c r="AF785" s="1" t="str">
        <f t="shared" si="417"/>
        <v>3</v>
      </c>
      <c r="AG785">
        <v>10</v>
      </c>
      <c r="AH785">
        <f t="shared" si="427"/>
        <v>221.86666666666667</v>
      </c>
      <c r="AI785">
        <f t="shared" si="428"/>
        <v>22.186666666666667</v>
      </c>
      <c r="AJ785">
        <f t="shared" si="429"/>
        <v>2496</v>
      </c>
      <c r="AK785">
        <f t="shared" si="430"/>
        <v>249.60000000000002</v>
      </c>
      <c r="AL785">
        <f t="shared" si="431"/>
        <v>73.955555555555563</v>
      </c>
      <c r="AM785">
        <f t="shared" si="432"/>
        <v>7.395555555555557</v>
      </c>
      <c r="AN785">
        <f t="shared" si="433"/>
        <v>1.6</v>
      </c>
      <c r="AO785">
        <f t="shared" si="414"/>
        <v>2</v>
      </c>
      <c r="AP785">
        <f t="shared" si="434"/>
        <v>6</v>
      </c>
      <c r="AQ785">
        <v>103</v>
      </c>
      <c r="AR785">
        <v>1</v>
      </c>
    </row>
    <row r="786" spans="1:44" x14ac:dyDescent="0.15">
      <c r="A786">
        <f t="shared" si="415"/>
        <v>1103105</v>
      </c>
      <c r="B786" s="21" t="s">
        <v>274</v>
      </c>
      <c r="C786">
        <v>10</v>
      </c>
      <c r="D786">
        <v>2</v>
      </c>
      <c r="E786">
        <v>5</v>
      </c>
      <c r="F786" s="6" t="s">
        <v>402</v>
      </c>
      <c r="G786" s="6" t="s">
        <v>403</v>
      </c>
      <c r="H786">
        <v>0</v>
      </c>
      <c r="I786" s="2" t="s">
        <v>395</v>
      </c>
      <c r="J786" s="2">
        <f t="shared" si="418"/>
        <v>6</v>
      </c>
      <c r="K786" s="2">
        <f t="shared" si="419"/>
        <v>1.6</v>
      </c>
      <c r="L786" s="2">
        <f t="shared" si="420"/>
        <v>2</v>
      </c>
      <c r="M786" s="2">
        <v>10</v>
      </c>
      <c r="N786" s="2">
        <f t="shared" si="421"/>
        <v>221.87</v>
      </c>
      <c r="O786" s="2">
        <f t="shared" si="422"/>
        <v>22.19</v>
      </c>
      <c r="P786" s="2">
        <f t="shared" si="423"/>
        <v>2496</v>
      </c>
      <c r="Q786" s="2">
        <f t="shared" si="424"/>
        <v>249.6</v>
      </c>
      <c r="R786" s="2">
        <f t="shared" si="425"/>
        <v>73.959999999999994</v>
      </c>
      <c r="S786" s="2">
        <f t="shared" si="426"/>
        <v>7.4</v>
      </c>
      <c r="T786" s="2">
        <v>0</v>
      </c>
      <c r="U786" s="2">
        <v>0</v>
      </c>
      <c r="V786" s="2">
        <v>0</v>
      </c>
      <c r="W786" s="2">
        <v>0</v>
      </c>
      <c r="X786" s="2">
        <v>0</v>
      </c>
      <c r="Y786">
        <v>354001</v>
      </c>
      <c r="Z786" s="26" t="s">
        <v>710</v>
      </c>
      <c r="AA786" s="4">
        <v>1</v>
      </c>
      <c r="AB786" s="4">
        <v>0</v>
      </c>
      <c r="AC786" s="4"/>
      <c r="AD786" s="4">
        <f t="shared" si="416"/>
        <v>13193.878697999999</v>
      </c>
      <c r="AF786" s="1" t="str">
        <f t="shared" si="417"/>
        <v>3</v>
      </c>
      <c r="AG786">
        <v>10</v>
      </c>
      <c r="AH786">
        <f t="shared" si="427"/>
        <v>221.86666666666667</v>
      </c>
      <c r="AI786">
        <f t="shared" si="428"/>
        <v>22.186666666666667</v>
      </c>
      <c r="AJ786">
        <f t="shared" si="429"/>
        <v>2496</v>
      </c>
      <c r="AK786">
        <f t="shared" si="430"/>
        <v>249.60000000000002</v>
      </c>
      <c r="AL786">
        <f t="shared" si="431"/>
        <v>73.955555555555563</v>
      </c>
      <c r="AM786">
        <f t="shared" si="432"/>
        <v>7.395555555555557</v>
      </c>
      <c r="AN786">
        <f t="shared" si="433"/>
        <v>1.6</v>
      </c>
      <c r="AO786">
        <f t="shared" si="414"/>
        <v>2</v>
      </c>
      <c r="AP786">
        <f t="shared" si="434"/>
        <v>6</v>
      </c>
      <c r="AQ786">
        <v>103</v>
      </c>
      <c r="AR786">
        <v>1</v>
      </c>
    </row>
    <row r="787" spans="1:44" x14ac:dyDescent="0.15">
      <c r="A787">
        <f t="shared" si="415"/>
        <v>1103111</v>
      </c>
      <c r="B787" s="21" t="s">
        <v>262</v>
      </c>
      <c r="C787">
        <v>11</v>
      </c>
      <c r="D787">
        <v>2</v>
      </c>
      <c r="E787">
        <v>1</v>
      </c>
      <c r="F787" s="6" t="s">
        <v>393</v>
      </c>
      <c r="G787" s="6" t="s">
        <v>394</v>
      </c>
      <c r="H787" s="2">
        <v>0</v>
      </c>
      <c r="I787" s="2" t="s">
        <v>395</v>
      </c>
      <c r="J787" s="2">
        <f t="shared" si="418"/>
        <v>6</v>
      </c>
      <c r="K787" s="2">
        <f t="shared" si="419"/>
        <v>1.6</v>
      </c>
      <c r="L787" s="2">
        <f t="shared" si="420"/>
        <v>2</v>
      </c>
      <c r="M787" s="2">
        <v>10</v>
      </c>
      <c r="N787" s="2">
        <f t="shared" si="421"/>
        <v>238.93</v>
      </c>
      <c r="O787" s="2">
        <f t="shared" si="422"/>
        <v>23.89</v>
      </c>
      <c r="P787" s="2">
        <f t="shared" si="423"/>
        <v>2688</v>
      </c>
      <c r="Q787" s="2">
        <f t="shared" si="424"/>
        <v>268.8</v>
      </c>
      <c r="R787" s="2">
        <f t="shared" si="425"/>
        <v>79.64</v>
      </c>
      <c r="S787" s="2">
        <f t="shared" si="426"/>
        <v>7.96</v>
      </c>
      <c r="T787" s="2">
        <v>0</v>
      </c>
      <c r="U787" s="2">
        <v>0</v>
      </c>
      <c r="V787" s="2">
        <v>0</v>
      </c>
      <c r="W787" s="2">
        <v>0</v>
      </c>
      <c r="X787" s="2">
        <v>0</v>
      </c>
      <c r="Y787">
        <v>21</v>
      </c>
      <c r="Z787" s="26" t="s">
        <v>710</v>
      </c>
      <c r="AA787" s="4">
        <v>1</v>
      </c>
      <c r="AB787" s="4">
        <v>0</v>
      </c>
      <c r="AC787" s="4"/>
      <c r="AD787" s="4">
        <f t="shared" si="416"/>
        <v>15297.706115999998</v>
      </c>
      <c r="AF787" s="1" t="str">
        <f t="shared" si="417"/>
        <v>3</v>
      </c>
      <c r="AG787">
        <v>11</v>
      </c>
      <c r="AH787">
        <f t="shared" si="427"/>
        <v>238.93333333333331</v>
      </c>
      <c r="AI787">
        <f t="shared" si="428"/>
        <v>23.893333333333331</v>
      </c>
      <c r="AJ787">
        <f t="shared" si="429"/>
        <v>2688</v>
      </c>
      <c r="AK787">
        <f t="shared" si="430"/>
        <v>268.8</v>
      </c>
      <c r="AL787">
        <f t="shared" si="431"/>
        <v>79.644444444444431</v>
      </c>
      <c r="AM787">
        <f t="shared" si="432"/>
        <v>7.9644444444444433</v>
      </c>
      <c r="AN787">
        <f t="shared" si="433"/>
        <v>1.6</v>
      </c>
      <c r="AO787">
        <f t="shared" si="414"/>
        <v>2</v>
      </c>
      <c r="AP787">
        <f t="shared" si="434"/>
        <v>6</v>
      </c>
      <c r="AQ787">
        <v>103</v>
      </c>
      <c r="AR787">
        <v>1</v>
      </c>
    </row>
    <row r="788" spans="1:44" x14ac:dyDescent="0.15">
      <c r="A788">
        <f t="shared" si="415"/>
        <v>1103112</v>
      </c>
      <c r="B788" s="21" t="s">
        <v>265</v>
      </c>
      <c r="C788">
        <v>11</v>
      </c>
      <c r="D788">
        <v>2</v>
      </c>
      <c r="E788">
        <v>2</v>
      </c>
      <c r="F788" s="6" t="s">
        <v>396</v>
      </c>
      <c r="G788" s="6" t="s">
        <v>397</v>
      </c>
      <c r="H788" s="2">
        <v>0</v>
      </c>
      <c r="I788" s="2" t="s">
        <v>395</v>
      </c>
      <c r="J788" s="2">
        <f t="shared" si="418"/>
        <v>6</v>
      </c>
      <c r="K788" s="2">
        <f t="shared" si="419"/>
        <v>1.6</v>
      </c>
      <c r="L788" s="2">
        <f t="shared" si="420"/>
        <v>2</v>
      </c>
      <c r="M788" s="2">
        <v>10</v>
      </c>
      <c r="N788" s="2">
        <f t="shared" si="421"/>
        <v>238.93</v>
      </c>
      <c r="O788" s="2">
        <f t="shared" si="422"/>
        <v>23.89</v>
      </c>
      <c r="P788" s="2">
        <f t="shared" si="423"/>
        <v>2688</v>
      </c>
      <c r="Q788" s="2">
        <f t="shared" si="424"/>
        <v>268.8</v>
      </c>
      <c r="R788" s="2">
        <f t="shared" si="425"/>
        <v>79.64</v>
      </c>
      <c r="S788" s="2">
        <f t="shared" si="426"/>
        <v>7.96</v>
      </c>
      <c r="T788" s="2">
        <v>0</v>
      </c>
      <c r="U788" s="2">
        <v>0</v>
      </c>
      <c r="V788" s="2">
        <v>0</v>
      </c>
      <c r="W788" s="2">
        <v>0</v>
      </c>
      <c r="X788" s="2">
        <v>0</v>
      </c>
      <c r="Y788">
        <v>31</v>
      </c>
      <c r="Z788" s="26" t="s">
        <v>710</v>
      </c>
      <c r="AA788" s="4">
        <v>1</v>
      </c>
      <c r="AB788" s="4">
        <v>0</v>
      </c>
      <c r="AC788" s="4"/>
      <c r="AD788" s="4">
        <f t="shared" si="416"/>
        <v>15297.706115999998</v>
      </c>
      <c r="AF788" s="1" t="str">
        <f t="shared" si="417"/>
        <v>3</v>
      </c>
      <c r="AG788">
        <v>11</v>
      </c>
      <c r="AH788">
        <f t="shared" si="427"/>
        <v>238.93333333333331</v>
      </c>
      <c r="AI788">
        <f t="shared" si="428"/>
        <v>23.893333333333331</v>
      </c>
      <c r="AJ788">
        <f t="shared" si="429"/>
        <v>2688</v>
      </c>
      <c r="AK788">
        <f t="shared" si="430"/>
        <v>268.8</v>
      </c>
      <c r="AL788">
        <f t="shared" si="431"/>
        <v>79.644444444444431</v>
      </c>
      <c r="AM788">
        <f t="shared" si="432"/>
        <v>7.9644444444444433</v>
      </c>
      <c r="AN788">
        <f t="shared" si="433"/>
        <v>1.6</v>
      </c>
      <c r="AO788">
        <f t="shared" si="414"/>
        <v>2</v>
      </c>
      <c r="AP788">
        <f t="shared" si="434"/>
        <v>6</v>
      </c>
      <c r="AQ788">
        <v>103</v>
      </c>
      <c r="AR788">
        <v>1</v>
      </c>
    </row>
    <row r="789" spans="1:44" x14ac:dyDescent="0.15">
      <c r="A789">
        <f t="shared" si="415"/>
        <v>1103113</v>
      </c>
      <c r="B789" s="21" t="s">
        <v>268</v>
      </c>
      <c r="C789">
        <v>11</v>
      </c>
      <c r="D789">
        <v>2</v>
      </c>
      <c r="E789">
        <v>3</v>
      </c>
      <c r="F789" s="6" t="s">
        <v>398</v>
      </c>
      <c r="G789" s="6" t="s">
        <v>399</v>
      </c>
      <c r="H789" s="2">
        <v>0</v>
      </c>
      <c r="I789" s="2" t="s">
        <v>395</v>
      </c>
      <c r="J789" s="2">
        <f t="shared" si="418"/>
        <v>6</v>
      </c>
      <c r="K789" s="2">
        <f t="shared" si="419"/>
        <v>1.6</v>
      </c>
      <c r="L789" s="2">
        <f t="shared" si="420"/>
        <v>2</v>
      </c>
      <c r="M789" s="2">
        <v>10</v>
      </c>
      <c r="N789" s="2">
        <f t="shared" si="421"/>
        <v>238.93</v>
      </c>
      <c r="O789" s="2">
        <f t="shared" si="422"/>
        <v>23.89</v>
      </c>
      <c r="P789" s="2">
        <f t="shared" si="423"/>
        <v>2688</v>
      </c>
      <c r="Q789" s="2">
        <f t="shared" si="424"/>
        <v>268.8</v>
      </c>
      <c r="R789" s="2">
        <f t="shared" si="425"/>
        <v>79.64</v>
      </c>
      <c r="S789" s="2">
        <f t="shared" si="426"/>
        <v>7.96</v>
      </c>
      <c r="T789" s="2">
        <v>0</v>
      </c>
      <c r="U789" s="2">
        <v>0</v>
      </c>
      <c r="V789" s="2">
        <v>0</v>
      </c>
      <c r="W789" s="2">
        <v>0</v>
      </c>
      <c r="X789" s="2">
        <v>0</v>
      </c>
      <c r="Y789">
        <v>41</v>
      </c>
      <c r="Z789" s="26" t="s">
        <v>710</v>
      </c>
      <c r="AA789" s="4">
        <v>1</v>
      </c>
      <c r="AB789" s="4">
        <v>0</v>
      </c>
      <c r="AC789" s="4"/>
      <c r="AD789" s="4">
        <f t="shared" si="416"/>
        <v>15297.706115999998</v>
      </c>
      <c r="AF789" s="1" t="str">
        <f t="shared" si="417"/>
        <v>3</v>
      </c>
      <c r="AG789">
        <v>11</v>
      </c>
      <c r="AH789">
        <f t="shared" si="427"/>
        <v>238.93333333333331</v>
      </c>
      <c r="AI789">
        <f t="shared" si="428"/>
        <v>23.893333333333331</v>
      </c>
      <c r="AJ789">
        <f t="shared" si="429"/>
        <v>2688</v>
      </c>
      <c r="AK789">
        <f t="shared" si="430"/>
        <v>268.8</v>
      </c>
      <c r="AL789">
        <f t="shared" si="431"/>
        <v>79.644444444444431</v>
      </c>
      <c r="AM789">
        <f t="shared" si="432"/>
        <v>7.9644444444444433</v>
      </c>
      <c r="AN789">
        <f t="shared" si="433"/>
        <v>1.6</v>
      </c>
      <c r="AO789">
        <f t="shared" si="414"/>
        <v>2</v>
      </c>
      <c r="AP789">
        <f t="shared" si="434"/>
        <v>6</v>
      </c>
      <c r="AQ789">
        <v>103</v>
      </c>
      <c r="AR789">
        <v>1</v>
      </c>
    </row>
    <row r="790" spans="1:44" x14ac:dyDescent="0.15">
      <c r="A790">
        <f t="shared" si="415"/>
        <v>1103114</v>
      </c>
      <c r="B790" s="21" t="s">
        <v>271</v>
      </c>
      <c r="C790">
        <v>11</v>
      </c>
      <c r="D790">
        <v>2</v>
      </c>
      <c r="E790">
        <v>4</v>
      </c>
      <c r="F790" s="6" t="s">
        <v>400</v>
      </c>
      <c r="G790" s="6" t="s">
        <v>401</v>
      </c>
      <c r="H790" s="2">
        <v>0</v>
      </c>
      <c r="I790" s="2" t="s">
        <v>395</v>
      </c>
      <c r="J790" s="2">
        <f t="shared" si="418"/>
        <v>6</v>
      </c>
      <c r="K790" s="2">
        <f t="shared" si="419"/>
        <v>1.6</v>
      </c>
      <c r="L790" s="2">
        <f t="shared" si="420"/>
        <v>2</v>
      </c>
      <c r="M790" s="2">
        <v>10</v>
      </c>
      <c r="N790" s="2">
        <f t="shared" si="421"/>
        <v>238.93</v>
      </c>
      <c r="O790" s="2">
        <f t="shared" si="422"/>
        <v>23.89</v>
      </c>
      <c r="P790" s="2">
        <f t="shared" si="423"/>
        <v>2688</v>
      </c>
      <c r="Q790" s="2">
        <f t="shared" si="424"/>
        <v>268.8</v>
      </c>
      <c r="R790" s="2">
        <f t="shared" si="425"/>
        <v>79.64</v>
      </c>
      <c r="S790" s="2">
        <f t="shared" si="426"/>
        <v>7.96</v>
      </c>
      <c r="T790" s="2">
        <v>0</v>
      </c>
      <c r="U790" s="2">
        <v>0</v>
      </c>
      <c r="V790" s="2">
        <v>0</v>
      </c>
      <c r="W790" s="2">
        <v>0</v>
      </c>
      <c r="X790" s="2">
        <v>0</v>
      </c>
      <c r="Y790">
        <v>554021</v>
      </c>
      <c r="Z790" s="26" t="s">
        <v>710</v>
      </c>
      <c r="AA790" s="4">
        <v>1</v>
      </c>
      <c r="AB790" s="4">
        <v>0</v>
      </c>
      <c r="AC790" s="4"/>
      <c r="AD790" s="4">
        <f t="shared" si="416"/>
        <v>15297.706115999998</v>
      </c>
      <c r="AF790" s="1" t="str">
        <f t="shared" si="417"/>
        <v>3</v>
      </c>
      <c r="AG790">
        <v>11</v>
      </c>
      <c r="AH790">
        <f t="shared" si="427"/>
        <v>238.93333333333331</v>
      </c>
      <c r="AI790">
        <f t="shared" si="428"/>
        <v>23.893333333333331</v>
      </c>
      <c r="AJ790">
        <f t="shared" si="429"/>
        <v>2688</v>
      </c>
      <c r="AK790">
        <f t="shared" si="430"/>
        <v>268.8</v>
      </c>
      <c r="AL790">
        <f t="shared" si="431"/>
        <v>79.644444444444431</v>
      </c>
      <c r="AM790">
        <f t="shared" si="432"/>
        <v>7.9644444444444433</v>
      </c>
      <c r="AN790">
        <f t="shared" si="433"/>
        <v>1.6</v>
      </c>
      <c r="AO790">
        <f t="shared" si="414"/>
        <v>2</v>
      </c>
      <c r="AP790">
        <f t="shared" si="434"/>
        <v>6</v>
      </c>
      <c r="AQ790">
        <v>103</v>
      </c>
      <c r="AR790">
        <v>1</v>
      </c>
    </row>
    <row r="791" spans="1:44" x14ac:dyDescent="0.15">
      <c r="A791">
        <f t="shared" si="415"/>
        <v>1103115</v>
      </c>
      <c r="B791" s="21" t="s">
        <v>274</v>
      </c>
      <c r="C791">
        <v>11</v>
      </c>
      <c r="D791">
        <v>2</v>
      </c>
      <c r="E791">
        <v>5</v>
      </c>
      <c r="F791" s="6" t="s">
        <v>402</v>
      </c>
      <c r="G791" s="6" t="s">
        <v>403</v>
      </c>
      <c r="H791">
        <v>0</v>
      </c>
      <c r="I791" s="2" t="s">
        <v>395</v>
      </c>
      <c r="J791" s="2">
        <f t="shared" si="418"/>
        <v>6</v>
      </c>
      <c r="K791" s="2">
        <f t="shared" si="419"/>
        <v>1.6</v>
      </c>
      <c r="L791" s="2">
        <f t="shared" si="420"/>
        <v>2</v>
      </c>
      <c r="M791" s="2">
        <v>10</v>
      </c>
      <c r="N791" s="2">
        <f t="shared" si="421"/>
        <v>238.93</v>
      </c>
      <c r="O791" s="2">
        <f t="shared" si="422"/>
        <v>23.89</v>
      </c>
      <c r="P791" s="2">
        <f t="shared" si="423"/>
        <v>2688</v>
      </c>
      <c r="Q791" s="2">
        <f t="shared" si="424"/>
        <v>268.8</v>
      </c>
      <c r="R791" s="2">
        <f t="shared" si="425"/>
        <v>79.64</v>
      </c>
      <c r="S791" s="2">
        <f t="shared" si="426"/>
        <v>7.96</v>
      </c>
      <c r="T791" s="2">
        <v>0</v>
      </c>
      <c r="U791" s="2">
        <v>0</v>
      </c>
      <c r="V791" s="2">
        <v>0</v>
      </c>
      <c r="W791" s="2">
        <v>0</v>
      </c>
      <c r="X791" s="2">
        <v>0</v>
      </c>
      <c r="Y791">
        <v>354001</v>
      </c>
      <c r="Z791" s="26" t="s">
        <v>710</v>
      </c>
      <c r="AA791" s="4">
        <v>1</v>
      </c>
      <c r="AB791" s="4">
        <v>0</v>
      </c>
      <c r="AC791" s="4"/>
      <c r="AD791" s="4">
        <f t="shared" si="416"/>
        <v>15297.706115999998</v>
      </c>
      <c r="AF791" s="1" t="str">
        <f t="shared" si="417"/>
        <v>3</v>
      </c>
      <c r="AG791">
        <v>11</v>
      </c>
      <c r="AH791">
        <f t="shared" si="427"/>
        <v>238.93333333333331</v>
      </c>
      <c r="AI791">
        <f t="shared" si="428"/>
        <v>23.893333333333331</v>
      </c>
      <c r="AJ791">
        <f t="shared" si="429"/>
        <v>2688</v>
      </c>
      <c r="AK791">
        <f t="shared" si="430"/>
        <v>268.8</v>
      </c>
      <c r="AL791">
        <f t="shared" si="431"/>
        <v>79.644444444444431</v>
      </c>
      <c r="AM791">
        <f t="shared" si="432"/>
        <v>7.9644444444444433</v>
      </c>
      <c r="AN791">
        <f t="shared" si="433"/>
        <v>1.6</v>
      </c>
      <c r="AO791">
        <f t="shared" si="414"/>
        <v>2</v>
      </c>
      <c r="AP791">
        <f t="shared" si="434"/>
        <v>6</v>
      </c>
      <c r="AQ791">
        <v>103</v>
      </c>
      <c r="AR791">
        <v>1</v>
      </c>
    </row>
    <row r="792" spans="1:44" x14ac:dyDescent="0.15">
      <c r="A792">
        <f t="shared" si="415"/>
        <v>1103121</v>
      </c>
      <c r="B792" s="21" t="s">
        <v>262</v>
      </c>
      <c r="C792">
        <v>12</v>
      </c>
      <c r="D792">
        <v>2</v>
      </c>
      <c r="E792">
        <v>1</v>
      </c>
      <c r="F792" s="6" t="s">
        <v>393</v>
      </c>
      <c r="G792" s="6" t="s">
        <v>394</v>
      </c>
      <c r="H792" s="2">
        <v>0</v>
      </c>
      <c r="I792" s="2" t="s">
        <v>395</v>
      </c>
      <c r="J792" s="2">
        <f t="shared" si="418"/>
        <v>6</v>
      </c>
      <c r="K792" s="2">
        <f t="shared" si="419"/>
        <v>1.6</v>
      </c>
      <c r="L792" s="2">
        <f t="shared" si="420"/>
        <v>2</v>
      </c>
      <c r="M792" s="2">
        <v>10</v>
      </c>
      <c r="N792" s="2">
        <f t="shared" si="421"/>
        <v>256</v>
      </c>
      <c r="O792" s="2">
        <f t="shared" si="422"/>
        <v>25.6</v>
      </c>
      <c r="P792" s="2">
        <f t="shared" si="423"/>
        <v>2880</v>
      </c>
      <c r="Q792" s="2">
        <f t="shared" si="424"/>
        <v>288</v>
      </c>
      <c r="R792" s="2">
        <f t="shared" si="425"/>
        <v>85.33</v>
      </c>
      <c r="S792" s="2">
        <f t="shared" si="426"/>
        <v>8.5299999999999994</v>
      </c>
      <c r="T792" s="2">
        <v>0</v>
      </c>
      <c r="U792" s="2">
        <v>0</v>
      </c>
      <c r="V792" s="2">
        <v>0</v>
      </c>
      <c r="W792" s="2">
        <v>0</v>
      </c>
      <c r="X792" s="2">
        <v>0</v>
      </c>
      <c r="Y792">
        <v>21</v>
      </c>
      <c r="Z792" s="26" t="s">
        <v>710</v>
      </c>
      <c r="AA792" s="4">
        <v>1</v>
      </c>
      <c r="AB792" s="4">
        <v>0</v>
      </c>
      <c r="AC792" s="4"/>
      <c r="AD792" s="4">
        <f t="shared" si="416"/>
        <v>17563.392</v>
      </c>
      <c r="AF792" s="1" t="str">
        <f t="shared" si="417"/>
        <v>3</v>
      </c>
      <c r="AG792">
        <v>12</v>
      </c>
      <c r="AH792">
        <f t="shared" si="427"/>
        <v>256</v>
      </c>
      <c r="AI792">
        <f t="shared" si="428"/>
        <v>25.6</v>
      </c>
      <c r="AJ792">
        <f t="shared" si="429"/>
        <v>2880</v>
      </c>
      <c r="AK792">
        <f t="shared" si="430"/>
        <v>288</v>
      </c>
      <c r="AL792">
        <f t="shared" si="431"/>
        <v>85.333333333333329</v>
      </c>
      <c r="AM792">
        <f t="shared" si="432"/>
        <v>8.5333333333333332</v>
      </c>
      <c r="AN792">
        <f t="shared" si="433"/>
        <v>1.6</v>
      </c>
      <c r="AO792">
        <f t="shared" si="414"/>
        <v>2</v>
      </c>
      <c r="AP792">
        <f t="shared" si="434"/>
        <v>6</v>
      </c>
      <c r="AQ792">
        <v>103</v>
      </c>
      <c r="AR792">
        <v>1</v>
      </c>
    </row>
    <row r="793" spans="1:44" x14ac:dyDescent="0.15">
      <c r="A793">
        <f t="shared" si="415"/>
        <v>1103122</v>
      </c>
      <c r="B793" s="21" t="s">
        <v>265</v>
      </c>
      <c r="C793">
        <v>12</v>
      </c>
      <c r="D793">
        <v>2</v>
      </c>
      <c r="E793">
        <v>2</v>
      </c>
      <c r="F793" s="6" t="s">
        <v>396</v>
      </c>
      <c r="G793" s="6" t="s">
        <v>397</v>
      </c>
      <c r="H793" s="2">
        <v>0</v>
      </c>
      <c r="I793" s="2" t="s">
        <v>395</v>
      </c>
      <c r="J793" s="2">
        <f t="shared" si="418"/>
        <v>6</v>
      </c>
      <c r="K793" s="2">
        <f t="shared" si="419"/>
        <v>1.6</v>
      </c>
      <c r="L793" s="2">
        <f t="shared" si="420"/>
        <v>2</v>
      </c>
      <c r="M793" s="2">
        <v>10</v>
      </c>
      <c r="N793" s="2">
        <f t="shared" si="421"/>
        <v>256</v>
      </c>
      <c r="O793" s="2">
        <f t="shared" si="422"/>
        <v>25.6</v>
      </c>
      <c r="P793" s="2">
        <f t="shared" si="423"/>
        <v>2880</v>
      </c>
      <c r="Q793" s="2">
        <f t="shared" si="424"/>
        <v>288</v>
      </c>
      <c r="R793" s="2">
        <f t="shared" si="425"/>
        <v>85.33</v>
      </c>
      <c r="S793" s="2">
        <f t="shared" si="426"/>
        <v>8.5299999999999994</v>
      </c>
      <c r="T793" s="2">
        <v>0</v>
      </c>
      <c r="U793" s="2">
        <v>0</v>
      </c>
      <c r="V793" s="2">
        <v>0</v>
      </c>
      <c r="W793" s="2">
        <v>0</v>
      </c>
      <c r="X793" s="2">
        <v>0</v>
      </c>
      <c r="Y793">
        <v>31</v>
      </c>
      <c r="Z793" s="26" t="s">
        <v>710</v>
      </c>
      <c r="AA793" s="4">
        <v>1</v>
      </c>
      <c r="AB793" s="4">
        <v>0</v>
      </c>
      <c r="AC793" s="4"/>
      <c r="AD793" s="4">
        <f t="shared" si="416"/>
        <v>17563.392</v>
      </c>
      <c r="AF793" s="1" t="str">
        <f t="shared" si="417"/>
        <v>3</v>
      </c>
      <c r="AG793">
        <v>12</v>
      </c>
      <c r="AH793">
        <f t="shared" si="427"/>
        <v>256</v>
      </c>
      <c r="AI793">
        <f t="shared" si="428"/>
        <v>25.6</v>
      </c>
      <c r="AJ793">
        <f t="shared" si="429"/>
        <v>2880</v>
      </c>
      <c r="AK793">
        <f t="shared" si="430"/>
        <v>288</v>
      </c>
      <c r="AL793">
        <f t="shared" si="431"/>
        <v>85.333333333333329</v>
      </c>
      <c r="AM793">
        <f t="shared" si="432"/>
        <v>8.5333333333333332</v>
      </c>
      <c r="AN793">
        <f t="shared" si="433"/>
        <v>1.6</v>
      </c>
      <c r="AO793">
        <f t="shared" si="414"/>
        <v>2</v>
      </c>
      <c r="AP793">
        <f t="shared" si="434"/>
        <v>6</v>
      </c>
      <c r="AQ793">
        <v>103</v>
      </c>
      <c r="AR793">
        <v>1</v>
      </c>
    </row>
    <row r="794" spans="1:44" x14ac:dyDescent="0.15">
      <c r="A794">
        <f t="shared" si="415"/>
        <v>1103123</v>
      </c>
      <c r="B794" s="21" t="s">
        <v>268</v>
      </c>
      <c r="C794">
        <v>12</v>
      </c>
      <c r="D794">
        <v>2</v>
      </c>
      <c r="E794">
        <v>3</v>
      </c>
      <c r="F794" s="6" t="s">
        <v>398</v>
      </c>
      <c r="G794" s="6" t="s">
        <v>399</v>
      </c>
      <c r="H794" s="2">
        <v>0</v>
      </c>
      <c r="I794" s="2" t="s">
        <v>395</v>
      </c>
      <c r="J794" s="2">
        <f t="shared" si="418"/>
        <v>6</v>
      </c>
      <c r="K794" s="2">
        <f t="shared" si="419"/>
        <v>1.6</v>
      </c>
      <c r="L794" s="2">
        <f t="shared" si="420"/>
        <v>2</v>
      </c>
      <c r="M794" s="2">
        <v>10</v>
      </c>
      <c r="N794" s="2">
        <f t="shared" si="421"/>
        <v>256</v>
      </c>
      <c r="O794" s="2">
        <f t="shared" si="422"/>
        <v>25.6</v>
      </c>
      <c r="P794" s="2">
        <f t="shared" si="423"/>
        <v>2880</v>
      </c>
      <c r="Q794" s="2">
        <f t="shared" si="424"/>
        <v>288</v>
      </c>
      <c r="R794" s="2">
        <f t="shared" si="425"/>
        <v>85.33</v>
      </c>
      <c r="S794" s="2">
        <f t="shared" si="426"/>
        <v>8.5299999999999994</v>
      </c>
      <c r="T794" s="2">
        <v>0</v>
      </c>
      <c r="U794" s="2">
        <v>0</v>
      </c>
      <c r="V794" s="2">
        <v>0</v>
      </c>
      <c r="W794" s="2">
        <v>0</v>
      </c>
      <c r="X794" s="2">
        <v>0</v>
      </c>
      <c r="Y794">
        <v>41</v>
      </c>
      <c r="Z794" s="26" t="s">
        <v>710</v>
      </c>
      <c r="AA794" s="4">
        <v>1</v>
      </c>
      <c r="AB794" s="4">
        <v>0</v>
      </c>
      <c r="AC794" s="4"/>
      <c r="AD794" s="4">
        <f t="shared" si="416"/>
        <v>17563.392</v>
      </c>
      <c r="AF794" s="1" t="str">
        <f t="shared" si="417"/>
        <v>3</v>
      </c>
      <c r="AG794">
        <v>12</v>
      </c>
      <c r="AH794">
        <f t="shared" si="427"/>
        <v>256</v>
      </c>
      <c r="AI794">
        <f t="shared" si="428"/>
        <v>25.6</v>
      </c>
      <c r="AJ794">
        <f t="shared" si="429"/>
        <v>2880</v>
      </c>
      <c r="AK794">
        <f t="shared" si="430"/>
        <v>288</v>
      </c>
      <c r="AL794">
        <f t="shared" si="431"/>
        <v>85.333333333333329</v>
      </c>
      <c r="AM794">
        <f t="shared" si="432"/>
        <v>8.5333333333333332</v>
      </c>
      <c r="AN794">
        <f t="shared" si="433"/>
        <v>1.6</v>
      </c>
      <c r="AO794">
        <f t="shared" si="414"/>
        <v>2</v>
      </c>
      <c r="AP794">
        <f t="shared" si="434"/>
        <v>6</v>
      </c>
      <c r="AQ794">
        <v>103</v>
      </c>
      <c r="AR794">
        <v>1</v>
      </c>
    </row>
    <row r="795" spans="1:44" x14ac:dyDescent="0.15">
      <c r="A795">
        <f t="shared" si="415"/>
        <v>1103124</v>
      </c>
      <c r="B795" s="21" t="s">
        <v>271</v>
      </c>
      <c r="C795">
        <v>12</v>
      </c>
      <c r="D795">
        <v>2</v>
      </c>
      <c r="E795">
        <v>4</v>
      </c>
      <c r="F795" s="6" t="s">
        <v>400</v>
      </c>
      <c r="G795" s="6" t="s">
        <v>401</v>
      </c>
      <c r="H795" s="2">
        <v>0</v>
      </c>
      <c r="I795" s="2" t="s">
        <v>395</v>
      </c>
      <c r="J795" s="2">
        <f t="shared" si="418"/>
        <v>6</v>
      </c>
      <c r="K795" s="2">
        <f t="shared" si="419"/>
        <v>1.6</v>
      </c>
      <c r="L795" s="2">
        <f t="shared" si="420"/>
        <v>2</v>
      </c>
      <c r="M795" s="2">
        <v>10</v>
      </c>
      <c r="N795" s="2">
        <f t="shared" si="421"/>
        <v>256</v>
      </c>
      <c r="O795" s="2">
        <f t="shared" si="422"/>
        <v>25.6</v>
      </c>
      <c r="P795" s="2">
        <f t="shared" si="423"/>
        <v>2880</v>
      </c>
      <c r="Q795" s="2">
        <f t="shared" si="424"/>
        <v>288</v>
      </c>
      <c r="R795" s="2">
        <f t="shared" si="425"/>
        <v>85.33</v>
      </c>
      <c r="S795" s="2">
        <f t="shared" si="426"/>
        <v>8.5299999999999994</v>
      </c>
      <c r="T795" s="2">
        <v>0</v>
      </c>
      <c r="U795" s="2">
        <v>0</v>
      </c>
      <c r="V795" s="2">
        <v>0</v>
      </c>
      <c r="W795" s="2">
        <v>0</v>
      </c>
      <c r="X795" s="2">
        <v>0</v>
      </c>
      <c r="Y795">
        <v>554021</v>
      </c>
      <c r="Z795" s="26" t="s">
        <v>710</v>
      </c>
      <c r="AA795" s="4">
        <v>1</v>
      </c>
      <c r="AB795" s="4">
        <v>0</v>
      </c>
      <c r="AC795" s="4"/>
      <c r="AD795" s="4">
        <f t="shared" si="416"/>
        <v>17563.392</v>
      </c>
      <c r="AF795" s="1" t="str">
        <f t="shared" si="417"/>
        <v>3</v>
      </c>
      <c r="AG795">
        <v>12</v>
      </c>
      <c r="AH795">
        <f t="shared" si="427"/>
        <v>256</v>
      </c>
      <c r="AI795">
        <f t="shared" si="428"/>
        <v>25.6</v>
      </c>
      <c r="AJ795">
        <f t="shared" si="429"/>
        <v>2880</v>
      </c>
      <c r="AK795">
        <f t="shared" si="430"/>
        <v>288</v>
      </c>
      <c r="AL795">
        <f t="shared" si="431"/>
        <v>85.333333333333329</v>
      </c>
      <c r="AM795">
        <f t="shared" si="432"/>
        <v>8.5333333333333332</v>
      </c>
      <c r="AN795">
        <f t="shared" si="433"/>
        <v>1.6</v>
      </c>
      <c r="AO795">
        <f t="shared" si="414"/>
        <v>2</v>
      </c>
      <c r="AP795">
        <f t="shared" si="434"/>
        <v>6</v>
      </c>
      <c r="AQ795">
        <v>103</v>
      </c>
      <c r="AR795">
        <v>1</v>
      </c>
    </row>
    <row r="796" spans="1:44" x14ac:dyDescent="0.15">
      <c r="A796">
        <f t="shared" si="415"/>
        <v>1103125</v>
      </c>
      <c r="B796" s="21" t="s">
        <v>274</v>
      </c>
      <c r="C796">
        <v>12</v>
      </c>
      <c r="D796">
        <v>2</v>
      </c>
      <c r="E796">
        <v>5</v>
      </c>
      <c r="F796" s="6" t="s">
        <v>402</v>
      </c>
      <c r="G796" s="6" t="s">
        <v>403</v>
      </c>
      <c r="H796">
        <v>0</v>
      </c>
      <c r="I796" s="2" t="s">
        <v>395</v>
      </c>
      <c r="J796" s="2">
        <f t="shared" si="418"/>
        <v>6</v>
      </c>
      <c r="K796" s="2">
        <f t="shared" si="419"/>
        <v>1.6</v>
      </c>
      <c r="L796" s="2">
        <f t="shared" si="420"/>
        <v>2</v>
      </c>
      <c r="M796" s="2">
        <v>10</v>
      </c>
      <c r="N796" s="2">
        <f t="shared" si="421"/>
        <v>256</v>
      </c>
      <c r="O796" s="2">
        <f t="shared" si="422"/>
        <v>25.6</v>
      </c>
      <c r="P796" s="2">
        <f t="shared" si="423"/>
        <v>2880</v>
      </c>
      <c r="Q796" s="2">
        <f t="shared" si="424"/>
        <v>288</v>
      </c>
      <c r="R796" s="2">
        <f t="shared" si="425"/>
        <v>85.33</v>
      </c>
      <c r="S796" s="2">
        <f t="shared" si="426"/>
        <v>8.5299999999999994</v>
      </c>
      <c r="T796" s="2">
        <v>0</v>
      </c>
      <c r="U796" s="2">
        <v>0</v>
      </c>
      <c r="V796" s="2">
        <v>0</v>
      </c>
      <c r="W796" s="2">
        <v>0</v>
      </c>
      <c r="X796" s="2">
        <v>0</v>
      </c>
      <c r="Y796">
        <v>354001</v>
      </c>
      <c r="Z796" s="26" t="s">
        <v>710</v>
      </c>
      <c r="AA796" s="4">
        <v>1</v>
      </c>
      <c r="AB796" s="4">
        <v>0</v>
      </c>
      <c r="AC796" s="4"/>
      <c r="AD796" s="4">
        <f t="shared" si="416"/>
        <v>17563.392</v>
      </c>
      <c r="AF796" s="1" t="str">
        <f t="shared" si="417"/>
        <v>3</v>
      </c>
      <c r="AG796">
        <v>12</v>
      </c>
      <c r="AH796">
        <f t="shared" si="427"/>
        <v>256</v>
      </c>
      <c r="AI796">
        <f t="shared" si="428"/>
        <v>25.6</v>
      </c>
      <c r="AJ796">
        <f t="shared" si="429"/>
        <v>2880</v>
      </c>
      <c r="AK796">
        <f t="shared" si="430"/>
        <v>288</v>
      </c>
      <c r="AL796">
        <f t="shared" si="431"/>
        <v>85.333333333333329</v>
      </c>
      <c r="AM796">
        <f t="shared" si="432"/>
        <v>8.5333333333333332</v>
      </c>
      <c r="AN796">
        <f t="shared" si="433"/>
        <v>1.6</v>
      </c>
      <c r="AO796">
        <f t="shared" si="414"/>
        <v>2</v>
      </c>
      <c r="AP796">
        <f t="shared" si="434"/>
        <v>6</v>
      </c>
      <c r="AQ796">
        <v>103</v>
      </c>
      <c r="AR796">
        <v>1</v>
      </c>
    </row>
    <row r="797" spans="1:44" x14ac:dyDescent="0.15">
      <c r="A797">
        <v>2</v>
      </c>
      <c r="B797" s="27" t="s">
        <v>478</v>
      </c>
      <c r="C797">
        <v>13</v>
      </c>
      <c r="D797">
        <v>2</v>
      </c>
      <c r="E797">
        <v>1</v>
      </c>
      <c r="F797" s="6" t="s">
        <v>404</v>
      </c>
      <c r="G797" s="6" t="s">
        <v>394</v>
      </c>
      <c r="H797" s="2">
        <v>0</v>
      </c>
      <c r="I797" s="2" t="s">
        <v>395</v>
      </c>
      <c r="J797" s="2">
        <f t="shared" si="418"/>
        <v>6</v>
      </c>
      <c r="K797" s="2">
        <f t="shared" si="419"/>
        <v>1.6</v>
      </c>
      <c r="L797" s="2">
        <f t="shared" si="420"/>
        <v>2</v>
      </c>
      <c r="M797" s="2">
        <v>10</v>
      </c>
      <c r="N797" s="2">
        <f t="shared" si="421"/>
        <v>273.07</v>
      </c>
      <c r="O797" s="2">
        <f t="shared" si="422"/>
        <v>27.31</v>
      </c>
      <c r="P797" s="2">
        <f t="shared" si="423"/>
        <v>3072</v>
      </c>
      <c r="Q797" s="2">
        <f t="shared" si="424"/>
        <v>307.2</v>
      </c>
      <c r="R797" s="2">
        <f t="shared" si="425"/>
        <v>91.02</v>
      </c>
      <c r="S797" s="2">
        <f t="shared" si="426"/>
        <v>9.1</v>
      </c>
      <c r="T797" s="2">
        <v>0</v>
      </c>
      <c r="U797" s="2">
        <v>0</v>
      </c>
      <c r="V797" s="2">
        <v>0</v>
      </c>
      <c r="W797" s="2">
        <v>0</v>
      </c>
      <c r="X797" s="2">
        <v>0</v>
      </c>
      <c r="Y797">
        <v>21</v>
      </c>
      <c r="Z797" s="26" t="s">
        <v>483</v>
      </c>
      <c r="AA797" s="4">
        <v>1</v>
      </c>
      <c r="AB797" s="4">
        <v>0</v>
      </c>
      <c r="AC797" s="4"/>
      <c r="AD797" s="4">
        <f t="shared" si="416"/>
        <v>19985.476896</v>
      </c>
      <c r="AF797" s="1" t="str">
        <f t="shared" si="417"/>
        <v>3</v>
      </c>
      <c r="AG797">
        <v>13</v>
      </c>
      <c r="AH797">
        <f t="shared" si="427"/>
        <v>273.06666666666666</v>
      </c>
      <c r="AI797">
        <f t="shared" si="428"/>
        <v>27.306666666666668</v>
      </c>
      <c r="AJ797">
        <f t="shared" si="429"/>
        <v>3072</v>
      </c>
      <c r="AK797">
        <f t="shared" si="430"/>
        <v>307.20000000000005</v>
      </c>
      <c r="AL797">
        <f t="shared" si="431"/>
        <v>91.022222222222226</v>
      </c>
      <c r="AM797">
        <f t="shared" si="432"/>
        <v>9.1022222222222222</v>
      </c>
      <c r="AN797">
        <f t="shared" si="433"/>
        <v>1.6</v>
      </c>
      <c r="AO797">
        <f t="shared" si="414"/>
        <v>2</v>
      </c>
      <c r="AP797">
        <f t="shared" si="434"/>
        <v>6</v>
      </c>
      <c r="AQ797">
        <v>103</v>
      </c>
      <c r="AR797">
        <v>1</v>
      </c>
    </row>
    <row r="798" spans="1:44" x14ac:dyDescent="0.15">
      <c r="A798">
        <v>3</v>
      </c>
      <c r="B798" s="27" t="s">
        <v>479</v>
      </c>
      <c r="C798">
        <v>13</v>
      </c>
      <c r="D798">
        <v>2</v>
      </c>
      <c r="E798">
        <v>2</v>
      </c>
      <c r="F798" s="6" t="s">
        <v>405</v>
      </c>
      <c r="G798" s="6" t="s">
        <v>397</v>
      </c>
      <c r="H798" s="2">
        <v>0</v>
      </c>
      <c r="I798" s="2" t="s">
        <v>395</v>
      </c>
      <c r="J798" s="2">
        <f t="shared" si="418"/>
        <v>6</v>
      </c>
      <c r="K798" s="2">
        <f t="shared" si="419"/>
        <v>1.6</v>
      </c>
      <c r="L798" s="2">
        <f t="shared" si="420"/>
        <v>2</v>
      </c>
      <c r="M798" s="2">
        <v>10</v>
      </c>
      <c r="N798" s="2">
        <f t="shared" si="421"/>
        <v>273.07</v>
      </c>
      <c r="O798" s="2">
        <f t="shared" si="422"/>
        <v>27.31</v>
      </c>
      <c r="P798" s="2">
        <f t="shared" si="423"/>
        <v>3072</v>
      </c>
      <c r="Q798" s="2">
        <f t="shared" si="424"/>
        <v>307.2</v>
      </c>
      <c r="R798" s="2">
        <f t="shared" si="425"/>
        <v>91.02</v>
      </c>
      <c r="S798" s="2">
        <f t="shared" si="426"/>
        <v>9.1</v>
      </c>
      <c r="T798" s="2">
        <v>0</v>
      </c>
      <c r="U798" s="2">
        <v>0</v>
      </c>
      <c r="V798" s="2">
        <v>0</v>
      </c>
      <c r="W798" s="2">
        <v>0</v>
      </c>
      <c r="X798" s="2">
        <v>0</v>
      </c>
      <c r="Y798">
        <v>31</v>
      </c>
      <c r="Z798" s="26" t="s">
        <v>484</v>
      </c>
      <c r="AA798" s="4">
        <v>1</v>
      </c>
      <c r="AB798" s="4">
        <v>0</v>
      </c>
      <c r="AC798" s="4"/>
      <c r="AD798" s="4">
        <f t="shared" si="416"/>
        <v>19985.476896</v>
      </c>
      <c r="AF798" s="1" t="str">
        <f t="shared" si="417"/>
        <v>3</v>
      </c>
      <c r="AG798">
        <v>13</v>
      </c>
      <c r="AH798">
        <f t="shared" si="427"/>
        <v>273.06666666666666</v>
      </c>
      <c r="AI798">
        <f t="shared" si="428"/>
        <v>27.306666666666668</v>
      </c>
      <c r="AJ798">
        <f t="shared" si="429"/>
        <v>3072</v>
      </c>
      <c r="AK798">
        <f t="shared" si="430"/>
        <v>307.20000000000005</v>
      </c>
      <c r="AL798">
        <f t="shared" si="431"/>
        <v>91.022222222222226</v>
      </c>
      <c r="AM798">
        <f t="shared" si="432"/>
        <v>9.1022222222222222</v>
      </c>
      <c r="AN798">
        <f t="shared" si="433"/>
        <v>1.6</v>
      </c>
      <c r="AO798">
        <f t="shared" si="414"/>
        <v>2</v>
      </c>
      <c r="AP798">
        <f t="shared" si="434"/>
        <v>6</v>
      </c>
      <c r="AQ798">
        <v>103</v>
      </c>
      <c r="AR798">
        <v>1</v>
      </c>
    </row>
    <row r="799" spans="1:44" x14ac:dyDescent="0.15">
      <c r="A799">
        <v>4</v>
      </c>
      <c r="B799" s="27" t="s">
        <v>480</v>
      </c>
      <c r="C799">
        <v>13</v>
      </c>
      <c r="D799">
        <v>2</v>
      </c>
      <c r="E799">
        <v>3</v>
      </c>
      <c r="F799" s="6" t="s">
        <v>406</v>
      </c>
      <c r="G799" s="6" t="s">
        <v>399</v>
      </c>
      <c r="H799" s="2">
        <v>0</v>
      </c>
      <c r="I799" s="2" t="s">
        <v>395</v>
      </c>
      <c r="J799" s="2">
        <f t="shared" si="418"/>
        <v>6</v>
      </c>
      <c r="K799" s="2">
        <f t="shared" si="419"/>
        <v>1.6</v>
      </c>
      <c r="L799" s="2">
        <f t="shared" si="420"/>
        <v>2</v>
      </c>
      <c r="M799" s="2">
        <v>10</v>
      </c>
      <c r="N799" s="2">
        <f t="shared" si="421"/>
        <v>273.07</v>
      </c>
      <c r="O799" s="2">
        <f t="shared" si="422"/>
        <v>27.31</v>
      </c>
      <c r="P799" s="2">
        <f t="shared" si="423"/>
        <v>3072</v>
      </c>
      <c r="Q799" s="2">
        <f t="shared" si="424"/>
        <v>307.2</v>
      </c>
      <c r="R799" s="2">
        <f t="shared" si="425"/>
        <v>91.02</v>
      </c>
      <c r="S799" s="2">
        <f t="shared" si="426"/>
        <v>9.1</v>
      </c>
      <c r="T799" s="2">
        <v>0</v>
      </c>
      <c r="U799" s="2">
        <v>0</v>
      </c>
      <c r="V799" s="2">
        <v>0</v>
      </c>
      <c r="W799" s="2">
        <v>0</v>
      </c>
      <c r="X799" s="2">
        <v>0</v>
      </c>
      <c r="Y799">
        <v>41</v>
      </c>
      <c r="Z799" s="26" t="s">
        <v>485</v>
      </c>
      <c r="AA799" s="4">
        <v>1</v>
      </c>
      <c r="AB799" s="4">
        <v>0</v>
      </c>
      <c r="AC799" s="4"/>
      <c r="AD799" s="4">
        <f t="shared" si="416"/>
        <v>19985.476896</v>
      </c>
      <c r="AF799" s="1" t="str">
        <f t="shared" si="417"/>
        <v>3</v>
      </c>
      <c r="AG799">
        <v>13</v>
      </c>
      <c r="AH799">
        <f t="shared" si="427"/>
        <v>273.06666666666666</v>
      </c>
      <c r="AI799">
        <f t="shared" si="428"/>
        <v>27.306666666666668</v>
      </c>
      <c r="AJ799">
        <f t="shared" si="429"/>
        <v>3072</v>
      </c>
      <c r="AK799">
        <f t="shared" si="430"/>
        <v>307.20000000000005</v>
      </c>
      <c r="AL799">
        <f t="shared" si="431"/>
        <v>91.022222222222226</v>
      </c>
      <c r="AM799">
        <f t="shared" si="432"/>
        <v>9.1022222222222222</v>
      </c>
      <c r="AN799">
        <f t="shared" si="433"/>
        <v>1.6</v>
      </c>
      <c r="AO799">
        <f t="shared" si="414"/>
        <v>2</v>
      </c>
      <c r="AP799">
        <f t="shared" si="434"/>
        <v>6</v>
      </c>
      <c r="AQ799">
        <v>103</v>
      </c>
      <c r="AR799">
        <v>1</v>
      </c>
    </row>
    <row r="800" spans="1:44" x14ac:dyDescent="0.15">
      <c r="A800">
        <f>AR800*1000000+AQ800*1000+E800</f>
        <v>1203001</v>
      </c>
      <c r="B800" s="6" t="s">
        <v>241</v>
      </c>
      <c r="C800">
        <v>1</v>
      </c>
      <c r="D800">
        <v>2</v>
      </c>
      <c r="E800">
        <v>1</v>
      </c>
      <c r="F800" s="6" t="s">
        <v>242</v>
      </c>
      <c r="G800" s="20" t="s">
        <v>243</v>
      </c>
      <c r="H800">
        <v>0</v>
      </c>
      <c r="I800" s="2">
        <v>0</v>
      </c>
      <c r="J800" s="2">
        <f t="shared" si="418"/>
        <v>3</v>
      </c>
      <c r="K800" s="2">
        <f t="shared" si="419"/>
        <v>1.3</v>
      </c>
      <c r="L800" s="2">
        <f t="shared" si="420"/>
        <v>1.9000000000000001</v>
      </c>
      <c r="M800" s="2">
        <v>10</v>
      </c>
      <c r="N800" s="2">
        <f t="shared" si="421"/>
        <v>62.4</v>
      </c>
      <c r="O800" s="2">
        <f t="shared" si="422"/>
        <v>6.24</v>
      </c>
      <c r="P800" s="2">
        <f>ROUND(AJ800,2)*0.2</f>
        <v>213.33400000000003</v>
      </c>
      <c r="Q800" s="2">
        <f t="shared" si="424"/>
        <v>106.67</v>
      </c>
      <c r="R800" s="2">
        <f t="shared" si="425"/>
        <v>12.48</v>
      </c>
      <c r="S800" s="2">
        <f t="shared" si="426"/>
        <v>1.25</v>
      </c>
      <c r="T800" s="2">
        <v>0</v>
      </c>
      <c r="U800" s="2">
        <v>0</v>
      </c>
      <c r="V800" s="2">
        <v>0</v>
      </c>
      <c r="W800" s="2">
        <v>-10</v>
      </c>
      <c r="X800" s="2">
        <v>0</v>
      </c>
      <c r="Y800" s="25">
        <v>112031</v>
      </c>
      <c r="Z800" s="26" t="s">
        <v>481</v>
      </c>
      <c r="AA800" s="4">
        <v>1</v>
      </c>
      <c r="AB800" s="4">
        <v>0</v>
      </c>
      <c r="AC800" s="4"/>
      <c r="AD800" s="4">
        <f t="shared" si="416"/>
        <v>1809.6171508799998</v>
      </c>
      <c r="AF800" s="1" t="str">
        <f t="shared" si="417"/>
        <v>3</v>
      </c>
      <c r="AG800">
        <v>1</v>
      </c>
      <c r="AH800">
        <f t="shared" si="427"/>
        <v>62.400000000000013</v>
      </c>
      <c r="AI800">
        <f t="shared" si="428"/>
        <v>6.240000000000002</v>
      </c>
      <c r="AJ800">
        <f t="shared" si="429"/>
        <v>1066.6666666666667</v>
      </c>
      <c r="AK800">
        <f t="shared" si="430"/>
        <v>106.66666666666669</v>
      </c>
      <c r="AL800">
        <f t="shared" si="431"/>
        <v>12.480000000000002</v>
      </c>
      <c r="AM800">
        <f t="shared" si="432"/>
        <v>1.2480000000000002</v>
      </c>
      <c r="AN800">
        <f t="shared" si="433"/>
        <v>1.3</v>
      </c>
      <c r="AO800">
        <f t="shared" ref="AO800:AO859" si="435">ROUND(IF(INDEX($BG$5:$BG$50,MATCH($AQ800,$AT$5:$AT$50,0))&lt;2,INDEX($BG$5:$BG$49,MATCH($AQ800,$AT$5:$AT$49,0))+0.2,2),1)</f>
        <v>1.9</v>
      </c>
      <c r="AP800">
        <f t="shared" si="434"/>
        <v>3</v>
      </c>
      <c r="AQ800">
        <v>203</v>
      </c>
      <c r="AR800">
        <v>1</v>
      </c>
    </row>
    <row r="801" spans="1:44" x14ac:dyDescent="0.15">
      <c r="A801">
        <f t="shared" ref="A801:A860" si="436">AR801*1000000+AQ801*1000+E801</f>
        <v>1403001</v>
      </c>
      <c r="B801" s="6" t="s">
        <v>244</v>
      </c>
      <c r="C801">
        <v>1</v>
      </c>
      <c r="D801">
        <v>4</v>
      </c>
      <c r="E801">
        <v>1</v>
      </c>
      <c r="F801" s="6" t="s">
        <v>245</v>
      </c>
      <c r="G801" s="20" t="s">
        <v>246</v>
      </c>
      <c r="H801" s="2">
        <v>0</v>
      </c>
      <c r="I801" s="2" t="s">
        <v>103</v>
      </c>
      <c r="J801" s="2">
        <f t="shared" si="418"/>
        <v>6</v>
      </c>
      <c r="K801" s="2">
        <f t="shared" si="419"/>
        <v>1.3</v>
      </c>
      <c r="L801" s="2">
        <f t="shared" si="420"/>
        <v>1.9000000000000001</v>
      </c>
      <c r="M801" s="2">
        <v>10</v>
      </c>
      <c r="N801" s="2">
        <f t="shared" si="421"/>
        <v>83.2</v>
      </c>
      <c r="O801" s="2">
        <f t="shared" si="422"/>
        <v>8.32</v>
      </c>
      <c r="P801" s="2">
        <f t="shared" ref="P801:P859" si="437">ROUND(AJ801,2)*0.2</f>
        <v>160</v>
      </c>
      <c r="Q801" s="2">
        <f t="shared" si="424"/>
        <v>80</v>
      </c>
      <c r="R801" s="2">
        <f t="shared" si="425"/>
        <v>8.32</v>
      </c>
      <c r="S801" s="2">
        <f t="shared" si="426"/>
        <v>0.83</v>
      </c>
      <c r="T801" s="2">
        <v>0</v>
      </c>
      <c r="U801" s="2">
        <v>0</v>
      </c>
      <c r="V801" s="2">
        <v>0</v>
      </c>
      <c r="W801" s="2">
        <v>-10</v>
      </c>
      <c r="X801" s="2">
        <v>0</v>
      </c>
      <c r="Y801" s="25">
        <v>114031</v>
      </c>
      <c r="Z801" s="26" t="s">
        <v>481</v>
      </c>
      <c r="AA801" s="4">
        <v>1</v>
      </c>
      <c r="AB801" s="4">
        <v>0</v>
      </c>
      <c r="AC801" s="4"/>
      <c r="AD801" s="4">
        <f t="shared" si="416"/>
        <v>1809.5616</v>
      </c>
      <c r="AF801" s="1" t="str">
        <f t="shared" si="417"/>
        <v>3</v>
      </c>
      <c r="AG801">
        <v>1</v>
      </c>
      <c r="AH801">
        <f t="shared" si="427"/>
        <v>83.2</v>
      </c>
      <c r="AI801">
        <f t="shared" si="428"/>
        <v>8.32</v>
      </c>
      <c r="AJ801">
        <f t="shared" si="429"/>
        <v>800</v>
      </c>
      <c r="AK801">
        <f t="shared" si="430"/>
        <v>80</v>
      </c>
      <c r="AL801">
        <f t="shared" si="431"/>
        <v>8.32</v>
      </c>
      <c r="AM801">
        <f t="shared" si="432"/>
        <v>0.83200000000000007</v>
      </c>
      <c r="AN801">
        <f t="shared" si="433"/>
        <v>1.3</v>
      </c>
      <c r="AO801">
        <f t="shared" si="435"/>
        <v>1.9</v>
      </c>
      <c r="AP801">
        <f t="shared" si="434"/>
        <v>6</v>
      </c>
      <c r="AQ801">
        <v>403</v>
      </c>
      <c r="AR801">
        <v>1</v>
      </c>
    </row>
    <row r="802" spans="1:44" x14ac:dyDescent="0.15">
      <c r="A802">
        <f t="shared" si="436"/>
        <v>1205001</v>
      </c>
      <c r="B802" s="6" t="s">
        <v>247</v>
      </c>
      <c r="C802">
        <v>1</v>
      </c>
      <c r="D802">
        <v>2</v>
      </c>
      <c r="E802">
        <v>1</v>
      </c>
      <c r="F802" s="6" t="s">
        <v>248</v>
      </c>
      <c r="G802" s="20" t="s">
        <v>249</v>
      </c>
      <c r="H802">
        <v>0</v>
      </c>
      <c r="I802" s="2">
        <v>0</v>
      </c>
      <c r="J802" s="2">
        <f t="shared" si="418"/>
        <v>3</v>
      </c>
      <c r="K802" s="2">
        <f t="shared" si="419"/>
        <v>1.8</v>
      </c>
      <c r="L802" s="2">
        <f t="shared" si="420"/>
        <v>2</v>
      </c>
      <c r="M802" s="2">
        <v>10</v>
      </c>
      <c r="N802" s="2">
        <f t="shared" si="421"/>
        <v>86.4</v>
      </c>
      <c r="O802" s="2">
        <f t="shared" si="422"/>
        <v>8.64</v>
      </c>
      <c r="P802" s="2">
        <f t="shared" si="437"/>
        <v>213.33400000000003</v>
      </c>
      <c r="Q802" s="2">
        <f t="shared" si="424"/>
        <v>106.67</v>
      </c>
      <c r="R802" s="2">
        <f t="shared" si="425"/>
        <v>17.28</v>
      </c>
      <c r="S802" s="2">
        <f t="shared" si="426"/>
        <v>1.73</v>
      </c>
      <c r="T802" s="2">
        <v>0</v>
      </c>
      <c r="U802" s="2">
        <v>0</v>
      </c>
      <c r="V802" s="2">
        <v>0</v>
      </c>
      <c r="W802" s="2">
        <v>-10</v>
      </c>
      <c r="X802" s="2">
        <v>0</v>
      </c>
      <c r="Y802" s="25">
        <v>122051</v>
      </c>
      <c r="Z802" s="26" t="s">
        <v>481</v>
      </c>
      <c r="AA802" s="4">
        <v>1</v>
      </c>
      <c r="AB802" s="4">
        <v>0</v>
      </c>
      <c r="AC802" s="4"/>
      <c r="AD802" s="4">
        <f t="shared" si="416"/>
        <v>1809.6171508800003</v>
      </c>
      <c r="AF802" s="1" t="str">
        <f t="shared" si="417"/>
        <v>5</v>
      </c>
      <c r="AG802">
        <v>1</v>
      </c>
      <c r="AH802">
        <f t="shared" si="427"/>
        <v>86.4</v>
      </c>
      <c r="AI802">
        <f t="shared" si="428"/>
        <v>8.64</v>
      </c>
      <c r="AJ802">
        <f t="shared" si="429"/>
        <v>1066.6666666666667</v>
      </c>
      <c r="AK802">
        <f t="shared" si="430"/>
        <v>106.66666666666669</v>
      </c>
      <c r="AL802">
        <f t="shared" si="431"/>
        <v>17.28</v>
      </c>
      <c r="AM802">
        <f t="shared" si="432"/>
        <v>1.7280000000000002</v>
      </c>
      <c r="AN802">
        <f t="shared" si="433"/>
        <v>1.8</v>
      </c>
      <c r="AO802">
        <f t="shared" si="435"/>
        <v>2</v>
      </c>
      <c r="AP802">
        <f t="shared" si="434"/>
        <v>3</v>
      </c>
      <c r="AQ802">
        <v>205</v>
      </c>
      <c r="AR802">
        <v>1</v>
      </c>
    </row>
    <row r="803" spans="1:44" x14ac:dyDescent="0.15">
      <c r="A803">
        <f t="shared" si="436"/>
        <v>1405001</v>
      </c>
      <c r="B803" s="6" t="s">
        <v>250</v>
      </c>
      <c r="C803">
        <v>1</v>
      </c>
      <c r="D803">
        <v>4</v>
      </c>
      <c r="E803">
        <v>1</v>
      </c>
      <c r="F803" s="6" t="s">
        <v>251</v>
      </c>
      <c r="G803" s="6" t="s">
        <v>252</v>
      </c>
      <c r="H803">
        <v>0</v>
      </c>
      <c r="I803" s="2" t="s">
        <v>103</v>
      </c>
      <c r="J803" s="2">
        <f t="shared" si="418"/>
        <v>6</v>
      </c>
      <c r="K803" s="2">
        <f t="shared" si="419"/>
        <v>1.5</v>
      </c>
      <c r="L803" s="2">
        <f t="shared" si="420"/>
        <v>1.5</v>
      </c>
      <c r="M803" s="2">
        <v>10</v>
      </c>
      <c r="N803" s="2">
        <f t="shared" si="421"/>
        <v>100</v>
      </c>
      <c r="O803" s="2">
        <f t="shared" si="422"/>
        <v>10</v>
      </c>
      <c r="P803" s="2">
        <f t="shared" si="437"/>
        <v>153.60000000000002</v>
      </c>
      <c r="Q803" s="2">
        <f t="shared" si="424"/>
        <v>76.8</v>
      </c>
      <c r="R803" s="2">
        <f t="shared" si="425"/>
        <v>10</v>
      </c>
      <c r="S803" s="2">
        <f t="shared" si="426"/>
        <v>1</v>
      </c>
      <c r="T803" s="2">
        <v>0</v>
      </c>
      <c r="U803" s="2">
        <v>0</v>
      </c>
      <c r="V803" s="2">
        <v>0</v>
      </c>
      <c r="W803" s="2">
        <v>-10</v>
      </c>
      <c r="X803" s="2">
        <v>0</v>
      </c>
      <c r="Y803" s="25">
        <v>124051</v>
      </c>
      <c r="Z803" s="26" t="s">
        <v>481</v>
      </c>
      <c r="AA803" s="4">
        <v>1</v>
      </c>
      <c r="AB803" s="4">
        <v>0</v>
      </c>
      <c r="AC803" s="4"/>
      <c r="AD803" s="4">
        <f t="shared" si="416"/>
        <v>1809.5616</v>
      </c>
      <c r="AF803" s="1" t="str">
        <f t="shared" si="417"/>
        <v>5</v>
      </c>
      <c r="AG803">
        <v>1</v>
      </c>
      <c r="AH803">
        <f t="shared" si="427"/>
        <v>100</v>
      </c>
      <c r="AI803">
        <f t="shared" si="428"/>
        <v>10</v>
      </c>
      <c r="AJ803">
        <f t="shared" si="429"/>
        <v>768</v>
      </c>
      <c r="AK803">
        <f t="shared" si="430"/>
        <v>76.800000000000011</v>
      </c>
      <c r="AL803">
        <f t="shared" si="431"/>
        <v>10</v>
      </c>
      <c r="AM803">
        <f t="shared" si="432"/>
        <v>1</v>
      </c>
      <c r="AN803">
        <f t="shared" si="433"/>
        <v>1.5</v>
      </c>
      <c r="AO803">
        <f t="shared" si="435"/>
        <v>1.5</v>
      </c>
      <c r="AP803">
        <f t="shared" si="434"/>
        <v>6</v>
      </c>
      <c r="AQ803">
        <v>405</v>
      </c>
      <c r="AR803">
        <v>1</v>
      </c>
    </row>
    <row r="804" spans="1:44" x14ac:dyDescent="0.15">
      <c r="A804">
        <f t="shared" si="436"/>
        <v>1303001</v>
      </c>
      <c r="B804" s="6" t="s">
        <v>253</v>
      </c>
      <c r="C804">
        <v>1</v>
      </c>
      <c r="D804">
        <v>3</v>
      </c>
      <c r="E804">
        <v>1</v>
      </c>
      <c r="F804" s="6" t="s">
        <v>254</v>
      </c>
      <c r="G804" s="6" t="s">
        <v>255</v>
      </c>
      <c r="H804" s="2">
        <v>0</v>
      </c>
      <c r="I804" s="2">
        <v>0</v>
      </c>
      <c r="J804" s="2">
        <f t="shared" si="418"/>
        <v>3</v>
      </c>
      <c r="K804" s="2">
        <f t="shared" si="419"/>
        <v>1.3</v>
      </c>
      <c r="L804" s="2">
        <f t="shared" si="420"/>
        <v>1.4000000000000001</v>
      </c>
      <c r="M804" s="2">
        <v>10</v>
      </c>
      <c r="N804" s="2">
        <f t="shared" si="421"/>
        <v>76.27</v>
      </c>
      <c r="O804" s="2">
        <f t="shared" si="422"/>
        <v>7.63</v>
      </c>
      <c r="P804" s="2">
        <f t="shared" si="437"/>
        <v>174.54600000000002</v>
      </c>
      <c r="Q804" s="2">
        <f t="shared" si="424"/>
        <v>87.27</v>
      </c>
      <c r="R804" s="2">
        <f t="shared" si="425"/>
        <v>9.5299999999999994</v>
      </c>
      <c r="S804" s="2">
        <f t="shared" si="426"/>
        <v>0.95</v>
      </c>
      <c r="T804" s="2">
        <v>0</v>
      </c>
      <c r="U804" s="2">
        <v>0</v>
      </c>
      <c r="V804" s="2">
        <v>0</v>
      </c>
      <c r="W804" s="2">
        <v>-10</v>
      </c>
      <c r="X804" s="2">
        <v>0</v>
      </c>
      <c r="Y804" s="25">
        <v>133031</v>
      </c>
      <c r="Z804" s="26" t="s">
        <v>481</v>
      </c>
      <c r="AA804" s="4">
        <v>1</v>
      </c>
      <c r="AB804" s="4">
        <v>0</v>
      </c>
      <c r="AC804" s="4"/>
      <c r="AD804" s="4">
        <f t="shared" ref="AD804:AD861" si="438">(N804+O804*$AD$2)*(P804+Q804*$AD$2)/K804*0.945/3000</f>
        <v>1810.2324316133074</v>
      </c>
      <c r="AF804" s="1" t="str">
        <f t="shared" ref="AF804:AF861" si="439">RIGHT(AQ804,1)</f>
        <v>3</v>
      </c>
      <c r="AG804">
        <v>1</v>
      </c>
      <c r="AH804">
        <f t="shared" si="427"/>
        <v>76.26666666666668</v>
      </c>
      <c r="AI804">
        <f t="shared" si="428"/>
        <v>7.6266666666666687</v>
      </c>
      <c r="AJ804">
        <f t="shared" si="429"/>
        <v>872.72727272727275</v>
      </c>
      <c r="AK804">
        <f t="shared" si="430"/>
        <v>87.27272727272728</v>
      </c>
      <c r="AL804">
        <f t="shared" si="431"/>
        <v>9.533333333333335</v>
      </c>
      <c r="AM804">
        <f t="shared" si="432"/>
        <v>0.95333333333333359</v>
      </c>
      <c r="AN804">
        <f t="shared" si="433"/>
        <v>1.3</v>
      </c>
      <c r="AO804">
        <f t="shared" si="435"/>
        <v>1.4</v>
      </c>
      <c r="AP804">
        <f t="shared" si="434"/>
        <v>3</v>
      </c>
      <c r="AQ804">
        <v>303</v>
      </c>
      <c r="AR804">
        <v>1</v>
      </c>
    </row>
    <row r="805" spans="1:44" x14ac:dyDescent="0.15">
      <c r="A805">
        <f t="shared" si="436"/>
        <v>1504001</v>
      </c>
      <c r="B805" s="6" t="s">
        <v>256</v>
      </c>
      <c r="C805">
        <v>1</v>
      </c>
      <c r="D805">
        <v>5</v>
      </c>
      <c r="E805">
        <v>1</v>
      </c>
      <c r="F805" s="6" t="s">
        <v>257</v>
      </c>
      <c r="G805" s="6" t="s">
        <v>258</v>
      </c>
      <c r="H805">
        <v>0</v>
      </c>
      <c r="I805" s="2">
        <v>0</v>
      </c>
      <c r="J805" s="2">
        <f t="shared" si="418"/>
        <v>3</v>
      </c>
      <c r="K805" s="2">
        <f t="shared" si="419"/>
        <v>1.8</v>
      </c>
      <c r="L805" s="2">
        <f t="shared" si="420"/>
        <v>1.5</v>
      </c>
      <c r="M805" s="2">
        <v>10</v>
      </c>
      <c r="N805" s="2">
        <f t="shared" si="421"/>
        <v>105.6</v>
      </c>
      <c r="O805" s="2">
        <f t="shared" si="422"/>
        <v>10.56</v>
      </c>
      <c r="P805" s="2">
        <f t="shared" si="437"/>
        <v>174.54600000000002</v>
      </c>
      <c r="Q805" s="2">
        <f t="shared" si="424"/>
        <v>87.27</v>
      </c>
      <c r="R805" s="2">
        <f t="shared" si="425"/>
        <v>17.600000000000001</v>
      </c>
      <c r="S805" s="2">
        <f t="shared" si="426"/>
        <v>1.76</v>
      </c>
      <c r="T805" s="2">
        <v>0</v>
      </c>
      <c r="U805" s="2">
        <v>0</v>
      </c>
      <c r="V805" s="2">
        <v>0</v>
      </c>
      <c r="W805" s="2">
        <v>-10</v>
      </c>
      <c r="X805" s="2">
        <v>0</v>
      </c>
      <c r="Y805" s="25">
        <v>135041</v>
      </c>
      <c r="Z805" s="26" t="s">
        <v>481</v>
      </c>
      <c r="AA805" s="4">
        <v>1</v>
      </c>
      <c r="AB805" s="4">
        <v>0.5</v>
      </c>
      <c r="AC805" s="4"/>
      <c r="AD805" s="4">
        <f t="shared" si="438"/>
        <v>1809.5062708800001</v>
      </c>
      <c r="AF805" s="1" t="str">
        <f t="shared" si="439"/>
        <v>4</v>
      </c>
      <c r="AG805">
        <v>1</v>
      </c>
      <c r="AH805">
        <f t="shared" si="427"/>
        <v>105.60000000000001</v>
      </c>
      <c r="AI805">
        <f t="shared" si="428"/>
        <v>10.560000000000002</v>
      </c>
      <c r="AJ805">
        <f t="shared" si="429"/>
        <v>872.72727272727275</v>
      </c>
      <c r="AK805">
        <f t="shared" si="430"/>
        <v>87.27272727272728</v>
      </c>
      <c r="AL805">
        <f t="shared" si="431"/>
        <v>17.600000000000001</v>
      </c>
      <c r="AM805">
        <f t="shared" si="432"/>
        <v>1.7600000000000002</v>
      </c>
      <c r="AN805">
        <f t="shared" si="433"/>
        <v>1.8</v>
      </c>
      <c r="AO805">
        <f t="shared" si="435"/>
        <v>1.5</v>
      </c>
      <c r="AP805">
        <f t="shared" si="434"/>
        <v>3</v>
      </c>
      <c r="AQ805">
        <v>504</v>
      </c>
      <c r="AR805">
        <v>1</v>
      </c>
    </row>
    <row r="806" spans="1:44" x14ac:dyDescent="0.15">
      <c r="A806">
        <f t="shared" si="436"/>
        <v>1206001</v>
      </c>
      <c r="B806" s="21" t="s">
        <v>259</v>
      </c>
      <c r="C806">
        <v>1</v>
      </c>
      <c r="D806">
        <v>2</v>
      </c>
      <c r="E806">
        <v>1</v>
      </c>
      <c r="F806" s="6" t="s">
        <v>260</v>
      </c>
      <c r="G806" s="6" t="s">
        <v>261</v>
      </c>
      <c r="H806" s="2">
        <v>0</v>
      </c>
      <c r="I806" s="2">
        <v>0</v>
      </c>
      <c r="J806" s="2">
        <f t="shared" si="418"/>
        <v>3</v>
      </c>
      <c r="K806" s="2">
        <f t="shared" si="419"/>
        <v>1.6</v>
      </c>
      <c r="L806" s="2">
        <f t="shared" si="420"/>
        <v>2</v>
      </c>
      <c r="M806" s="2">
        <v>10</v>
      </c>
      <c r="N806" s="2">
        <f t="shared" si="421"/>
        <v>76.8</v>
      </c>
      <c r="O806" s="2">
        <f t="shared" si="422"/>
        <v>7.68</v>
      </c>
      <c r="P806" s="2">
        <f t="shared" si="437"/>
        <v>213.33400000000003</v>
      </c>
      <c r="Q806" s="2">
        <f t="shared" si="424"/>
        <v>106.67</v>
      </c>
      <c r="R806" s="2">
        <f t="shared" si="425"/>
        <v>15.36</v>
      </c>
      <c r="S806" s="2">
        <f t="shared" si="426"/>
        <v>1.54</v>
      </c>
      <c r="T806" s="2">
        <v>0</v>
      </c>
      <c r="U806" s="2">
        <v>0</v>
      </c>
      <c r="V806" s="2">
        <v>0</v>
      </c>
      <c r="W806" s="2">
        <v>-10</v>
      </c>
      <c r="X806" s="2">
        <v>0</v>
      </c>
      <c r="Y806" s="25">
        <v>212061</v>
      </c>
      <c r="Z806" s="26" t="s">
        <v>481</v>
      </c>
      <c r="AA806" s="4">
        <v>1</v>
      </c>
      <c r="AB806" s="4">
        <v>0</v>
      </c>
      <c r="AC806" s="4"/>
      <c r="AD806" s="4">
        <f t="shared" si="438"/>
        <v>1809.6171508799998</v>
      </c>
      <c r="AF806" s="1" t="str">
        <f t="shared" si="439"/>
        <v>6</v>
      </c>
      <c r="AG806">
        <v>1</v>
      </c>
      <c r="AH806">
        <f t="shared" si="427"/>
        <v>76.800000000000011</v>
      </c>
      <c r="AI806">
        <f t="shared" si="428"/>
        <v>7.6800000000000015</v>
      </c>
      <c r="AJ806">
        <f t="shared" si="429"/>
        <v>1066.6666666666667</v>
      </c>
      <c r="AK806">
        <f t="shared" si="430"/>
        <v>106.66666666666669</v>
      </c>
      <c r="AL806">
        <f t="shared" si="431"/>
        <v>15.360000000000003</v>
      </c>
      <c r="AM806">
        <f t="shared" si="432"/>
        <v>1.5360000000000005</v>
      </c>
      <c r="AN806">
        <f t="shared" si="433"/>
        <v>1.6</v>
      </c>
      <c r="AO806">
        <f t="shared" si="435"/>
        <v>2</v>
      </c>
      <c r="AP806">
        <f t="shared" si="434"/>
        <v>3</v>
      </c>
      <c r="AQ806">
        <v>206</v>
      </c>
      <c r="AR806">
        <v>1</v>
      </c>
    </row>
    <row r="807" spans="1:44" x14ac:dyDescent="0.15">
      <c r="A807">
        <f t="shared" si="436"/>
        <v>1406001</v>
      </c>
      <c r="B807" s="21" t="s">
        <v>262</v>
      </c>
      <c r="C807">
        <v>1</v>
      </c>
      <c r="D807">
        <v>4</v>
      </c>
      <c r="E807">
        <v>1</v>
      </c>
      <c r="F807" s="6" t="s">
        <v>263</v>
      </c>
      <c r="G807" s="6" t="s">
        <v>264</v>
      </c>
      <c r="H807" s="2">
        <v>0</v>
      </c>
      <c r="I807" s="2" t="s">
        <v>103</v>
      </c>
      <c r="J807" s="2">
        <f t="shared" si="418"/>
        <v>6</v>
      </c>
      <c r="K807" s="2">
        <f t="shared" si="419"/>
        <v>1.4000000000000001</v>
      </c>
      <c r="L807" s="2">
        <f t="shared" si="420"/>
        <v>1.2</v>
      </c>
      <c r="M807" s="2">
        <v>10</v>
      </c>
      <c r="N807" s="2">
        <f t="shared" si="421"/>
        <v>97.07</v>
      </c>
      <c r="O807" s="2">
        <f t="shared" si="422"/>
        <v>9.7100000000000009</v>
      </c>
      <c r="P807" s="2">
        <f t="shared" si="437"/>
        <v>147.69200000000001</v>
      </c>
      <c r="Q807" s="2">
        <f t="shared" si="424"/>
        <v>73.849999999999994</v>
      </c>
      <c r="R807" s="2">
        <f t="shared" si="425"/>
        <v>9.7100000000000009</v>
      </c>
      <c r="S807" s="2">
        <f t="shared" si="426"/>
        <v>0.97</v>
      </c>
      <c r="T807" s="2">
        <v>0</v>
      </c>
      <c r="U807" s="2">
        <v>0</v>
      </c>
      <c r="V807" s="2">
        <v>0</v>
      </c>
      <c r="W807" s="2">
        <v>-10</v>
      </c>
      <c r="X807" s="2">
        <v>0</v>
      </c>
      <c r="Y807" s="25">
        <v>214061</v>
      </c>
      <c r="Z807" s="26" t="s">
        <v>481</v>
      </c>
      <c r="AA807" s="4">
        <v>1</v>
      </c>
      <c r="AB807" s="4">
        <v>0</v>
      </c>
      <c r="AC807" s="4"/>
      <c r="AD807" s="4">
        <f t="shared" si="438"/>
        <v>1810.224527499</v>
      </c>
      <c r="AF807" s="1" t="str">
        <f t="shared" si="439"/>
        <v>6</v>
      </c>
      <c r="AG807">
        <v>1</v>
      </c>
      <c r="AH807">
        <f t="shared" si="427"/>
        <v>97.066666666666649</v>
      </c>
      <c r="AI807">
        <f t="shared" si="428"/>
        <v>9.7066666666666652</v>
      </c>
      <c r="AJ807">
        <f t="shared" si="429"/>
        <v>738.46153846153834</v>
      </c>
      <c r="AK807">
        <f t="shared" si="430"/>
        <v>73.84615384615384</v>
      </c>
      <c r="AL807">
        <f t="shared" si="431"/>
        <v>9.7066666666666652</v>
      </c>
      <c r="AM807">
        <f t="shared" si="432"/>
        <v>0.97066666666666657</v>
      </c>
      <c r="AN807">
        <f t="shared" si="433"/>
        <v>1.4</v>
      </c>
      <c r="AO807">
        <f t="shared" si="435"/>
        <v>1.2</v>
      </c>
      <c r="AP807">
        <f t="shared" si="434"/>
        <v>6</v>
      </c>
      <c r="AQ807">
        <v>406</v>
      </c>
      <c r="AR807">
        <v>1</v>
      </c>
    </row>
    <row r="808" spans="1:44" x14ac:dyDescent="0.15">
      <c r="A808">
        <f t="shared" si="436"/>
        <v>1204001</v>
      </c>
      <c r="B808" s="21" t="s">
        <v>265</v>
      </c>
      <c r="C808">
        <v>1</v>
      </c>
      <c r="D808">
        <v>2</v>
      </c>
      <c r="E808">
        <v>1</v>
      </c>
      <c r="F808" s="6" t="s">
        <v>266</v>
      </c>
      <c r="G808" s="6" t="s">
        <v>267</v>
      </c>
      <c r="H808" s="2">
        <v>0</v>
      </c>
      <c r="I808" s="2">
        <v>0</v>
      </c>
      <c r="J808" s="2">
        <f t="shared" si="418"/>
        <v>3</v>
      </c>
      <c r="K808" s="2">
        <f t="shared" si="419"/>
        <v>1.4000000000000001</v>
      </c>
      <c r="L808" s="2">
        <f t="shared" si="420"/>
        <v>1.2</v>
      </c>
      <c r="M808" s="2">
        <v>10</v>
      </c>
      <c r="N808" s="2">
        <f t="shared" si="421"/>
        <v>67.2</v>
      </c>
      <c r="O808" s="2">
        <f t="shared" si="422"/>
        <v>6.72</v>
      </c>
      <c r="P808" s="2">
        <f t="shared" si="437"/>
        <v>213.33400000000003</v>
      </c>
      <c r="Q808" s="2">
        <f t="shared" si="424"/>
        <v>106.67</v>
      </c>
      <c r="R808" s="2">
        <f t="shared" si="425"/>
        <v>13.44</v>
      </c>
      <c r="S808" s="2">
        <f t="shared" si="426"/>
        <v>1.34</v>
      </c>
      <c r="T808" s="2">
        <v>0</v>
      </c>
      <c r="U808" s="2">
        <v>0</v>
      </c>
      <c r="V808" s="2">
        <v>0</v>
      </c>
      <c r="W808" s="2">
        <v>-10</v>
      </c>
      <c r="X808" s="2">
        <v>0</v>
      </c>
      <c r="Y808" s="25">
        <v>222041</v>
      </c>
      <c r="Z808" s="26" t="s">
        <v>481</v>
      </c>
      <c r="AA808" s="4">
        <v>1</v>
      </c>
      <c r="AB808" s="4">
        <v>0</v>
      </c>
      <c r="AC808" s="4"/>
      <c r="AD808" s="4">
        <f t="shared" si="438"/>
        <v>1809.6171508800003</v>
      </c>
      <c r="AF808" s="1" t="str">
        <f t="shared" si="439"/>
        <v>4</v>
      </c>
      <c r="AG808">
        <v>1</v>
      </c>
      <c r="AH808">
        <f t="shared" si="427"/>
        <v>67.2</v>
      </c>
      <c r="AI808">
        <f t="shared" si="428"/>
        <v>6.7200000000000006</v>
      </c>
      <c r="AJ808">
        <f t="shared" si="429"/>
        <v>1066.6666666666667</v>
      </c>
      <c r="AK808">
        <f t="shared" si="430"/>
        <v>106.66666666666669</v>
      </c>
      <c r="AL808">
        <f t="shared" si="431"/>
        <v>13.440000000000001</v>
      </c>
      <c r="AM808">
        <f t="shared" si="432"/>
        <v>1.3440000000000003</v>
      </c>
      <c r="AN808">
        <f t="shared" si="433"/>
        <v>1.4</v>
      </c>
      <c r="AO808">
        <f t="shared" si="435"/>
        <v>1.2</v>
      </c>
      <c r="AP808">
        <f t="shared" si="434"/>
        <v>3</v>
      </c>
      <c r="AQ808">
        <v>204</v>
      </c>
      <c r="AR808">
        <v>1</v>
      </c>
    </row>
    <row r="809" spans="1:44" x14ac:dyDescent="0.15">
      <c r="A809">
        <f t="shared" si="436"/>
        <v>1404001</v>
      </c>
      <c r="B809" s="21" t="s">
        <v>268</v>
      </c>
      <c r="C809">
        <v>1</v>
      </c>
      <c r="D809">
        <v>4</v>
      </c>
      <c r="E809">
        <v>1</v>
      </c>
      <c r="F809" s="6" t="s">
        <v>269</v>
      </c>
      <c r="G809" s="6" t="s">
        <v>270</v>
      </c>
      <c r="H809" s="2">
        <v>0</v>
      </c>
      <c r="I809" s="2" t="s">
        <v>103</v>
      </c>
      <c r="J809" s="2">
        <f t="shared" si="418"/>
        <v>6</v>
      </c>
      <c r="K809" s="2">
        <f t="shared" si="419"/>
        <v>1.6</v>
      </c>
      <c r="L809" s="2">
        <f t="shared" si="420"/>
        <v>1.9000000000000001</v>
      </c>
      <c r="M809" s="2">
        <v>10</v>
      </c>
      <c r="N809" s="2">
        <f t="shared" si="421"/>
        <v>110.93</v>
      </c>
      <c r="O809" s="2">
        <f t="shared" si="422"/>
        <v>11.09</v>
      </c>
      <c r="P809" s="2">
        <f t="shared" si="437"/>
        <v>147.69200000000001</v>
      </c>
      <c r="Q809" s="2">
        <f t="shared" si="424"/>
        <v>73.849999999999994</v>
      </c>
      <c r="R809" s="2">
        <f t="shared" si="425"/>
        <v>11.09</v>
      </c>
      <c r="S809" s="2">
        <f t="shared" si="426"/>
        <v>1.1100000000000001</v>
      </c>
      <c r="T809" s="2">
        <v>0</v>
      </c>
      <c r="U809" s="2">
        <v>0</v>
      </c>
      <c r="V809" s="2">
        <v>0</v>
      </c>
      <c r="W809" s="2">
        <v>-10</v>
      </c>
      <c r="X809" s="2">
        <v>0</v>
      </c>
      <c r="Y809" s="25">
        <v>224041</v>
      </c>
      <c r="Z809" s="26" t="s">
        <v>481</v>
      </c>
      <c r="AA809" s="4">
        <v>1</v>
      </c>
      <c r="AB809" s="4">
        <v>0</v>
      </c>
      <c r="AC809" s="4"/>
      <c r="AD809" s="4">
        <f t="shared" si="438"/>
        <v>1809.154649838375</v>
      </c>
      <c r="AF809" s="1" t="str">
        <f t="shared" si="439"/>
        <v>4</v>
      </c>
      <c r="AG809">
        <v>1</v>
      </c>
      <c r="AH809">
        <f t="shared" si="427"/>
        <v>110.93333333333334</v>
      </c>
      <c r="AI809">
        <f t="shared" si="428"/>
        <v>11.093333333333334</v>
      </c>
      <c r="AJ809">
        <f t="shared" si="429"/>
        <v>738.46153846153834</v>
      </c>
      <c r="AK809">
        <f t="shared" si="430"/>
        <v>73.84615384615384</v>
      </c>
      <c r="AL809">
        <f t="shared" si="431"/>
        <v>11.093333333333334</v>
      </c>
      <c r="AM809">
        <f t="shared" si="432"/>
        <v>1.1093333333333335</v>
      </c>
      <c r="AN809">
        <f t="shared" si="433"/>
        <v>1.6</v>
      </c>
      <c r="AO809">
        <f t="shared" si="435"/>
        <v>1.9</v>
      </c>
      <c r="AP809">
        <f t="shared" si="434"/>
        <v>6</v>
      </c>
      <c r="AQ809">
        <v>404</v>
      </c>
      <c r="AR809">
        <v>1</v>
      </c>
    </row>
    <row r="810" spans="1:44" x14ac:dyDescent="0.15">
      <c r="A810">
        <f t="shared" si="436"/>
        <v>1503001</v>
      </c>
      <c r="B810" s="21" t="s">
        <v>271</v>
      </c>
      <c r="C810">
        <v>1</v>
      </c>
      <c r="D810">
        <v>5</v>
      </c>
      <c r="E810">
        <v>1</v>
      </c>
      <c r="F810" s="6" t="s">
        <v>272</v>
      </c>
      <c r="G810" s="6" t="s">
        <v>273</v>
      </c>
      <c r="H810" s="2">
        <v>0</v>
      </c>
      <c r="I810" s="2">
        <v>0</v>
      </c>
      <c r="J810" s="2">
        <f t="shared" si="418"/>
        <v>3</v>
      </c>
      <c r="K810" s="2">
        <f t="shared" si="419"/>
        <v>1.6</v>
      </c>
      <c r="L810" s="2">
        <f t="shared" si="420"/>
        <v>1.5</v>
      </c>
      <c r="M810" s="2">
        <v>10</v>
      </c>
      <c r="N810" s="2">
        <f t="shared" si="421"/>
        <v>102.4</v>
      </c>
      <c r="O810" s="2">
        <f t="shared" si="422"/>
        <v>10.24</v>
      </c>
      <c r="P810" s="2">
        <f t="shared" si="437"/>
        <v>160</v>
      </c>
      <c r="Q810" s="2">
        <f t="shared" si="424"/>
        <v>80</v>
      </c>
      <c r="R810" s="2">
        <f t="shared" si="425"/>
        <v>17.07</v>
      </c>
      <c r="S810" s="2">
        <f t="shared" si="426"/>
        <v>1.71</v>
      </c>
      <c r="T810" s="2">
        <v>0</v>
      </c>
      <c r="U810" s="2">
        <v>0</v>
      </c>
      <c r="V810" s="2">
        <v>0</v>
      </c>
      <c r="W810" s="2">
        <v>-10</v>
      </c>
      <c r="X810" s="2">
        <v>0</v>
      </c>
      <c r="Y810" s="25">
        <v>235031</v>
      </c>
      <c r="Z810" s="26" t="s">
        <v>481</v>
      </c>
      <c r="AA810" s="4">
        <v>1</v>
      </c>
      <c r="AB810" s="4">
        <v>0</v>
      </c>
      <c r="AC810" s="4"/>
      <c r="AD810" s="4">
        <f t="shared" si="438"/>
        <v>1809.5616</v>
      </c>
      <c r="AF810" s="1" t="str">
        <f t="shared" si="439"/>
        <v>3</v>
      </c>
      <c r="AG810">
        <v>1</v>
      </c>
      <c r="AH810">
        <f t="shared" si="427"/>
        <v>102.4</v>
      </c>
      <c r="AI810">
        <f t="shared" si="428"/>
        <v>10.240000000000002</v>
      </c>
      <c r="AJ810">
        <f t="shared" si="429"/>
        <v>800</v>
      </c>
      <c r="AK810">
        <f t="shared" si="430"/>
        <v>80</v>
      </c>
      <c r="AL810">
        <f t="shared" si="431"/>
        <v>17.066666666666666</v>
      </c>
      <c r="AM810">
        <f t="shared" si="432"/>
        <v>1.7066666666666668</v>
      </c>
      <c r="AN810">
        <f t="shared" si="433"/>
        <v>1.6</v>
      </c>
      <c r="AO810">
        <f t="shared" si="435"/>
        <v>1.5</v>
      </c>
      <c r="AP810">
        <f t="shared" si="434"/>
        <v>3</v>
      </c>
      <c r="AQ810">
        <v>503</v>
      </c>
      <c r="AR810">
        <v>1</v>
      </c>
    </row>
    <row r="811" spans="1:44" x14ac:dyDescent="0.15">
      <c r="A811">
        <f t="shared" si="436"/>
        <v>1304001</v>
      </c>
      <c r="B811" s="21" t="s">
        <v>274</v>
      </c>
      <c r="C811">
        <v>1</v>
      </c>
      <c r="D811">
        <v>3</v>
      </c>
      <c r="E811">
        <v>1</v>
      </c>
      <c r="F811" s="6" t="s">
        <v>275</v>
      </c>
      <c r="G811" s="6" t="s">
        <v>276</v>
      </c>
      <c r="H811">
        <v>0</v>
      </c>
      <c r="I811" s="2">
        <v>0</v>
      </c>
      <c r="J811" s="2">
        <f t="shared" si="418"/>
        <v>3</v>
      </c>
      <c r="K811" s="2">
        <f t="shared" si="419"/>
        <v>1.4000000000000001</v>
      </c>
      <c r="L811" s="2">
        <f t="shared" si="420"/>
        <v>2</v>
      </c>
      <c r="M811" s="2">
        <v>10</v>
      </c>
      <c r="N811" s="2">
        <f t="shared" si="421"/>
        <v>85.87</v>
      </c>
      <c r="O811" s="2">
        <f t="shared" si="422"/>
        <v>8.59</v>
      </c>
      <c r="P811" s="2">
        <f t="shared" si="437"/>
        <v>166.95600000000002</v>
      </c>
      <c r="Q811" s="2">
        <f t="shared" si="424"/>
        <v>83.48</v>
      </c>
      <c r="R811" s="2">
        <f t="shared" si="425"/>
        <v>10.73</v>
      </c>
      <c r="S811" s="2">
        <f t="shared" si="426"/>
        <v>1.07</v>
      </c>
      <c r="T811" s="2">
        <v>0</v>
      </c>
      <c r="U811" s="2">
        <v>0</v>
      </c>
      <c r="V811" s="2">
        <v>0</v>
      </c>
      <c r="W811" s="2">
        <v>-10</v>
      </c>
      <c r="X811" s="2">
        <v>0</v>
      </c>
      <c r="Y811" s="25">
        <v>233041</v>
      </c>
      <c r="Z811" s="26" t="s">
        <v>481</v>
      </c>
      <c r="AA811" s="4">
        <v>1</v>
      </c>
      <c r="AB811" s="4">
        <v>0</v>
      </c>
      <c r="AC811" s="4"/>
      <c r="AD811" s="4">
        <f t="shared" si="438"/>
        <v>1810.2434570370001</v>
      </c>
      <c r="AF811" s="1" t="str">
        <f t="shared" si="439"/>
        <v>4</v>
      </c>
      <c r="AG811">
        <v>1</v>
      </c>
      <c r="AH811">
        <f t="shared" si="427"/>
        <v>85.86666666666666</v>
      </c>
      <c r="AI811">
        <f t="shared" si="428"/>
        <v>8.586666666666666</v>
      </c>
      <c r="AJ811">
        <f t="shared" si="429"/>
        <v>834.78260869565224</v>
      </c>
      <c r="AK811">
        <f t="shared" si="430"/>
        <v>83.478260869565233</v>
      </c>
      <c r="AL811">
        <f t="shared" si="431"/>
        <v>10.733333333333333</v>
      </c>
      <c r="AM811">
        <f t="shared" si="432"/>
        <v>1.0733333333333333</v>
      </c>
      <c r="AN811">
        <f t="shared" si="433"/>
        <v>1.4</v>
      </c>
      <c r="AO811">
        <f t="shared" si="435"/>
        <v>2</v>
      </c>
      <c r="AP811">
        <f t="shared" si="434"/>
        <v>3</v>
      </c>
      <c r="AQ811">
        <v>304</v>
      </c>
      <c r="AR811">
        <v>1</v>
      </c>
    </row>
    <row r="812" spans="1:44" x14ac:dyDescent="0.15">
      <c r="A812">
        <f t="shared" si="436"/>
        <v>1203002</v>
      </c>
      <c r="B812" s="6" t="s">
        <v>241</v>
      </c>
      <c r="C812">
        <v>1</v>
      </c>
      <c r="D812">
        <v>2</v>
      </c>
      <c r="E812">
        <v>2</v>
      </c>
      <c r="F812" s="6" t="s">
        <v>277</v>
      </c>
      <c r="G812" s="20" t="s">
        <v>278</v>
      </c>
      <c r="H812">
        <v>0</v>
      </c>
      <c r="I812" s="2">
        <v>0</v>
      </c>
      <c r="J812" s="2">
        <f t="shared" si="418"/>
        <v>3</v>
      </c>
      <c r="K812" s="2">
        <f t="shared" si="419"/>
        <v>1.3</v>
      </c>
      <c r="L812" s="2">
        <f t="shared" si="420"/>
        <v>1.9000000000000001</v>
      </c>
      <c r="M812" s="2">
        <v>10</v>
      </c>
      <c r="N812" s="2">
        <f t="shared" si="421"/>
        <v>62.4</v>
      </c>
      <c r="O812" s="2">
        <f t="shared" si="422"/>
        <v>6.24</v>
      </c>
      <c r="P812" s="2">
        <f t="shared" si="437"/>
        <v>213.33400000000003</v>
      </c>
      <c r="Q812" s="2">
        <f t="shared" si="424"/>
        <v>106.67</v>
      </c>
      <c r="R812" s="2">
        <f t="shared" si="425"/>
        <v>12.48</v>
      </c>
      <c r="S812" s="2">
        <f t="shared" si="426"/>
        <v>1.25</v>
      </c>
      <c r="T812" s="2">
        <v>0</v>
      </c>
      <c r="U812" s="2">
        <v>0</v>
      </c>
      <c r="V812" s="2">
        <v>0</v>
      </c>
      <c r="W812" s="2">
        <v>-10</v>
      </c>
      <c r="X812" s="2">
        <v>0</v>
      </c>
      <c r="Y812" s="25">
        <v>112031</v>
      </c>
      <c r="Z812" s="26" t="s">
        <v>481</v>
      </c>
      <c r="AA812" s="4">
        <v>1</v>
      </c>
      <c r="AB812" s="4">
        <v>0</v>
      </c>
      <c r="AC812" s="4"/>
      <c r="AD812" s="4">
        <f t="shared" si="438"/>
        <v>1809.6171508799998</v>
      </c>
      <c r="AF812" s="1" t="str">
        <f t="shared" si="439"/>
        <v>3</v>
      </c>
      <c r="AG812">
        <v>1</v>
      </c>
      <c r="AH812">
        <f t="shared" si="427"/>
        <v>62.400000000000013</v>
      </c>
      <c r="AI812">
        <f t="shared" si="428"/>
        <v>6.240000000000002</v>
      </c>
      <c r="AJ812">
        <f t="shared" si="429"/>
        <v>1066.6666666666667</v>
      </c>
      <c r="AK812">
        <f t="shared" si="430"/>
        <v>106.66666666666669</v>
      </c>
      <c r="AL812">
        <f t="shared" si="431"/>
        <v>12.480000000000002</v>
      </c>
      <c r="AM812">
        <f t="shared" si="432"/>
        <v>1.2480000000000002</v>
      </c>
      <c r="AN812">
        <f t="shared" si="433"/>
        <v>1.3</v>
      </c>
      <c r="AO812">
        <f t="shared" si="435"/>
        <v>1.9</v>
      </c>
      <c r="AP812">
        <f t="shared" si="434"/>
        <v>3</v>
      </c>
      <c r="AQ812">
        <v>203</v>
      </c>
      <c r="AR812">
        <v>1</v>
      </c>
    </row>
    <row r="813" spans="1:44" x14ac:dyDescent="0.15">
      <c r="A813">
        <f t="shared" si="436"/>
        <v>1403002</v>
      </c>
      <c r="B813" s="6" t="s">
        <v>244</v>
      </c>
      <c r="C813">
        <v>1</v>
      </c>
      <c r="D813">
        <v>4</v>
      </c>
      <c r="E813">
        <v>2</v>
      </c>
      <c r="F813" s="6" t="s">
        <v>279</v>
      </c>
      <c r="G813" s="20" t="s">
        <v>280</v>
      </c>
      <c r="H813" s="2">
        <v>0</v>
      </c>
      <c r="I813" s="2" t="s">
        <v>106</v>
      </c>
      <c r="J813" s="2">
        <f t="shared" si="418"/>
        <v>6</v>
      </c>
      <c r="K813" s="2">
        <f t="shared" si="419"/>
        <v>1.3</v>
      </c>
      <c r="L813" s="2">
        <f t="shared" si="420"/>
        <v>1.9000000000000001</v>
      </c>
      <c r="M813" s="2">
        <v>10</v>
      </c>
      <c r="N813" s="2">
        <f t="shared" si="421"/>
        <v>83.2</v>
      </c>
      <c r="O813" s="2">
        <f t="shared" si="422"/>
        <v>8.32</v>
      </c>
      <c r="P813" s="2">
        <f t="shared" si="437"/>
        <v>160</v>
      </c>
      <c r="Q813" s="2">
        <f t="shared" si="424"/>
        <v>80</v>
      </c>
      <c r="R813" s="2">
        <f t="shared" si="425"/>
        <v>8.32</v>
      </c>
      <c r="S813" s="2">
        <f t="shared" si="426"/>
        <v>0.83</v>
      </c>
      <c r="T813" s="2">
        <v>0</v>
      </c>
      <c r="U813" s="2">
        <v>0</v>
      </c>
      <c r="V813" s="2">
        <v>0</v>
      </c>
      <c r="W813" s="2">
        <v>-10</v>
      </c>
      <c r="X813" s="2">
        <v>0</v>
      </c>
      <c r="Y813" s="25">
        <v>114031</v>
      </c>
      <c r="Z813" s="26" t="s">
        <v>481</v>
      </c>
      <c r="AA813" s="4">
        <v>1</v>
      </c>
      <c r="AB813" s="4">
        <v>0</v>
      </c>
      <c r="AC813" s="4"/>
      <c r="AD813" s="4">
        <f t="shared" si="438"/>
        <v>1809.5616</v>
      </c>
      <c r="AF813" s="1" t="str">
        <f t="shared" si="439"/>
        <v>3</v>
      </c>
      <c r="AG813">
        <v>1</v>
      </c>
      <c r="AH813">
        <f t="shared" si="427"/>
        <v>83.2</v>
      </c>
      <c r="AI813">
        <f t="shared" si="428"/>
        <v>8.32</v>
      </c>
      <c r="AJ813">
        <f t="shared" si="429"/>
        <v>800</v>
      </c>
      <c r="AK813">
        <f t="shared" si="430"/>
        <v>80</v>
      </c>
      <c r="AL813">
        <f t="shared" si="431"/>
        <v>8.32</v>
      </c>
      <c r="AM813">
        <f t="shared" si="432"/>
        <v>0.83200000000000007</v>
      </c>
      <c r="AN813">
        <f t="shared" si="433"/>
        <v>1.3</v>
      </c>
      <c r="AO813">
        <f t="shared" si="435"/>
        <v>1.9</v>
      </c>
      <c r="AP813">
        <f t="shared" si="434"/>
        <v>6</v>
      </c>
      <c r="AQ813">
        <v>403</v>
      </c>
      <c r="AR813">
        <v>1</v>
      </c>
    </row>
    <row r="814" spans="1:44" x14ac:dyDescent="0.15">
      <c r="A814">
        <f t="shared" si="436"/>
        <v>1205002</v>
      </c>
      <c r="B814" s="6" t="s">
        <v>247</v>
      </c>
      <c r="C814">
        <v>1</v>
      </c>
      <c r="D814">
        <v>2</v>
      </c>
      <c r="E814">
        <v>2</v>
      </c>
      <c r="F814" s="6" t="s">
        <v>281</v>
      </c>
      <c r="G814" s="20" t="s">
        <v>282</v>
      </c>
      <c r="H814">
        <v>0</v>
      </c>
      <c r="I814" s="2">
        <v>0</v>
      </c>
      <c r="J814" s="2">
        <f t="shared" si="418"/>
        <v>3</v>
      </c>
      <c r="K814" s="2">
        <f t="shared" si="419"/>
        <v>1.8</v>
      </c>
      <c r="L814" s="2">
        <f t="shared" si="420"/>
        <v>2</v>
      </c>
      <c r="M814" s="2">
        <v>10</v>
      </c>
      <c r="N814" s="2">
        <f t="shared" si="421"/>
        <v>86.4</v>
      </c>
      <c r="O814" s="2">
        <f t="shared" si="422"/>
        <v>8.64</v>
      </c>
      <c r="P814" s="2">
        <f t="shared" si="437"/>
        <v>213.33400000000003</v>
      </c>
      <c r="Q814" s="2">
        <f t="shared" si="424"/>
        <v>106.67</v>
      </c>
      <c r="R814" s="2">
        <f t="shared" si="425"/>
        <v>17.28</v>
      </c>
      <c r="S814" s="2">
        <f t="shared" si="426"/>
        <v>1.73</v>
      </c>
      <c r="T814" s="2">
        <v>0</v>
      </c>
      <c r="U814" s="2">
        <v>0</v>
      </c>
      <c r="V814" s="2">
        <v>0</v>
      </c>
      <c r="W814" s="2">
        <v>-10</v>
      </c>
      <c r="X814" s="2">
        <v>0</v>
      </c>
      <c r="Y814" s="25">
        <v>122051</v>
      </c>
      <c r="Z814" s="26" t="s">
        <v>481</v>
      </c>
      <c r="AA814" s="4">
        <v>1</v>
      </c>
      <c r="AB814" s="4">
        <v>0</v>
      </c>
      <c r="AC814" s="4"/>
      <c r="AD814" s="4">
        <f t="shared" si="438"/>
        <v>1809.6171508800003</v>
      </c>
      <c r="AF814" s="1" t="str">
        <f t="shared" si="439"/>
        <v>5</v>
      </c>
      <c r="AG814">
        <v>1</v>
      </c>
      <c r="AH814">
        <f t="shared" si="427"/>
        <v>86.4</v>
      </c>
      <c r="AI814">
        <f t="shared" si="428"/>
        <v>8.64</v>
      </c>
      <c r="AJ814">
        <f t="shared" si="429"/>
        <v>1066.6666666666667</v>
      </c>
      <c r="AK814">
        <f t="shared" si="430"/>
        <v>106.66666666666669</v>
      </c>
      <c r="AL814">
        <f t="shared" si="431"/>
        <v>17.28</v>
      </c>
      <c r="AM814">
        <f t="shared" si="432"/>
        <v>1.7280000000000002</v>
      </c>
      <c r="AN814">
        <f t="shared" si="433"/>
        <v>1.8</v>
      </c>
      <c r="AO814">
        <f t="shared" si="435"/>
        <v>2</v>
      </c>
      <c r="AP814">
        <f t="shared" si="434"/>
        <v>3</v>
      </c>
      <c r="AQ814">
        <v>205</v>
      </c>
      <c r="AR814">
        <v>1</v>
      </c>
    </row>
    <row r="815" spans="1:44" x14ac:dyDescent="0.15">
      <c r="A815">
        <f t="shared" si="436"/>
        <v>1405002</v>
      </c>
      <c r="B815" s="6" t="s">
        <v>250</v>
      </c>
      <c r="C815">
        <v>1</v>
      </c>
      <c r="D815">
        <v>4</v>
      </c>
      <c r="E815">
        <v>2</v>
      </c>
      <c r="F815" s="6" t="s">
        <v>283</v>
      </c>
      <c r="G815" s="6" t="s">
        <v>284</v>
      </c>
      <c r="H815">
        <v>0</v>
      </c>
      <c r="I815" s="2" t="s">
        <v>106</v>
      </c>
      <c r="J815" s="2">
        <f t="shared" si="418"/>
        <v>6</v>
      </c>
      <c r="K815" s="2">
        <f t="shared" si="419"/>
        <v>1.5</v>
      </c>
      <c r="L815" s="2">
        <f t="shared" si="420"/>
        <v>1.5</v>
      </c>
      <c r="M815" s="2">
        <v>10</v>
      </c>
      <c r="N815" s="2">
        <f t="shared" si="421"/>
        <v>100</v>
      </c>
      <c r="O815" s="2">
        <f t="shared" si="422"/>
        <v>10</v>
      </c>
      <c r="P815" s="2">
        <f t="shared" si="437"/>
        <v>153.60000000000002</v>
      </c>
      <c r="Q815" s="2">
        <f t="shared" si="424"/>
        <v>76.8</v>
      </c>
      <c r="R815" s="2">
        <f t="shared" si="425"/>
        <v>10</v>
      </c>
      <c r="S815" s="2">
        <f t="shared" si="426"/>
        <v>1</v>
      </c>
      <c r="T815" s="2">
        <v>0</v>
      </c>
      <c r="U815" s="2">
        <v>0</v>
      </c>
      <c r="V815" s="2">
        <v>0</v>
      </c>
      <c r="W815" s="2">
        <v>-10</v>
      </c>
      <c r="X815" s="2">
        <v>0</v>
      </c>
      <c r="Y815" s="25">
        <v>124051</v>
      </c>
      <c r="Z815" s="26" t="s">
        <v>481</v>
      </c>
      <c r="AA815" s="4">
        <v>1</v>
      </c>
      <c r="AB815" s="4">
        <v>0</v>
      </c>
      <c r="AC815" s="4"/>
      <c r="AD815" s="4">
        <f t="shared" si="438"/>
        <v>1809.5616</v>
      </c>
      <c r="AF815" s="1" t="str">
        <f t="shared" si="439"/>
        <v>5</v>
      </c>
      <c r="AG815">
        <v>1</v>
      </c>
      <c r="AH815">
        <f t="shared" si="427"/>
        <v>100</v>
      </c>
      <c r="AI815">
        <f t="shared" si="428"/>
        <v>10</v>
      </c>
      <c r="AJ815">
        <f t="shared" si="429"/>
        <v>768</v>
      </c>
      <c r="AK815">
        <f t="shared" si="430"/>
        <v>76.800000000000011</v>
      </c>
      <c r="AL815">
        <f t="shared" si="431"/>
        <v>10</v>
      </c>
      <c r="AM815">
        <f t="shared" si="432"/>
        <v>1</v>
      </c>
      <c r="AN815">
        <f t="shared" si="433"/>
        <v>1.5</v>
      </c>
      <c r="AO815">
        <f t="shared" si="435"/>
        <v>1.5</v>
      </c>
      <c r="AP815">
        <f t="shared" si="434"/>
        <v>6</v>
      </c>
      <c r="AQ815">
        <v>405</v>
      </c>
      <c r="AR815">
        <v>1</v>
      </c>
    </row>
    <row r="816" spans="1:44" x14ac:dyDescent="0.15">
      <c r="A816">
        <f t="shared" si="436"/>
        <v>1303002</v>
      </c>
      <c r="B816" s="6" t="s">
        <v>253</v>
      </c>
      <c r="C816">
        <v>1</v>
      </c>
      <c r="D816">
        <v>3</v>
      </c>
      <c r="E816">
        <v>2</v>
      </c>
      <c r="F816" s="6" t="s">
        <v>285</v>
      </c>
      <c r="G816" s="6" t="s">
        <v>286</v>
      </c>
      <c r="H816" s="2">
        <v>0</v>
      </c>
      <c r="I816" s="2">
        <v>0</v>
      </c>
      <c r="J816" s="2">
        <f t="shared" si="418"/>
        <v>3</v>
      </c>
      <c r="K816" s="2">
        <f t="shared" si="419"/>
        <v>1.3</v>
      </c>
      <c r="L816" s="2">
        <f t="shared" si="420"/>
        <v>1.4000000000000001</v>
      </c>
      <c r="M816" s="2">
        <v>10</v>
      </c>
      <c r="N816" s="2">
        <f t="shared" si="421"/>
        <v>76.27</v>
      </c>
      <c r="O816" s="2">
        <f t="shared" si="422"/>
        <v>7.63</v>
      </c>
      <c r="P816" s="2">
        <f t="shared" si="437"/>
        <v>174.54600000000002</v>
      </c>
      <c r="Q816" s="2">
        <f t="shared" si="424"/>
        <v>87.27</v>
      </c>
      <c r="R816" s="2">
        <f t="shared" si="425"/>
        <v>9.5299999999999994</v>
      </c>
      <c r="S816" s="2">
        <f t="shared" si="426"/>
        <v>0.95</v>
      </c>
      <c r="T816" s="2">
        <v>0</v>
      </c>
      <c r="U816" s="2">
        <v>0</v>
      </c>
      <c r="V816" s="2">
        <v>0</v>
      </c>
      <c r="W816" s="2">
        <v>-10</v>
      </c>
      <c r="X816" s="2">
        <v>0</v>
      </c>
      <c r="Y816" s="25">
        <v>133031</v>
      </c>
      <c r="Z816" s="26" t="s">
        <v>481</v>
      </c>
      <c r="AA816" s="4">
        <v>1</v>
      </c>
      <c r="AB816" s="4">
        <v>0</v>
      </c>
      <c r="AC816" s="4"/>
      <c r="AD816" s="4">
        <f t="shared" si="438"/>
        <v>1810.2324316133074</v>
      </c>
      <c r="AF816" s="1" t="str">
        <f t="shared" si="439"/>
        <v>3</v>
      </c>
      <c r="AG816">
        <v>1</v>
      </c>
      <c r="AH816">
        <f t="shared" si="427"/>
        <v>76.26666666666668</v>
      </c>
      <c r="AI816">
        <f t="shared" si="428"/>
        <v>7.6266666666666687</v>
      </c>
      <c r="AJ816">
        <f t="shared" si="429"/>
        <v>872.72727272727275</v>
      </c>
      <c r="AK816">
        <f t="shared" si="430"/>
        <v>87.27272727272728</v>
      </c>
      <c r="AL816">
        <f t="shared" si="431"/>
        <v>9.533333333333335</v>
      </c>
      <c r="AM816">
        <f t="shared" si="432"/>
        <v>0.95333333333333359</v>
      </c>
      <c r="AN816">
        <f t="shared" si="433"/>
        <v>1.3</v>
      </c>
      <c r="AO816">
        <f t="shared" si="435"/>
        <v>1.4</v>
      </c>
      <c r="AP816">
        <f t="shared" si="434"/>
        <v>3</v>
      </c>
      <c r="AQ816">
        <v>303</v>
      </c>
      <c r="AR816">
        <v>1</v>
      </c>
    </row>
    <row r="817" spans="1:44" x14ac:dyDescent="0.15">
      <c r="A817">
        <f t="shared" si="436"/>
        <v>1504002</v>
      </c>
      <c r="B817" s="6" t="s">
        <v>256</v>
      </c>
      <c r="C817">
        <v>1</v>
      </c>
      <c r="D817">
        <v>5</v>
      </c>
      <c r="E817">
        <v>2</v>
      </c>
      <c r="F817" s="6" t="s">
        <v>287</v>
      </c>
      <c r="G817" s="6" t="s">
        <v>288</v>
      </c>
      <c r="H817">
        <v>0</v>
      </c>
      <c r="I817" s="2">
        <v>0</v>
      </c>
      <c r="J817" s="2">
        <f t="shared" si="418"/>
        <v>3</v>
      </c>
      <c r="K817" s="2">
        <f t="shared" si="419"/>
        <v>1.8</v>
      </c>
      <c r="L817" s="2">
        <f t="shared" si="420"/>
        <v>1.5</v>
      </c>
      <c r="M817" s="2">
        <v>10</v>
      </c>
      <c r="N817" s="2">
        <f t="shared" si="421"/>
        <v>105.6</v>
      </c>
      <c r="O817" s="2">
        <f t="shared" si="422"/>
        <v>10.56</v>
      </c>
      <c r="P817" s="2">
        <f t="shared" si="437"/>
        <v>174.54600000000002</v>
      </c>
      <c r="Q817" s="2">
        <f t="shared" si="424"/>
        <v>87.27</v>
      </c>
      <c r="R817" s="2">
        <f t="shared" si="425"/>
        <v>17.600000000000001</v>
      </c>
      <c r="S817" s="2">
        <f t="shared" si="426"/>
        <v>1.76</v>
      </c>
      <c r="T817" s="2">
        <v>0</v>
      </c>
      <c r="U817" s="2">
        <v>0</v>
      </c>
      <c r="V817" s="2">
        <v>0</v>
      </c>
      <c r="W817" s="2">
        <v>-10</v>
      </c>
      <c r="X817" s="2">
        <v>0</v>
      </c>
      <c r="Y817" s="25">
        <v>135041</v>
      </c>
      <c r="Z817" s="26" t="s">
        <v>481</v>
      </c>
      <c r="AA817" s="4">
        <v>1</v>
      </c>
      <c r="AB817" s="4">
        <v>0.5</v>
      </c>
      <c r="AC817" s="4"/>
      <c r="AD817" s="4">
        <f t="shared" si="438"/>
        <v>1809.5062708800001</v>
      </c>
      <c r="AF817" s="1" t="str">
        <f t="shared" si="439"/>
        <v>4</v>
      </c>
      <c r="AG817">
        <v>1</v>
      </c>
      <c r="AH817">
        <f t="shared" si="427"/>
        <v>105.60000000000001</v>
      </c>
      <c r="AI817">
        <f t="shared" si="428"/>
        <v>10.560000000000002</v>
      </c>
      <c r="AJ817">
        <f t="shared" si="429"/>
        <v>872.72727272727275</v>
      </c>
      <c r="AK817">
        <f t="shared" si="430"/>
        <v>87.27272727272728</v>
      </c>
      <c r="AL817">
        <f t="shared" si="431"/>
        <v>17.600000000000001</v>
      </c>
      <c r="AM817">
        <f t="shared" si="432"/>
        <v>1.7600000000000002</v>
      </c>
      <c r="AN817">
        <f t="shared" si="433"/>
        <v>1.8</v>
      </c>
      <c r="AO817">
        <f t="shared" si="435"/>
        <v>1.5</v>
      </c>
      <c r="AP817">
        <f t="shared" si="434"/>
        <v>3</v>
      </c>
      <c r="AQ817">
        <v>504</v>
      </c>
      <c r="AR817">
        <v>1</v>
      </c>
    </row>
    <row r="818" spans="1:44" x14ac:dyDescent="0.15">
      <c r="A818">
        <f t="shared" si="436"/>
        <v>1206002</v>
      </c>
      <c r="B818" s="21" t="s">
        <v>259</v>
      </c>
      <c r="C818">
        <v>1</v>
      </c>
      <c r="D818">
        <v>2</v>
      </c>
      <c r="E818">
        <v>2</v>
      </c>
      <c r="F818" s="6" t="s">
        <v>289</v>
      </c>
      <c r="G818" s="6" t="s">
        <v>290</v>
      </c>
      <c r="H818" s="2">
        <v>0</v>
      </c>
      <c r="I818" s="2">
        <v>0</v>
      </c>
      <c r="J818" s="2">
        <f t="shared" si="418"/>
        <v>3</v>
      </c>
      <c r="K818" s="2">
        <f t="shared" si="419"/>
        <v>1.6</v>
      </c>
      <c r="L818" s="2">
        <f t="shared" si="420"/>
        <v>2</v>
      </c>
      <c r="M818" s="2">
        <v>10</v>
      </c>
      <c r="N818" s="2">
        <f t="shared" si="421"/>
        <v>76.8</v>
      </c>
      <c r="O818" s="2">
        <f t="shared" si="422"/>
        <v>7.68</v>
      </c>
      <c r="P818" s="2">
        <f t="shared" si="437"/>
        <v>213.33400000000003</v>
      </c>
      <c r="Q818" s="2">
        <f t="shared" si="424"/>
        <v>106.67</v>
      </c>
      <c r="R818" s="2">
        <f t="shared" si="425"/>
        <v>15.36</v>
      </c>
      <c r="S818" s="2">
        <f t="shared" si="426"/>
        <v>1.54</v>
      </c>
      <c r="T818" s="2">
        <v>0</v>
      </c>
      <c r="U818" s="2">
        <v>0</v>
      </c>
      <c r="V818" s="2">
        <v>0</v>
      </c>
      <c r="W818" s="2">
        <v>-10</v>
      </c>
      <c r="X818" s="2">
        <v>0</v>
      </c>
      <c r="Y818" s="25">
        <v>212061</v>
      </c>
      <c r="Z818" s="26" t="s">
        <v>481</v>
      </c>
      <c r="AA818" s="4">
        <v>1</v>
      </c>
      <c r="AB818" s="4">
        <v>0</v>
      </c>
      <c r="AC818" s="4"/>
      <c r="AD818" s="4">
        <f t="shared" si="438"/>
        <v>1809.6171508799998</v>
      </c>
      <c r="AF818" s="1" t="str">
        <f t="shared" si="439"/>
        <v>6</v>
      </c>
      <c r="AG818">
        <v>1</v>
      </c>
      <c r="AH818">
        <f t="shared" si="427"/>
        <v>76.800000000000011</v>
      </c>
      <c r="AI818">
        <f t="shared" si="428"/>
        <v>7.6800000000000015</v>
      </c>
      <c r="AJ818">
        <f t="shared" si="429"/>
        <v>1066.6666666666667</v>
      </c>
      <c r="AK818">
        <f t="shared" si="430"/>
        <v>106.66666666666669</v>
      </c>
      <c r="AL818">
        <f t="shared" si="431"/>
        <v>15.360000000000003</v>
      </c>
      <c r="AM818">
        <f t="shared" si="432"/>
        <v>1.5360000000000005</v>
      </c>
      <c r="AN818">
        <f t="shared" si="433"/>
        <v>1.6</v>
      </c>
      <c r="AO818">
        <f t="shared" si="435"/>
        <v>2</v>
      </c>
      <c r="AP818">
        <f t="shared" si="434"/>
        <v>3</v>
      </c>
      <c r="AQ818">
        <v>206</v>
      </c>
      <c r="AR818">
        <v>1</v>
      </c>
    </row>
    <row r="819" spans="1:44" x14ac:dyDescent="0.15">
      <c r="A819">
        <f t="shared" si="436"/>
        <v>1406002</v>
      </c>
      <c r="B819" s="21" t="s">
        <v>262</v>
      </c>
      <c r="C819">
        <v>1</v>
      </c>
      <c r="D819">
        <v>4</v>
      </c>
      <c r="E819">
        <v>2</v>
      </c>
      <c r="F819" s="6" t="s">
        <v>291</v>
      </c>
      <c r="G819" s="6" t="s">
        <v>292</v>
      </c>
      <c r="H819" s="2">
        <v>0</v>
      </c>
      <c r="I819" s="2" t="s">
        <v>106</v>
      </c>
      <c r="J819" s="2">
        <f t="shared" si="418"/>
        <v>6</v>
      </c>
      <c r="K819" s="2">
        <f t="shared" si="419"/>
        <v>1.4000000000000001</v>
      </c>
      <c r="L819" s="2">
        <f t="shared" si="420"/>
        <v>1.2</v>
      </c>
      <c r="M819" s="2">
        <v>10</v>
      </c>
      <c r="N819" s="2">
        <f t="shared" si="421"/>
        <v>97.07</v>
      </c>
      <c r="O819" s="2">
        <f t="shared" si="422"/>
        <v>9.7100000000000009</v>
      </c>
      <c r="P819" s="2">
        <f t="shared" si="437"/>
        <v>147.69200000000001</v>
      </c>
      <c r="Q819" s="2">
        <f t="shared" si="424"/>
        <v>73.849999999999994</v>
      </c>
      <c r="R819" s="2">
        <f t="shared" si="425"/>
        <v>9.7100000000000009</v>
      </c>
      <c r="S819" s="2">
        <f t="shared" si="426"/>
        <v>0.97</v>
      </c>
      <c r="T819" s="2">
        <v>0</v>
      </c>
      <c r="U819" s="2">
        <v>0</v>
      </c>
      <c r="V819" s="2">
        <v>0</v>
      </c>
      <c r="W819" s="2">
        <v>-10</v>
      </c>
      <c r="X819" s="2">
        <v>0</v>
      </c>
      <c r="Y819" s="25">
        <v>214061</v>
      </c>
      <c r="Z819" s="26" t="s">
        <v>481</v>
      </c>
      <c r="AA819" s="4">
        <v>1</v>
      </c>
      <c r="AB819" s="4">
        <v>0</v>
      </c>
      <c r="AC819" s="4"/>
      <c r="AD819" s="4">
        <f t="shared" si="438"/>
        <v>1810.224527499</v>
      </c>
      <c r="AF819" s="1" t="str">
        <f t="shared" si="439"/>
        <v>6</v>
      </c>
      <c r="AG819">
        <v>1</v>
      </c>
      <c r="AH819">
        <f t="shared" si="427"/>
        <v>97.066666666666649</v>
      </c>
      <c r="AI819">
        <f t="shared" si="428"/>
        <v>9.7066666666666652</v>
      </c>
      <c r="AJ819">
        <f t="shared" si="429"/>
        <v>738.46153846153834</v>
      </c>
      <c r="AK819">
        <f t="shared" si="430"/>
        <v>73.84615384615384</v>
      </c>
      <c r="AL819">
        <f t="shared" si="431"/>
        <v>9.7066666666666652</v>
      </c>
      <c r="AM819">
        <f t="shared" si="432"/>
        <v>0.97066666666666657</v>
      </c>
      <c r="AN819">
        <f t="shared" si="433"/>
        <v>1.4</v>
      </c>
      <c r="AO819">
        <f t="shared" si="435"/>
        <v>1.2</v>
      </c>
      <c r="AP819">
        <f t="shared" si="434"/>
        <v>6</v>
      </c>
      <c r="AQ819">
        <v>406</v>
      </c>
      <c r="AR819">
        <v>1</v>
      </c>
    </row>
    <row r="820" spans="1:44" x14ac:dyDescent="0.15">
      <c r="A820">
        <f t="shared" si="436"/>
        <v>1204002</v>
      </c>
      <c r="B820" s="21" t="s">
        <v>265</v>
      </c>
      <c r="C820">
        <v>1</v>
      </c>
      <c r="D820">
        <v>2</v>
      </c>
      <c r="E820">
        <v>2</v>
      </c>
      <c r="F820" s="6" t="s">
        <v>293</v>
      </c>
      <c r="G820" s="6" t="s">
        <v>294</v>
      </c>
      <c r="H820" s="2">
        <v>0</v>
      </c>
      <c r="I820" s="2">
        <v>0</v>
      </c>
      <c r="J820" s="2">
        <f t="shared" si="418"/>
        <v>3</v>
      </c>
      <c r="K820" s="2">
        <f t="shared" si="419"/>
        <v>1.4000000000000001</v>
      </c>
      <c r="L820" s="2">
        <f t="shared" si="420"/>
        <v>1.2</v>
      </c>
      <c r="M820" s="2">
        <v>10</v>
      </c>
      <c r="N820" s="2">
        <f t="shared" si="421"/>
        <v>67.2</v>
      </c>
      <c r="O820" s="2">
        <f t="shared" si="422"/>
        <v>6.72</v>
      </c>
      <c r="P820" s="2">
        <f t="shared" si="437"/>
        <v>213.33400000000003</v>
      </c>
      <c r="Q820" s="2">
        <f t="shared" si="424"/>
        <v>106.67</v>
      </c>
      <c r="R820" s="2">
        <f t="shared" si="425"/>
        <v>13.44</v>
      </c>
      <c r="S820" s="2">
        <f t="shared" si="426"/>
        <v>1.34</v>
      </c>
      <c r="T820" s="2">
        <v>0</v>
      </c>
      <c r="U820" s="2">
        <v>0</v>
      </c>
      <c r="V820" s="2">
        <v>0</v>
      </c>
      <c r="W820" s="2">
        <v>-10</v>
      </c>
      <c r="X820" s="2">
        <v>0</v>
      </c>
      <c r="Y820" s="25">
        <v>222041</v>
      </c>
      <c r="Z820" s="26" t="s">
        <v>481</v>
      </c>
      <c r="AA820" s="4">
        <v>1</v>
      </c>
      <c r="AB820" s="4">
        <v>0</v>
      </c>
      <c r="AC820" s="4"/>
      <c r="AD820" s="4">
        <f t="shared" si="438"/>
        <v>1809.6171508800003</v>
      </c>
      <c r="AF820" s="1" t="str">
        <f t="shared" si="439"/>
        <v>4</v>
      </c>
      <c r="AG820">
        <v>1</v>
      </c>
      <c r="AH820">
        <f t="shared" si="427"/>
        <v>67.2</v>
      </c>
      <c r="AI820">
        <f t="shared" si="428"/>
        <v>6.7200000000000006</v>
      </c>
      <c r="AJ820">
        <f t="shared" si="429"/>
        <v>1066.6666666666667</v>
      </c>
      <c r="AK820">
        <f t="shared" si="430"/>
        <v>106.66666666666669</v>
      </c>
      <c r="AL820">
        <f t="shared" si="431"/>
        <v>13.440000000000001</v>
      </c>
      <c r="AM820">
        <f t="shared" si="432"/>
        <v>1.3440000000000003</v>
      </c>
      <c r="AN820">
        <f t="shared" si="433"/>
        <v>1.4</v>
      </c>
      <c r="AO820">
        <f t="shared" si="435"/>
        <v>1.2</v>
      </c>
      <c r="AP820">
        <f t="shared" si="434"/>
        <v>3</v>
      </c>
      <c r="AQ820">
        <v>204</v>
      </c>
      <c r="AR820">
        <v>1</v>
      </c>
    </row>
    <row r="821" spans="1:44" x14ac:dyDescent="0.15">
      <c r="A821">
        <f t="shared" si="436"/>
        <v>1404002</v>
      </c>
      <c r="B821" s="21" t="s">
        <v>268</v>
      </c>
      <c r="C821">
        <v>1</v>
      </c>
      <c r="D821">
        <v>4</v>
      </c>
      <c r="E821">
        <v>2</v>
      </c>
      <c r="F821" s="6" t="s">
        <v>295</v>
      </c>
      <c r="G821" s="6" t="s">
        <v>296</v>
      </c>
      <c r="H821" s="2">
        <v>0</v>
      </c>
      <c r="I821" s="2" t="s">
        <v>106</v>
      </c>
      <c r="J821" s="2">
        <f t="shared" si="418"/>
        <v>6</v>
      </c>
      <c r="K821" s="2">
        <f t="shared" si="419"/>
        <v>1.6</v>
      </c>
      <c r="L821" s="2">
        <f t="shared" si="420"/>
        <v>1.9000000000000001</v>
      </c>
      <c r="M821" s="2">
        <v>10</v>
      </c>
      <c r="N821" s="2">
        <f t="shared" si="421"/>
        <v>110.93</v>
      </c>
      <c r="O821" s="2">
        <f t="shared" si="422"/>
        <v>11.09</v>
      </c>
      <c r="P821" s="2">
        <f t="shared" si="437"/>
        <v>147.69200000000001</v>
      </c>
      <c r="Q821" s="2">
        <f t="shared" si="424"/>
        <v>73.849999999999994</v>
      </c>
      <c r="R821" s="2">
        <f t="shared" si="425"/>
        <v>11.09</v>
      </c>
      <c r="S821" s="2">
        <f t="shared" si="426"/>
        <v>1.1100000000000001</v>
      </c>
      <c r="T821" s="2">
        <v>0</v>
      </c>
      <c r="U821" s="2">
        <v>0</v>
      </c>
      <c r="V821" s="2">
        <v>0</v>
      </c>
      <c r="W821" s="2">
        <v>-10</v>
      </c>
      <c r="X821" s="2">
        <v>0</v>
      </c>
      <c r="Y821" s="25">
        <v>224041</v>
      </c>
      <c r="Z821" s="26" t="s">
        <v>481</v>
      </c>
      <c r="AA821" s="4">
        <v>1</v>
      </c>
      <c r="AB821" s="4">
        <v>0</v>
      </c>
      <c r="AC821" s="4"/>
      <c r="AD821" s="4">
        <f t="shared" si="438"/>
        <v>1809.154649838375</v>
      </c>
      <c r="AF821" s="1" t="str">
        <f t="shared" si="439"/>
        <v>4</v>
      </c>
      <c r="AG821">
        <v>1</v>
      </c>
      <c r="AH821">
        <f t="shared" si="427"/>
        <v>110.93333333333334</v>
      </c>
      <c r="AI821">
        <f t="shared" si="428"/>
        <v>11.093333333333334</v>
      </c>
      <c r="AJ821">
        <f t="shared" si="429"/>
        <v>738.46153846153834</v>
      </c>
      <c r="AK821">
        <f t="shared" si="430"/>
        <v>73.84615384615384</v>
      </c>
      <c r="AL821">
        <f t="shared" si="431"/>
        <v>11.093333333333334</v>
      </c>
      <c r="AM821">
        <f t="shared" si="432"/>
        <v>1.1093333333333335</v>
      </c>
      <c r="AN821">
        <f t="shared" si="433"/>
        <v>1.6</v>
      </c>
      <c r="AO821">
        <f t="shared" si="435"/>
        <v>1.9</v>
      </c>
      <c r="AP821">
        <f t="shared" si="434"/>
        <v>6</v>
      </c>
      <c r="AQ821">
        <v>404</v>
      </c>
      <c r="AR821">
        <v>1</v>
      </c>
    </row>
    <row r="822" spans="1:44" x14ac:dyDescent="0.15">
      <c r="A822">
        <f t="shared" si="436"/>
        <v>1503002</v>
      </c>
      <c r="B822" s="21" t="s">
        <v>271</v>
      </c>
      <c r="C822">
        <v>1</v>
      </c>
      <c r="D822">
        <v>5</v>
      </c>
      <c r="E822">
        <v>2</v>
      </c>
      <c r="F822" s="6" t="s">
        <v>297</v>
      </c>
      <c r="G822" s="6" t="s">
        <v>298</v>
      </c>
      <c r="H822" s="2">
        <v>0</v>
      </c>
      <c r="I822" s="2">
        <v>0</v>
      </c>
      <c r="J822" s="2">
        <f t="shared" si="418"/>
        <v>3</v>
      </c>
      <c r="K822" s="2">
        <f t="shared" si="419"/>
        <v>1.6</v>
      </c>
      <c r="L822" s="2">
        <f t="shared" si="420"/>
        <v>1.5</v>
      </c>
      <c r="M822" s="2">
        <v>10</v>
      </c>
      <c r="N822" s="2">
        <f t="shared" si="421"/>
        <v>102.4</v>
      </c>
      <c r="O822" s="2">
        <f t="shared" si="422"/>
        <v>10.24</v>
      </c>
      <c r="P822" s="2">
        <f t="shared" si="437"/>
        <v>160</v>
      </c>
      <c r="Q822" s="2">
        <f t="shared" si="424"/>
        <v>80</v>
      </c>
      <c r="R822" s="2">
        <f t="shared" si="425"/>
        <v>17.07</v>
      </c>
      <c r="S822" s="2">
        <f t="shared" si="426"/>
        <v>1.71</v>
      </c>
      <c r="T822" s="2">
        <v>0</v>
      </c>
      <c r="U822" s="2">
        <v>0</v>
      </c>
      <c r="V822" s="2">
        <v>0</v>
      </c>
      <c r="W822" s="2">
        <v>-10</v>
      </c>
      <c r="X822" s="2">
        <v>0</v>
      </c>
      <c r="Y822" s="25">
        <v>235031</v>
      </c>
      <c r="Z822" s="26" t="s">
        <v>481</v>
      </c>
      <c r="AA822" s="4">
        <v>1</v>
      </c>
      <c r="AB822" s="4">
        <v>0</v>
      </c>
      <c r="AC822" s="4"/>
      <c r="AD822" s="4">
        <f t="shared" si="438"/>
        <v>1809.5616</v>
      </c>
      <c r="AF822" s="1" t="str">
        <f t="shared" si="439"/>
        <v>3</v>
      </c>
      <c r="AG822">
        <v>1</v>
      </c>
      <c r="AH822">
        <f t="shared" si="427"/>
        <v>102.4</v>
      </c>
      <c r="AI822">
        <f t="shared" si="428"/>
        <v>10.240000000000002</v>
      </c>
      <c r="AJ822">
        <f t="shared" si="429"/>
        <v>800</v>
      </c>
      <c r="AK822">
        <f t="shared" si="430"/>
        <v>80</v>
      </c>
      <c r="AL822">
        <f t="shared" si="431"/>
        <v>17.066666666666666</v>
      </c>
      <c r="AM822">
        <f t="shared" si="432"/>
        <v>1.7066666666666668</v>
      </c>
      <c r="AN822">
        <f t="shared" si="433"/>
        <v>1.6</v>
      </c>
      <c r="AO822">
        <f t="shared" si="435"/>
        <v>1.5</v>
      </c>
      <c r="AP822">
        <f t="shared" si="434"/>
        <v>3</v>
      </c>
      <c r="AQ822">
        <v>503</v>
      </c>
      <c r="AR822">
        <v>1</v>
      </c>
    </row>
    <row r="823" spans="1:44" x14ac:dyDescent="0.15">
      <c r="A823">
        <f t="shared" si="436"/>
        <v>1304002</v>
      </c>
      <c r="B823" s="21" t="s">
        <v>274</v>
      </c>
      <c r="C823">
        <v>1</v>
      </c>
      <c r="D823">
        <v>3</v>
      </c>
      <c r="E823">
        <v>2</v>
      </c>
      <c r="F823" s="6" t="s">
        <v>299</v>
      </c>
      <c r="G823" s="6" t="s">
        <v>300</v>
      </c>
      <c r="H823">
        <v>0</v>
      </c>
      <c r="I823" s="2">
        <v>0</v>
      </c>
      <c r="J823" s="2">
        <f t="shared" si="418"/>
        <v>3</v>
      </c>
      <c r="K823" s="2">
        <f t="shared" si="419"/>
        <v>1.4000000000000001</v>
      </c>
      <c r="L823" s="2">
        <f t="shared" si="420"/>
        <v>2</v>
      </c>
      <c r="M823" s="2">
        <v>10</v>
      </c>
      <c r="N823" s="2">
        <f t="shared" si="421"/>
        <v>85.87</v>
      </c>
      <c r="O823" s="2">
        <f t="shared" si="422"/>
        <v>8.59</v>
      </c>
      <c r="P823" s="2">
        <f t="shared" si="437"/>
        <v>166.95600000000002</v>
      </c>
      <c r="Q823" s="2">
        <f t="shared" si="424"/>
        <v>83.48</v>
      </c>
      <c r="R823" s="2">
        <f t="shared" si="425"/>
        <v>10.73</v>
      </c>
      <c r="S823" s="2">
        <f t="shared" si="426"/>
        <v>1.07</v>
      </c>
      <c r="T823" s="2">
        <v>0</v>
      </c>
      <c r="U823" s="2">
        <v>0</v>
      </c>
      <c r="V823" s="2">
        <v>0</v>
      </c>
      <c r="W823" s="2">
        <v>-10</v>
      </c>
      <c r="X823" s="2">
        <v>0</v>
      </c>
      <c r="Y823" s="25">
        <v>233041</v>
      </c>
      <c r="Z823" s="26" t="s">
        <v>481</v>
      </c>
      <c r="AA823" s="4">
        <v>1</v>
      </c>
      <c r="AB823" s="4">
        <v>0</v>
      </c>
      <c r="AC823" s="4"/>
      <c r="AD823" s="4">
        <f t="shared" si="438"/>
        <v>1810.2434570370001</v>
      </c>
      <c r="AF823" s="1" t="str">
        <f t="shared" si="439"/>
        <v>4</v>
      </c>
      <c r="AG823">
        <v>1</v>
      </c>
      <c r="AH823">
        <f t="shared" si="427"/>
        <v>85.86666666666666</v>
      </c>
      <c r="AI823">
        <f t="shared" si="428"/>
        <v>8.586666666666666</v>
      </c>
      <c r="AJ823">
        <f t="shared" si="429"/>
        <v>834.78260869565224</v>
      </c>
      <c r="AK823">
        <f t="shared" si="430"/>
        <v>83.478260869565233</v>
      </c>
      <c r="AL823">
        <f t="shared" si="431"/>
        <v>10.733333333333333</v>
      </c>
      <c r="AM823">
        <f t="shared" si="432"/>
        <v>1.0733333333333333</v>
      </c>
      <c r="AN823">
        <f t="shared" si="433"/>
        <v>1.4</v>
      </c>
      <c r="AO823">
        <f t="shared" si="435"/>
        <v>2</v>
      </c>
      <c r="AP823">
        <f t="shared" si="434"/>
        <v>3</v>
      </c>
      <c r="AQ823">
        <v>304</v>
      </c>
      <c r="AR823">
        <v>1</v>
      </c>
    </row>
    <row r="824" spans="1:44" x14ac:dyDescent="0.15">
      <c r="A824">
        <f t="shared" si="436"/>
        <v>1203003</v>
      </c>
      <c r="B824" s="6" t="s">
        <v>241</v>
      </c>
      <c r="C824">
        <v>1</v>
      </c>
      <c r="D824">
        <v>2</v>
      </c>
      <c r="E824">
        <v>3</v>
      </c>
      <c r="F824" s="6" t="s">
        <v>301</v>
      </c>
      <c r="G824" s="20" t="s">
        <v>302</v>
      </c>
      <c r="H824">
        <v>0</v>
      </c>
      <c r="I824" s="2">
        <v>0</v>
      </c>
      <c r="J824" s="2">
        <f t="shared" si="418"/>
        <v>3</v>
      </c>
      <c r="K824" s="2">
        <f t="shared" si="419"/>
        <v>1.3</v>
      </c>
      <c r="L824" s="2">
        <f t="shared" si="420"/>
        <v>1.9000000000000001</v>
      </c>
      <c r="M824" s="2">
        <v>10</v>
      </c>
      <c r="N824" s="2">
        <f t="shared" si="421"/>
        <v>62.4</v>
      </c>
      <c r="O824" s="2">
        <f t="shared" si="422"/>
        <v>6.24</v>
      </c>
      <c r="P824" s="2">
        <f t="shared" si="437"/>
        <v>213.33400000000003</v>
      </c>
      <c r="Q824" s="2">
        <f t="shared" si="424"/>
        <v>106.67</v>
      </c>
      <c r="R824" s="2">
        <f t="shared" si="425"/>
        <v>12.48</v>
      </c>
      <c r="S824" s="2">
        <f t="shared" si="426"/>
        <v>1.25</v>
      </c>
      <c r="T824" s="2">
        <v>0</v>
      </c>
      <c r="U824" s="2">
        <v>0</v>
      </c>
      <c r="V824" s="2">
        <v>0</v>
      </c>
      <c r="W824" s="2">
        <v>-10</v>
      </c>
      <c r="X824" s="2">
        <v>0</v>
      </c>
      <c r="Y824" s="25">
        <v>112031</v>
      </c>
      <c r="Z824" s="26" t="s">
        <v>481</v>
      </c>
      <c r="AA824" s="4">
        <v>1</v>
      </c>
      <c r="AB824" s="4">
        <v>0</v>
      </c>
      <c r="AC824" s="4"/>
      <c r="AD824" s="4">
        <f t="shared" si="438"/>
        <v>1809.6171508799998</v>
      </c>
      <c r="AF824" s="1" t="str">
        <f t="shared" si="439"/>
        <v>3</v>
      </c>
      <c r="AG824">
        <v>1</v>
      </c>
      <c r="AH824">
        <f t="shared" si="427"/>
        <v>62.400000000000013</v>
      </c>
      <c r="AI824">
        <f t="shared" si="428"/>
        <v>6.240000000000002</v>
      </c>
      <c r="AJ824">
        <f t="shared" si="429"/>
        <v>1066.6666666666667</v>
      </c>
      <c r="AK824">
        <f t="shared" si="430"/>
        <v>106.66666666666669</v>
      </c>
      <c r="AL824">
        <f t="shared" si="431"/>
        <v>12.480000000000002</v>
      </c>
      <c r="AM824">
        <f t="shared" si="432"/>
        <v>1.2480000000000002</v>
      </c>
      <c r="AN824">
        <f t="shared" si="433"/>
        <v>1.3</v>
      </c>
      <c r="AO824">
        <f t="shared" si="435"/>
        <v>1.9</v>
      </c>
      <c r="AP824">
        <f t="shared" si="434"/>
        <v>3</v>
      </c>
      <c r="AQ824">
        <v>203</v>
      </c>
      <c r="AR824">
        <v>1</v>
      </c>
    </row>
    <row r="825" spans="1:44" x14ac:dyDescent="0.15">
      <c r="A825">
        <f t="shared" si="436"/>
        <v>1403003</v>
      </c>
      <c r="B825" s="6" t="s">
        <v>244</v>
      </c>
      <c r="C825">
        <v>1</v>
      </c>
      <c r="D825">
        <v>4</v>
      </c>
      <c r="E825">
        <v>3</v>
      </c>
      <c r="F825" s="6" t="s">
        <v>303</v>
      </c>
      <c r="G825" s="20" t="s">
        <v>304</v>
      </c>
      <c r="H825" s="2">
        <v>0</v>
      </c>
      <c r="I825" s="2" t="s">
        <v>103</v>
      </c>
      <c r="J825" s="2">
        <f t="shared" si="418"/>
        <v>6</v>
      </c>
      <c r="K825" s="2">
        <f t="shared" si="419"/>
        <v>1.3</v>
      </c>
      <c r="L825" s="2">
        <f t="shared" si="420"/>
        <v>1.9000000000000001</v>
      </c>
      <c r="M825" s="2">
        <v>10</v>
      </c>
      <c r="N825" s="2">
        <f t="shared" si="421"/>
        <v>83.2</v>
      </c>
      <c r="O825" s="2">
        <f t="shared" si="422"/>
        <v>8.32</v>
      </c>
      <c r="P825" s="2">
        <f t="shared" si="437"/>
        <v>160</v>
      </c>
      <c r="Q825" s="2">
        <f t="shared" si="424"/>
        <v>80</v>
      </c>
      <c r="R825" s="2">
        <f t="shared" si="425"/>
        <v>8.32</v>
      </c>
      <c r="S825" s="2">
        <f t="shared" si="426"/>
        <v>0.83</v>
      </c>
      <c r="T825" s="2">
        <v>0</v>
      </c>
      <c r="U825" s="2">
        <v>0</v>
      </c>
      <c r="V825" s="2">
        <v>0</v>
      </c>
      <c r="W825" s="2">
        <v>-10</v>
      </c>
      <c r="X825" s="2">
        <v>0</v>
      </c>
      <c r="Y825" s="25">
        <v>114031</v>
      </c>
      <c r="Z825" s="26" t="s">
        <v>481</v>
      </c>
      <c r="AA825" s="4">
        <v>1</v>
      </c>
      <c r="AB825" s="4">
        <v>0</v>
      </c>
      <c r="AC825" s="4"/>
      <c r="AD825" s="4">
        <f t="shared" si="438"/>
        <v>1809.5616</v>
      </c>
      <c r="AF825" s="1" t="str">
        <f t="shared" si="439"/>
        <v>3</v>
      </c>
      <c r="AG825">
        <v>1</v>
      </c>
      <c r="AH825">
        <f t="shared" si="427"/>
        <v>83.2</v>
      </c>
      <c r="AI825">
        <f t="shared" si="428"/>
        <v>8.32</v>
      </c>
      <c r="AJ825">
        <f t="shared" si="429"/>
        <v>800</v>
      </c>
      <c r="AK825">
        <f t="shared" si="430"/>
        <v>80</v>
      </c>
      <c r="AL825">
        <f t="shared" si="431"/>
        <v>8.32</v>
      </c>
      <c r="AM825">
        <f t="shared" si="432"/>
        <v>0.83200000000000007</v>
      </c>
      <c r="AN825">
        <f t="shared" si="433"/>
        <v>1.3</v>
      </c>
      <c r="AO825">
        <f t="shared" si="435"/>
        <v>1.9</v>
      </c>
      <c r="AP825">
        <f t="shared" si="434"/>
        <v>6</v>
      </c>
      <c r="AQ825">
        <v>403</v>
      </c>
      <c r="AR825">
        <v>1</v>
      </c>
    </row>
    <row r="826" spans="1:44" x14ac:dyDescent="0.15">
      <c r="A826">
        <f t="shared" si="436"/>
        <v>1205003</v>
      </c>
      <c r="B826" s="6" t="s">
        <v>247</v>
      </c>
      <c r="C826">
        <v>1</v>
      </c>
      <c r="D826">
        <v>2</v>
      </c>
      <c r="E826">
        <v>3</v>
      </c>
      <c r="F826" s="6" t="s">
        <v>305</v>
      </c>
      <c r="G826" s="20" t="s">
        <v>306</v>
      </c>
      <c r="H826">
        <v>0</v>
      </c>
      <c r="I826" s="2">
        <v>0</v>
      </c>
      <c r="J826" s="2">
        <f t="shared" si="418"/>
        <v>3</v>
      </c>
      <c r="K826" s="2">
        <f t="shared" si="419"/>
        <v>1.8</v>
      </c>
      <c r="L826" s="2">
        <f t="shared" si="420"/>
        <v>2</v>
      </c>
      <c r="M826" s="2">
        <v>10</v>
      </c>
      <c r="N826" s="2">
        <f t="shared" si="421"/>
        <v>86.4</v>
      </c>
      <c r="O826" s="2">
        <f t="shared" si="422"/>
        <v>8.64</v>
      </c>
      <c r="P826" s="2">
        <f t="shared" si="437"/>
        <v>213.33400000000003</v>
      </c>
      <c r="Q826" s="2">
        <f t="shared" si="424"/>
        <v>106.67</v>
      </c>
      <c r="R826" s="2">
        <f t="shared" si="425"/>
        <v>17.28</v>
      </c>
      <c r="S826" s="2">
        <f t="shared" si="426"/>
        <v>1.73</v>
      </c>
      <c r="T826" s="2">
        <v>0</v>
      </c>
      <c r="U826" s="2">
        <v>0</v>
      </c>
      <c r="V826" s="2">
        <v>0</v>
      </c>
      <c r="W826" s="2">
        <v>-10</v>
      </c>
      <c r="X826" s="2">
        <v>0</v>
      </c>
      <c r="Y826" s="25">
        <v>122051</v>
      </c>
      <c r="Z826" s="26" t="s">
        <v>481</v>
      </c>
      <c r="AA826" s="4">
        <v>1</v>
      </c>
      <c r="AB826" s="4">
        <v>0</v>
      </c>
      <c r="AC826" s="4"/>
      <c r="AD826" s="4">
        <f t="shared" si="438"/>
        <v>1809.6171508800003</v>
      </c>
      <c r="AF826" s="1" t="str">
        <f t="shared" si="439"/>
        <v>5</v>
      </c>
      <c r="AG826">
        <v>1</v>
      </c>
      <c r="AH826">
        <f t="shared" si="427"/>
        <v>86.4</v>
      </c>
      <c r="AI826">
        <f t="shared" si="428"/>
        <v>8.64</v>
      </c>
      <c r="AJ826">
        <f t="shared" si="429"/>
        <v>1066.6666666666667</v>
      </c>
      <c r="AK826">
        <f t="shared" si="430"/>
        <v>106.66666666666669</v>
      </c>
      <c r="AL826">
        <f t="shared" si="431"/>
        <v>17.28</v>
      </c>
      <c r="AM826">
        <f t="shared" si="432"/>
        <v>1.7280000000000002</v>
      </c>
      <c r="AN826">
        <f t="shared" si="433"/>
        <v>1.8</v>
      </c>
      <c r="AO826">
        <f t="shared" si="435"/>
        <v>2</v>
      </c>
      <c r="AP826">
        <f t="shared" si="434"/>
        <v>3</v>
      </c>
      <c r="AQ826">
        <v>205</v>
      </c>
      <c r="AR826">
        <v>1</v>
      </c>
    </row>
    <row r="827" spans="1:44" x14ac:dyDescent="0.15">
      <c r="A827">
        <f t="shared" si="436"/>
        <v>1405003</v>
      </c>
      <c r="B827" s="6" t="s">
        <v>250</v>
      </c>
      <c r="C827">
        <v>1</v>
      </c>
      <c r="D827">
        <v>4</v>
      </c>
      <c r="E827">
        <v>3</v>
      </c>
      <c r="F827" s="6" t="s">
        <v>307</v>
      </c>
      <c r="G827" s="6" t="s">
        <v>308</v>
      </c>
      <c r="H827">
        <v>0</v>
      </c>
      <c r="I827" s="2" t="s">
        <v>103</v>
      </c>
      <c r="J827" s="2">
        <f t="shared" si="418"/>
        <v>6</v>
      </c>
      <c r="K827" s="2">
        <f t="shared" si="419"/>
        <v>1.5</v>
      </c>
      <c r="L827" s="2">
        <f t="shared" si="420"/>
        <v>1.5</v>
      </c>
      <c r="M827" s="2">
        <v>10</v>
      </c>
      <c r="N827" s="2">
        <f t="shared" si="421"/>
        <v>100</v>
      </c>
      <c r="O827" s="2">
        <f t="shared" si="422"/>
        <v>10</v>
      </c>
      <c r="P827" s="2">
        <f t="shared" si="437"/>
        <v>153.60000000000002</v>
      </c>
      <c r="Q827" s="2">
        <f t="shared" si="424"/>
        <v>76.8</v>
      </c>
      <c r="R827" s="2">
        <f t="shared" si="425"/>
        <v>10</v>
      </c>
      <c r="S827" s="2">
        <f t="shared" si="426"/>
        <v>1</v>
      </c>
      <c r="T827" s="2">
        <v>0</v>
      </c>
      <c r="U827" s="2">
        <v>0</v>
      </c>
      <c r="V827" s="2">
        <v>0</v>
      </c>
      <c r="W827" s="2">
        <v>-10</v>
      </c>
      <c r="X827" s="2">
        <v>0</v>
      </c>
      <c r="Y827" s="25">
        <v>124051</v>
      </c>
      <c r="Z827" s="26" t="s">
        <v>481</v>
      </c>
      <c r="AA827" s="4">
        <v>1</v>
      </c>
      <c r="AB827" s="4">
        <v>0</v>
      </c>
      <c r="AC827" s="4"/>
      <c r="AD827" s="4">
        <f t="shared" si="438"/>
        <v>1809.5616</v>
      </c>
      <c r="AF827" s="1" t="str">
        <f t="shared" si="439"/>
        <v>5</v>
      </c>
      <c r="AG827">
        <v>1</v>
      </c>
      <c r="AH827">
        <f t="shared" si="427"/>
        <v>100</v>
      </c>
      <c r="AI827">
        <f t="shared" si="428"/>
        <v>10</v>
      </c>
      <c r="AJ827">
        <f t="shared" si="429"/>
        <v>768</v>
      </c>
      <c r="AK827">
        <f t="shared" si="430"/>
        <v>76.800000000000011</v>
      </c>
      <c r="AL827">
        <f t="shared" si="431"/>
        <v>10</v>
      </c>
      <c r="AM827">
        <f t="shared" si="432"/>
        <v>1</v>
      </c>
      <c r="AN827">
        <f t="shared" si="433"/>
        <v>1.5</v>
      </c>
      <c r="AO827">
        <f t="shared" si="435"/>
        <v>1.5</v>
      </c>
      <c r="AP827">
        <f t="shared" si="434"/>
        <v>6</v>
      </c>
      <c r="AQ827">
        <v>405</v>
      </c>
      <c r="AR827">
        <v>1</v>
      </c>
    </row>
    <row r="828" spans="1:44" x14ac:dyDescent="0.15">
      <c r="A828">
        <f t="shared" si="436"/>
        <v>1303003</v>
      </c>
      <c r="B828" s="6" t="s">
        <v>253</v>
      </c>
      <c r="C828">
        <v>1</v>
      </c>
      <c r="D828">
        <v>3</v>
      </c>
      <c r="E828">
        <v>3</v>
      </c>
      <c r="F828" s="6" t="s">
        <v>309</v>
      </c>
      <c r="G828" s="6" t="s">
        <v>310</v>
      </c>
      <c r="H828" s="2">
        <v>0</v>
      </c>
      <c r="I828" s="2">
        <v>0</v>
      </c>
      <c r="J828" s="2">
        <f t="shared" si="418"/>
        <v>3</v>
      </c>
      <c r="K828" s="2">
        <f t="shared" si="419"/>
        <v>1.3</v>
      </c>
      <c r="L828" s="2">
        <f t="shared" si="420"/>
        <v>1.4000000000000001</v>
      </c>
      <c r="M828" s="2">
        <v>10</v>
      </c>
      <c r="N828" s="2">
        <f t="shared" si="421"/>
        <v>76.27</v>
      </c>
      <c r="O828" s="2">
        <f t="shared" si="422"/>
        <v>7.63</v>
      </c>
      <c r="P828" s="2">
        <f t="shared" si="437"/>
        <v>174.54600000000002</v>
      </c>
      <c r="Q828" s="2">
        <f t="shared" si="424"/>
        <v>87.27</v>
      </c>
      <c r="R828" s="2">
        <f t="shared" si="425"/>
        <v>9.5299999999999994</v>
      </c>
      <c r="S828" s="2">
        <f t="shared" si="426"/>
        <v>0.95</v>
      </c>
      <c r="T828" s="2">
        <v>0</v>
      </c>
      <c r="U828" s="2">
        <v>0</v>
      </c>
      <c r="V828" s="2">
        <v>0</v>
      </c>
      <c r="W828" s="2">
        <v>-10</v>
      </c>
      <c r="X828" s="2">
        <v>0</v>
      </c>
      <c r="Y828" s="25">
        <v>133031</v>
      </c>
      <c r="Z828" s="26" t="s">
        <v>481</v>
      </c>
      <c r="AA828" s="4">
        <v>1</v>
      </c>
      <c r="AB828" s="4">
        <v>0</v>
      </c>
      <c r="AC828" s="4"/>
      <c r="AD828" s="4">
        <f t="shared" si="438"/>
        <v>1810.2324316133074</v>
      </c>
      <c r="AF828" s="1" t="str">
        <f t="shared" si="439"/>
        <v>3</v>
      </c>
      <c r="AG828">
        <v>1</v>
      </c>
      <c r="AH828">
        <f t="shared" si="427"/>
        <v>76.26666666666668</v>
      </c>
      <c r="AI828">
        <f t="shared" si="428"/>
        <v>7.6266666666666687</v>
      </c>
      <c r="AJ828">
        <f t="shared" si="429"/>
        <v>872.72727272727275</v>
      </c>
      <c r="AK828">
        <f t="shared" si="430"/>
        <v>87.27272727272728</v>
      </c>
      <c r="AL828">
        <f t="shared" si="431"/>
        <v>9.533333333333335</v>
      </c>
      <c r="AM828">
        <f t="shared" si="432"/>
        <v>0.95333333333333359</v>
      </c>
      <c r="AN828">
        <f t="shared" si="433"/>
        <v>1.3</v>
      </c>
      <c r="AO828">
        <f t="shared" si="435"/>
        <v>1.4</v>
      </c>
      <c r="AP828">
        <f t="shared" si="434"/>
        <v>3</v>
      </c>
      <c r="AQ828">
        <v>303</v>
      </c>
      <c r="AR828">
        <v>1</v>
      </c>
    </row>
    <row r="829" spans="1:44" x14ac:dyDescent="0.15">
      <c r="A829">
        <f t="shared" si="436"/>
        <v>1504003</v>
      </c>
      <c r="B829" s="6" t="s">
        <v>256</v>
      </c>
      <c r="C829">
        <v>1</v>
      </c>
      <c r="D829">
        <v>5</v>
      </c>
      <c r="E829">
        <v>3</v>
      </c>
      <c r="F829" s="6" t="s">
        <v>311</v>
      </c>
      <c r="G829" s="6" t="s">
        <v>312</v>
      </c>
      <c r="H829">
        <v>0</v>
      </c>
      <c r="I829" s="2">
        <v>0</v>
      </c>
      <c r="J829" s="2">
        <f t="shared" si="418"/>
        <v>3</v>
      </c>
      <c r="K829" s="2">
        <f t="shared" si="419"/>
        <v>1.8</v>
      </c>
      <c r="L829" s="2">
        <f t="shared" si="420"/>
        <v>1.5</v>
      </c>
      <c r="M829" s="2">
        <v>10</v>
      </c>
      <c r="N829" s="2">
        <f t="shared" si="421"/>
        <v>105.6</v>
      </c>
      <c r="O829" s="2">
        <f t="shared" si="422"/>
        <v>10.56</v>
      </c>
      <c r="P829" s="2">
        <f t="shared" si="437"/>
        <v>174.54600000000002</v>
      </c>
      <c r="Q829" s="2">
        <f t="shared" si="424"/>
        <v>87.27</v>
      </c>
      <c r="R829" s="2">
        <f t="shared" si="425"/>
        <v>17.600000000000001</v>
      </c>
      <c r="S829" s="2">
        <f t="shared" si="426"/>
        <v>1.76</v>
      </c>
      <c r="T829" s="2">
        <v>0</v>
      </c>
      <c r="U829" s="2">
        <v>0</v>
      </c>
      <c r="V829" s="2">
        <v>0</v>
      </c>
      <c r="W829" s="2">
        <v>-10</v>
      </c>
      <c r="X829" s="2">
        <v>0</v>
      </c>
      <c r="Y829" s="25">
        <v>135041</v>
      </c>
      <c r="Z829" s="26" t="s">
        <v>481</v>
      </c>
      <c r="AA829" s="4">
        <v>1</v>
      </c>
      <c r="AB829" s="4">
        <v>0.5</v>
      </c>
      <c r="AC829" s="4"/>
      <c r="AD829" s="4">
        <f t="shared" si="438"/>
        <v>1809.5062708800001</v>
      </c>
      <c r="AF829" s="1" t="str">
        <f t="shared" si="439"/>
        <v>4</v>
      </c>
      <c r="AG829">
        <v>1</v>
      </c>
      <c r="AH829">
        <f t="shared" si="427"/>
        <v>105.60000000000001</v>
      </c>
      <c r="AI829">
        <f t="shared" si="428"/>
        <v>10.560000000000002</v>
      </c>
      <c r="AJ829">
        <f t="shared" si="429"/>
        <v>872.72727272727275</v>
      </c>
      <c r="AK829">
        <f t="shared" si="430"/>
        <v>87.27272727272728</v>
      </c>
      <c r="AL829">
        <f t="shared" si="431"/>
        <v>17.600000000000001</v>
      </c>
      <c r="AM829">
        <f t="shared" si="432"/>
        <v>1.7600000000000002</v>
      </c>
      <c r="AN829">
        <f t="shared" si="433"/>
        <v>1.8</v>
      </c>
      <c r="AO829">
        <f t="shared" si="435"/>
        <v>1.5</v>
      </c>
      <c r="AP829">
        <f t="shared" si="434"/>
        <v>3</v>
      </c>
      <c r="AQ829">
        <v>504</v>
      </c>
      <c r="AR829">
        <v>1</v>
      </c>
    </row>
    <row r="830" spans="1:44" x14ac:dyDescent="0.15">
      <c r="A830">
        <f t="shared" si="436"/>
        <v>1206003</v>
      </c>
      <c r="B830" s="21" t="s">
        <v>259</v>
      </c>
      <c r="C830">
        <v>1</v>
      </c>
      <c r="D830">
        <v>2</v>
      </c>
      <c r="E830">
        <v>3</v>
      </c>
      <c r="F830" s="6" t="s">
        <v>313</v>
      </c>
      <c r="G830" s="6" t="s">
        <v>314</v>
      </c>
      <c r="H830" s="2">
        <v>0</v>
      </c>
      <c r="I830" s="2">
        <v>0</v>
      </c>
      <c r="J830" s="2">
        <f t="shared" si="418"/>
        <v>3</v>
      </c>
      <c r="K830" s="2">
        <f t="shared" si="419"/>
        <v>1.6</v>
      </c>
      <c r="L830" s="2">
        <f t="shared" si="420"/>
        <v>2</v>
      </c>
      <c r="M830" s="2">
        <v>10</v>
      </c>
      <c r="N830" s="2">
        <f t="shared" si="421"/>
        <v>76.8</v>
      </c>
      <c r="O830" s="2">
        <f t="shared" si="422"/>
        <v>7.68</v>
      </c>
      <c r="P830" s="2">
        <f t="shared" si="437"/>
        <v>213.33400000000003</v>
      </c>
      <c r="Q830" s="2">
        <f t="shared" si="424"/>
        <v>106.67</v>
      </c>
      <c r="R830" s="2">
        <f t="shared" si="425"/>
        <v>15.36</v>
      </c>
      <c r="S830" s="2">
        <f t="shared" si="426"/>
        <v>1.54</v>
      </c>
      <c r="T830" s="2">
        <v>0</v>
      </c>
      <c r="U830" s="2">
        <v>0</v>
      </c>
      <c r="V830" s="2">
        <v>0</v>
      </c>
      <c r="W830" s="2">
        <v>-10</v>
      </c>
      <c r="X830" s="2">
        <v>0</v>
      </c>
      <c r="Y830" s="25">
        <v>212061</v>
      </c>
      <c r="Z830" s="26" t="s">
        <v>481</v>
      </c>
      <c r="AA830" s="4">
        <v>1</v>
      </c>
      <c r="AB830" s="4">
        <v>0</v>
      </c>
      <c r="AC830" s="4"/>
      <c r="AD830" s="4">
        <f t="shared" si="438"/>
        <v>1809.6171508799998</v>
      </c>
      <c r="AF830" s="1" t="str">
        <f t="shared" si="439"/>
        <v>6</v>
      </c>
      <c r="AG830">
        <v>1</v>
      </c>
      <c r="AH830">
        <f t="shared" si="427"/>
        <v>76.800000000000011</v>
      </c>
      <c r="AI830">
        <f t="shared" si="428"/>
        <v>7.6800000000000015</v>
      </c>
      <c r="AJ830">
        <f t="shared" si="429"/>
        <v>1066.6666666666667</v>
      </c>
      <c r="AK830">
        <f t="shared" si="430"/>
        <v>106.66666666666669</v>
      </c>
      <c r="AL830">
        <f t="shared" si="431"/>
        <v>15.360000000000003</v>
      </c>
      <c r="AM830">
        <f t="shared" si="432"/>
        <v>1.5360000000000005</v>
      </c>
      <c r="AN830">
        <f t="shared" si="433"/>
        <v>1.6</v>
      </c>
      <c r="AO830">
        <f t="shared" si="435"/>
        <v>2</v>
      </c>
      <c r="AP830">
        <f t="shared" si="434"/>
        <v>3</v>
      </c>
      <c r="AQ830">
        <v>206</v>
      </c>
      <c r="AR830">
        <v>1</v>
      </c>
    </row>
    <row r="831" spans="1:44" x14ac:dyDescent="0.15">
      <c r="A831">
        <f t="shared" si="436"/>
        <v>1406003</v>
      </c>
      <c r="B831" s="21" t="s">
        <v>262</v>
      </c>
      <c r="C831">
        <v>1</v>
      </c>
      <c r="D831">
        <v>4</v>
      </c>
      <c r="E831">
        <v>3</v>
      </c>
      <c r="F831" s="6" t="s">
        <v>315</v>
      </c>
      <c r="G831" s="6" t="s">
        <v>316</v>
      </c>
      <c r="H831" s="2">
        <v>0</v>
      </c>
      <c r="I831" s="2" t="s">
        <v>103</v>
      </c>
      <c r="J831" s="2">
        <f t="shared" si="418"/>
        <v>6</v>
      </c>
      <c r="K831" s="2">
        <f t="shared" si="419"/>
        <v>1.4000000000000001</v>
      </c>
      <c r="L831" s="2">
        <f t="shared" si="420"/>
        <v>1.2</v>
      </c>
      <c r="M831" s="2">
        <v>10</v>
      </c>
      <c r="N831" s="2">
        <f t="shared" si="421"/>
        <v>97.07</v>
      </c>
      <c r="O831" s="2">
        <f t="shared" si="422"/>
        <v>9.7100000000000009</v>
      </c>
      <c r="P831" s="2">
        <f t="shared" si="437"/>
        <v>147.69200000000001</v>
      </c>
      <c r="Q831" s="2">
        <f t="shared" si="424"/>
        <v>73.849999999999994</v>
      </c>
      <c r="R831" s="2">
        <f t="shared" si="425"/>
        <v>9.7100000000000009</v>
      </c>
      <c r="S831" s="2">
        <f t="shared" si="426"/>
        <v>0.97</v>
      </c>
      <c r="T831" s="2">
        <v>0</v>
      </c>
      <c r="U831" s="2">
        <v>0</v>
      </c>
      <c r="V831" s="2">
        <v>0</v>
      </c>
      <c r="W831" s="2">
        <v>-10</v>
      </c>
      <c r="X831" s="2">
        <v>0</v>
      </c>
      <c r="Y831" s="25">
        <v>214061</v>
      </c>
      <c r="Z831" s="26" t="s">
        <v>481</v>
      </c>
      <c r="AA831" s="4">
        <v>1</v>
      </c>
      <c r="AB831" s="4">
        <v>0</v>
      </c>
      <c r="AC831" s="4"/>
      <c r="AD831" s="4">
        <f t="shared" si="438"/>
        <v>1810.224527499</v>
      </c>
      <c r="AF831" s="1" t="str">
        <f t="shared" si="439"/>
        <v>6</v>
      </c>
      <c r="AG831">
        <v>1</v>
      </c>
      <c r="AH831">
        <f t="shared" si="427"/>
        <v>97.066666666666649</v>
      </c>
      <c r="AI831">
        <f t="shared" si="428"/>
        <v>9.7066666666666652</v>
      </c>
      <c r="AJ831">
        <f t="shared" si="429"/>
        <v>738.46153846153834</v>
      </c>
      <c r="AK831">
        <f t="shared" si="430"/>
        <v>73.84615384615384</v>
      </c>
      <c r="AL831">
        <f t="shared" si="431"/>
        <v>9.7066666666666652</v>
      </c>
      <c r="AM831">
        <f t="shared" si="432"/>
        <v>0.97066666666666657</v>
      </c>
      <c r="AN831">
        <f t="shared" si="433"/>
        <v>1.4</v>
      </c>
      <c r="AO831">
        <f t="shared" si="435"/>
        <v>1.2</v>
      </c>
      <c r="AP831">
        <f t="shared" si="434"/>
        <v>6</v>
      </c>
      <c r="AQ831">
        <v>406</v>
      </c>
      <c r="AR831">
        <v>1</v>
      </c>
    </row>
    <row r="832" spans="1:44" x14ac:dyDescent="0.15">
      <c r="A832">
        <f t="shared" si="436"/>
        <v>1204003</v>
      </c>
      <c r="B832" s="21" t="s">
        <v>265</v>
      </c>
      <c r="C832">
        <v>1</v>
      </c>
      <c r="D832">
        <v>2</v>
      </c>
      <c r="E832">
        <v>3</v>
      </c>
      <c r="F832" s="6" t="s">
        <v>317</v>
      </c>
      <c r="G832" s="6" t="s">
        <v>318</v>
      </c>
      <c r="H832" s="2">
        <v>0</v>
      </c>
      <c r="I832" s="2">
        <v>0</v>
      </c>
      <c r="J832" s="2">
        <f t="shared" si="418"/>
        <v>3</v>
      </c>
      <c r="K832" s="2">
        <f t="shared" si="419"/>
        <v>1.4000000000000001</v>
      </c>
      <c r="L832" s="2">
        <f t="shared" si="420"/>
        <v>1.2</v>
      </c>
      <c r="M832" s="2">
        <v>10</v>
      </c>
      <c r="N832" s="2">
        <f t="shared" si="421"/>
        <v>67.2</v>
      </c>
      <c r="O832" s="2">
        <f t="shared" si="422"/>
        <v>6.72</v>
      </c>
      <c r="P832" s="2">
        <f t="shared" si="437"/>
        <v>213.33400000000003</v>
      </c>
      <c r="Q832" s="2">
        <f t="shared" si="424"/>
        <v>106.67</v>
      </c>
      <c r="R832" s="2">
        <f t="shared" si="425"/>
        <v>13.44</v>
      </c>
      <c r="S832" s="2">
        <f t="shared" si="426"/>
        <v>1.34</v>
      </c>
      <c r="T832" s="2">
        <v>0</v>
      </c>
      <c r="U832" s="2">
        <v>0</v>
      </c>
      <c r="V832" s="2">
        <v>0</v>
      </c>
      <c r="W832" s="2">
        <v>-10</v>
      </c>
      <c r="X832" s="2">
        <v>0</v>
      </c>
      <c r="Y832" s="25">
        <v>222041</v>
      </c>
      <c r="Z832" s="26" t="s">
        <v>481</v>
      </c>
      <c r="AA832" s="4">
        <v>1</v>
      </c>
      <c r="AB832" s="4">
        <v>0</v>
      </c>
      <c r="AC832" s="4"/>
      <c r="AD832" s="4">
        <f t="shared" si="438"/>
        <v>1809.6171508800003</v>
      </c>
      <c r="AF832" s="1" t="str">
        <f t="shared" si="439"/>
        <v>4</v>
      </c>
      <c r="AG832">
        <v>1</v>
      </c>
      <c r="AH832">
        <f t="shared" si="427"/>
        <v>67.2</v>
      </c>
      <c r="AI832">
        <f t="shared" si="428"/>
        <v>6.7200000000000006</v>
      </c>
      <c r="AJ832">
        <f t="shared" si="429"/>
        <v>1066.6666666666667</v>
      </c>
      <c r="AK832">
        <f t="shared" si="430"/>
        <v>106.66666666666669</v>
      </c>
      <c r="AL832">
        <f t="shared" si="431"/>
        <v>13.440000000000001</v>
      </c>
      <c r="AM832">
        <f t="shared" si="432"/>
        <v>1.3440000000000003</v>
      </c>
      <c r="AN832">
        <f t="shared" si="433"/>
        <v>1.4</v>
      </c>
      <c r="AO832">
        <f t="shared" si="435"/>
        <v>1.2</v>
      </c>
      <c r="AP832">
        <f t="shared" si="434"/>
        <v>3</v>
      </c>
      <c r="AQ832">
        <v>204</v>
      </c>
      <c r="AR832">
        <v>1</v>
      </c>
    </row>
    <row r="833" spans="1:44" x14ac:dyDescent="0.15">
      <c r="A833">
        <f t="shared" si="436"/>
        <v>1404003</v>
      </c>
      <c r="B833" s="21" t="s">
        <v>268</v>
      </c>
      <c r="C833">
        <v>1</v>
      </c>
      <c r="D833">
        <v>4</v>
      </c>
      <c r="E833">
        <v>3</v>
      </c>
      <c r="F833" s="6" t="s">
        <v>319</v>
      </c>
      <c r="G833" s="6" t="s">
        <v>320</v>
      </c>
      <c r="H833" s="2">
        <v>0</v>
      </c>
      <c r="I833" s="2" t="s">
        <v>103</v>
      </c>
      <c r="J833" s="2">
        <f t="shared" si="418"/>
        <v>6</v>
      </c>
      <c r="K833" s="2">
        <f t="shared" si="419"/>
        <v>1.6</v>
      </c>
      <c r="L833" s="2">
        <f t="shared" si="420"/>
        <v>1.9000000000000001</v>
      </c>
      <c r="M833" s="2">
        <v>10</v>
      </c>
      <c r="N833" s="2">
        <f t="shared" si="421"/>
        <v>110.93</v>
      </c>
      <c r="O833" s="2">
        <f t="shared" si="422"/>
        <v>11.09</v>
      </c>
      <c r="P833" s="2">
        <f t="shared" si="437"/>
        <v>147.69200000000001</v>
      </c>
      <c r="Q833" s="2">
        <f t="shared" si="424"/>
        <v>73.849999999999994</v>
      </c>
      <c r="R833" s="2">
        <f t="shared" si="425"/>
        <v>11.09</v>
      </c>
      <c r="S833" s="2">
        <f t="shared" si="426"/>
        <v>1.1100000000000001</v>
      </c>
      <c r="T833" s="2">
        <v>0</v>
      </c>
      <c r="U833" s="2">
        <v>0</v>
      </c>
      <c r="V833" s="2">
        <v>0</v>
      </c>
      <c r="W833" s="2">
        <v>-10</v>
      </c>
      <c r="X833" s="2">
        <v>0</v>
      </c>
      <c r="Y833" s="25">
        <v>224041</v>
      </c>
      <c r="Z833" s="26" t="s">
        <v>481</v>
      </c>
      <c r="AA833" s="4">
        <v>1</v>
      </c>
      <c r="AB833" s="4">
        <v>0</v>
      </c>
      <c r="AC833" s="4"/>
      <c r="AD833" s="4">
        <f t="shared" si="438"/>
        <v>1809.154649838375</v>
      </c>
      <c r="AF833" s="1" t="str">
        <f t="shared" si="439"/>
        <v>4</v>
      </c>
      <c r="AG833">
        <v>1</v>
      </c>
      <c r="AH833">
        <f t="shared" si="427"/>
        <v>110.93333333333334</v>
      </c>
      <c r="AI833">
        <f t="shared" si="428"/>
        <v>11.093333333333334</v>
      </c>
      <c r="AJ833">
        <f t="shared" si="429"/>
        <v>738.46153846153834</v>
      </c>
      <c r="AK833">
        <f t="shared" si="430"/>
        <v>73.84615384615384</v>
      </c>
      <c r="AL833">
        <f t="shared" si="431"/>
        <v>11.093333333333334</v>
      </c>
      <c r="AM833">
        <f t="shared" si="432"/>
        <v>1.1093333333333335</v>
      </c>
      <c r="AN833">
        <f t="shared" si="433"/>
        <v>1.6</v>
      </c>
      <c r="AO833">
        <f t="shared" si="435"/>
        <v>1.9</v>
      </c>
      <c r="AP833">
        <f t="shared" si="434"/>
        <v>6</v>
      </c>
      <c r="AQ833">
        <v>404</v>
      </c>
      <c r="AR833">
        <v>1</v>
      </c>
    </row>
    <row r="834" spans="1:44" x14ac:dyDescent="0.15">
      <c r="A834">
        <f t="shared" si="436"/>
        <v>1503003</v>
      </c>
      <c r="B834" s="21" t="s">
        <v>271</v>
      </c>
      <c r="C834">
        <v>1</v>
      </c>
      <c r="D834">
        <v>5</v>
      </c>
      <c r="E834">
        <v>3</v>
      </c>
      <c r="F834" s="6" t="s">
        <v>321</v>
      </c>
      <c r="G834" s="6" t="s">
        <v>322</v>
      </c>
      <c r="H834" s="2">
        <v>0</v>
      </c>
      <c r="I834" s="2">
        <v>0</v>
      </c>
      <c r="J834" s="2">
        <f t="shared" si="418"/>
        <v>3</v>
      </c>
      <c r="K834" s="2">
        <f t="shared" si="419"/>
        <v>1.6</v>
      </c>
      <c r="L834" s="2">
        <f t="shared" si="420"/>
        <v>1.5</v>
      </c>
      <c r="M834" s="2">
        <v>10</v>
      </c>
      <c r="N834" s="2">
        <f t="shared" si="421"/>
        <v>102.4</v>
      </c>
      <c r="O834" s="2">
        <f t="shared" si="422"/>
        <v>10.24</v>
      </c>
      <c r="P834" s="2">
        <f t="shared" si="437"/>
        <v>160</v>
      </c>
      <c r="Q834" s="2">
        <f t="shared" si="424"/>
        <v>80</v>
      </c>
      <c r="R834" s="2">
        <f t="shared" si="425"/>
        <v>17.07</v>
      </c>
      <c r="S834" s="2">
        <f t="shared" si="426"/>
        <v>1.71</v>
      </c>
      <c r="T834" s="2">
        <v>0</v>
      </c>
      <c r="U834" s="2">
        <v>0</v>
      </c>
      <c r="V834" s="2">
        <v>0</v>
      </c>
      <c r="W834" s="2">
        <v>-10</v>
      </c>
      <c r="X834" s="2">
        <v>0</v>
      </c>
      <c r="Y834" s="25">
        <v>235031</v>
      </c>
      <c r="Z834" s="26" t="s">
        <v>481</v>
      </c>
      <c r="AA834" s="4">
        <v>1</v>
      </c>
      <c r="AB834" s="4">
        <v>0</v>
      </c>
      <c r="AC834" s="4"/>
      <c r="AD834" s="4">
        <f t="shared" si="438"/>
        <v>1809.5616</v>
      </c>
      <c r="AF834" s="1" t="str">
        <f t="shared" si="439"/>
        <v>3</v>
      </c>
      <c r="AG834">
        <v>1</v>
      </c>
      <c r="AH834">
        <f t="shared" si="427"/>
        <v>102.4</v>
      </c>
      <c r="AI834">
        <f t="shared" si="428"/>
        <v>10.240000000000002</v>
      </c>
      <c r="AJ834">
        <f t="shared" si="429"/>
        <v>800</v>
      </c>
      <c r="AK834">
        <f t="shared" si="430"/>
        <v>80</v>
      </c>
      <c r="AL834">
        <f t="shared" si="431"/>
        <v>17.066666666666666</v>
      </c>
      <c r="AM834">
        <f t="shared" si="432"/>
        <v>1.7066666666666668</v>
      </c>
      <c r="AN834">
        <f t="shared" si="433"/>
        <v>1.6</v>
      </c>
      <c r="AO834">
        <f t="shared" si="435"/>
        <v>1.5</v>
      </c>
      <c r="AP834">
        <f t="shared" si="434"/>
        <v>3</v>
      </c>
      <c r="AQ834">
        <v>503</v>
      </c>
      <c r="AR834">
        <v>1</v>
      </c>
    </row>
    <row r="835" spans="1:44" x14ac:dyDescent="0.15">
      <c r="A835">
        <f t="shared" si="436"/>
        <v>1304003</v>
      </c>
      <c r="B835" s="21" t="s">
        <v>274</v>
      </c>
      <c r="C835">
        <v>1</v>
      </c>
      <c r="D835">
        <v>3</v>
      </c>
      <c r="E835">
        <v>3</v>
      </c>
      <c r="F835" s="6" t="s">
        <v>323</v>
      </c>
      <c r="G835" s="6" t="s">
        <v>324</v>
      </c>
      <c r="H835">
        <v>0</v>
      </c>
      <c r="I835" s="2">
        <v>0</v>
      </c>
      <c r="J835" s="2">
        <f t="shared" si="418"/>
        <v>3</v>
      </c>
      <c r="K835" s="2">
        <f t="shared" si="419"/>
        <v>1.4000000000000001</v>
      </c>
      <c r="L835" s="2">
        <f t="shared" si="420"/>
        <v>2</v>
      </c>
      <c r="M835" s="2">
        <v>10</v>
      </c>
      <c r="N835" s="2">
        <f t="shared" si="421"/>
        <v>85.87</v>
      </c>
      <c r="O835" s="2">
        <f t="shared" si="422"/>
        <v>8.59</v>
      </c>
      <c r="P835" s="2">
        <f t="shared" si="437"/>
        <v>166.95600000000002</v>
      </c>
      <c r="Q835" s="2">
        <f t="shared" si="424"/>
        <v>83.48</v>
      </c>
      <c r="R835" s="2">
        <f t="shared" si="425"/>
        <v>10.73</v>
      </c>
      <c r="S835" s="2">
        <f t="shared" si="426"/>
        <v>1.07</v>
      </c>
      <c r="T835" s="2">
        <v>0</v>
      </c>
      <c r="U835" s="2">
        <v>0</v>
      </c>
      <c r="V835" s="2">
        <v>0</v>
      </c>
      <c r="W835" s="2">
        <v>-10</v>
      </c>
      <c r="X835" s="2">
        <v>0</v>
      </c>
      <c r="Y835" s="25">
        <v>233041</v>
      </c>
      <c r="Z835" s="26" t="s">
        <v>481</v>
      </c>
      <c r="AA835" s="4">
        <v>1</v>
      </c>
      <c r="AB835" s="4">
        <v>0</v>
      </c>
      <c r="AC835" s="4"/>
      <c r="AD835" s="4">
        <f t="shared" si="438"/>
        <v>1810.2434570370001</v>
      </c>
      <c r="AF835" s="1" t="str">
        <f t="shared" si="439"/>
        <v>4</v>
      </c>
      <c r="AG835">
        <v>1</v>
      </c>
      <c r="AH835">
        <f t="shared" si="427"/>
        <v>85.86666666666666</v>
      </c>
      <c r="AI835">
        <f t="shared" si="428"/>
        <v>8.586666666666666</v>
      </c>
      <c r="AJ835">
        <f t="shared" si="429"/>
        <v>834.78260869565224</v>
      </c>
      <c r="AK835">
        <f t="shared" si="430"/>
        <v>83.478260869565233</v>
      </c>
      <c r="AL835">
        <f t="shared" si="431"/>
        <v>10.733333333333333</v>
      </c>
      <c r="AM835">
        <f t="shared" si="432"/>
        <v>1.0733333333333333</v>
      </c>
      <c r="AN835">
        <f t="shared" si="433"/>
        <v>1.4</v>
      </c>
      <c r="AO835">
        <f t="shared" si="435"/>
        <v>2</v>
      </c>
      <c r="AP835">
        <f t="shared" si="434"/>
        <v>3</v>
      </c>
      <c r="AQ835">
        <v>304</v>
      </c>
      <c r="AR835">
        <v>1</v>
      </c>
    </row>
    <row r="836" spans="1:44" x14ac:dyDescent="0.15">
      <c r="A836">
        <f t="shared" si="436"/>
        <v>1203004</v>
      </c>
      <c r="B836" s="6" t="s">
        <v>241</v>
      </c>
      <c r="C836">
        <v>1</v>
      </c>
      <c r="D836">
        <v>2</v>
      </c>
      <c r="E836">
        <v>4</v>
      </c>
      <c r="F836" s="6" t="s">
        <v>325</v>
      </c>
      <c r="G836" s="20" t="s">
        <v>326</v>
      </c>
      <c r="H836">
        <v>0</v>
      </c>
      <c r="I836" s="2">
        <v>0</v>
      </c>
      <c r="J836" s="2">
        <f t="shared" si="418"/>
        <v>3</v>
      </c>
      <c r="K836" s="2">
        <f t="shared" si="419"/>
        <v>1.3</v>
      </c>
      <c r="L836" s="2">
        <f t="shared" si="420"/>
        <v>1.9000000000000001</v>
      </c>
      <c r="M836" s="2">
        <v>10</v>
      </c>
      <c r="N836" s="2">
        <f t="shared" si="421"/>
        <v>62.4</v>
      </c>
      <c r="O836" s="2">
        <f t="shared" si="422"/>
        <v>6.24</v>
      </c>
      <c r="P836" s="2">
        <f t="shared" si="437"/>
        <v>213.33400000000003</v>
      </c>
      <c r="Q836" s="2">
        <f t="shared" si="424"/>
        <v>106.67</v>
      </c>
      <c r="R836" s="2">
        <f t="shared" si="425"/>
        <v>12.48</v>
      </c>
      <c r="S836" s="2">
        <f t="shared" si="426"/>
        <v>1.25</v>
      </c>
      <c r="T836" s="2">
        <v>0</v>
      </c>
      <c r="U836" s="2">
        <v>0</v>
      </c>
      <c r="V836" s="2">
        <v>0</v>
      </c>
      <c r="W836" s="2">
        <v>-10</v>
      </c>
      <c r="X836" s="2">
        <v>0</v>
      </c>
      <c r="Y836" s="25">
        <v>112031</v>
      </c>
      <c r="Z836" s="26" t="s">
        <v>481</v>
      </c>
      <c r="AA836" s="4">
        <v>1</v>
      </c>
      <c r="AB836" s="4">
        <v>0</v>
      </c>
      <c r="AC836" s="4"/>
      <c r="AD836" s="4">
        <f t="shared" si="438"/>
        <v>1809.6171508799998</v>
      </c>
      <c r="AF836" s="1" t="str">
        <f t="shared" si="439"/>
        <v>3</v>
      </c>
      <c r="AG836">
        <v>1</v>
      </c>
      <c r="AH836">
        <f t="shared" si="427"/>
        <v>62.400000000000013</v>
      </c>
      <c r="AI836">
        <f t="shared" si="428"/>
        <v>6.240000000000002</v>
      </c>
      <c r="AJ836">
        <f t="shared" si="429"/>
        <v>1066.6666666666667</v>
      </c>
      <c r="AK836">
        <f t="shared" si="430"/>
        <v>106.66666666666669</v>
      </c>
      <c r="AL836">
        <f t="shared" si="431"/>
        <v>12.480000000000002</v>
      </c>
      <c r="AM836">
        <f t="shared" si="432"/>
        <v>1.2480000000000002</v>
      </c>
      <c r="AN836">
        <f t="shared" si="433"/>
        <v>1.3</v>
      </c>
      <c r="AO836">
        <f t="shared" si="435"/>
        <v>1.9</v>
      </c>
      <c r="AP836">
        <f t="shared" si="434"/>
        <v>3</v>
      </c>
      <c r="AQ836">
        <v>203</v>
      </c>
      <c r="AR836">
        <v>1</v>
      </c>
    </row>
    <row r="837" spans="1:44" x14ac:dyDescent="0.15">
      <c r="A837">
        <f t="shared" si="436"/>
        <v>1403004</v>
      </c>
      <c r="B837" s="6" t="s">
        <v>244</v>
      </c>
      <c r="C837">
        <v>1</v>
      </c>
      <c r="D837">
        <v>4</v>
      </c>
      <c r="E837">
        <v>4</v>
      </c>
      <c r="F837" s="6" t="s">
        <v>327</v>
      </c>
      <c r="G837" s="20" t="s">
        <v>328</v>
      </c>
      <c r="H837" s="2">
        <v>0</v>
      </c>
      <c r="I837" s="2" t="s">
        <v>106</v>
      </c>
      <c r="J837" s="2">
        <f t="shared" si="418"/>
        <v>6</v>
      </c>
      <c r="K837" s="2">
        <f t="shared" si="419"/>
        <v>1.3</v>
      </c>
      <c r="L837" s="2">
        <f t="shared" si="420"/>
        <v>1.9000000000000001</v>
      </c>
      <c r="M837" s="2">
        <v>10</v>
      </c>
      <c r="N837" s="2">
        <f t="shared" si="421"/>
        <v>83.2</v>
      </c>
      <c r="O837" s="2">
        <f t="shared" si="422"/>
        <v>8.32</v>
      </c>
      <c r="P837" s="2">
        <f t="shared" si="437"/>
        <v>160</v>
      </c>
      <c r="Q837" s="2">
        <f t="shared" si="424"/>
        <v>80</v>
      </c>
      <c r="R837" s="2">
        <f t="shared" si="425"/>
        <v>8.32</v>
      </c>
      <c r="S837" s="2">
        <f t="shared" si="426"/>
        <v>0.83</v>
      </c>
      <c r="T837" s="2">
        <v>0</v>
      </c>
      <c r="U837" s="2">
        <v>0</v>
      </c>
      <c r="V837" s="2">
        <v>0</v>
      </c>
      <c r="W837" s="2">
        <v>-10</v>
      </c>
      <c r="X837" s="2">
        <v>0</v>
      </c>
      <c r="Y837" s="25">
        <v>114031</v>
      </c>
      <c r="Z837" s="26" t="s">
        <v>481</v>
      </c>
      <c r="AA837" s="4">
        <v>1</v>
      </c>
      <c r="AB837" s="4">
        <v>0</v>
      </c>
      <c r="AC837" s="4"/>
      <c r="AD837" s="4">
        <f t="shared" si="438"/>
        <v>1809.5616</v>
      </c>
      <c r="AF837" s="1" t="str">
        <f t="shared" si="439"/>
        <v>3</v>
      </c>
      <c r="AG837">
        <v>1</v>
      </c>
      <c r="AH837">
        <f t="shared" si="427"/>
        <v>83.2</v>
      </c>
      <c r="AI837">
        <f t="shared" si="428"/>
        <v>8.32</v>
      </c>
      <c r="AJ837">
        <f t="shared" si="429"/>
        <v>800</v>
      </c>
      <c r="AK837">
        <f t="shared" si="430"/>
        <v>80</v>
      </c>
      <c r="AL837">
        <f t="shared" si="431"/>
        <v>8.32</v>
      </c>
      <c r="AM837">
        <f t="shared" si="432"/>
        <v>0.83200000000000007</v>
      </c>
      <c r="AN837">
        <f t="shared" si="433"/>
        <v>1.3</v>
      </c>
      <c r="AO837">
        <f t="shared" si="435"/>
        <v>1.9</v>
      </c>
      <c r="AP837">
        <f t="shared" si="434"/>
        <v>6</v>
      </c>
      <c r="AQ837">
        <v>403</v>
      </c>
      <c r="AR837">
        <v>1</v>
      </c>
    </row>
    <row r="838" spans="1:44" x14ac:dyDescent="0.15">
      <c r="A838">
        <f t="shared" si="436"/>
        <v>1205004</v>
      </c>
      <c r="B838" s="6" t="s">
        <v>247</v>
      </c>
      <c r="C838">
        <v>1</v>
      </c>
      <c r="D838">
        <v>2</v>
      </c>
      <c r="E838">
        <v>4</v>
      </c>
      <c r="F838" s="6" t="s">
        <v>329</v>
      </c>
      <c r="G838" s="20" t="s">
        <v>330</v>
      </c>
      <c r="H838">
        <v>0</v>
      </c>
      <c r="I838" s="2">
        <v>0</v>
      </c>
      <c r="J838" s="2">
        <f t="shared" si="418"/>
        <v>3</v>
      </c>
      <c r="K838" s="2">
        <f t="shared" si="419"/>
        <v>1.8</v>
      </c>
      <c r="L838" s="2">
        <f t="shared" si="420"/>
        <v>2</v>
      </c>
      <c r="M838" s="2">
        <v>10</v>
      </c>
      <c r="N838" s="2">
        <f t="shared" si="421"/>
        <v>86.4</v>
      </c>
      <c r="O838" s="2">
        <f t="shared" si="422"/>
        <v>8.64</v>
      </c>
      <c r="P838" s="2">
        <f t="shared" si="437"/>
        <v>213.33400000000003</v>
      </c>
      <c r="Q838" s="2">
        <f t="shared" si="424"/>
        <v>106.67</v>
      </c>
      <c r="R838" s="2">
        <f t="shared" si="425"/>
        <v>17.28</v>
      </c>
      <c r="S838" s="2">
        <f t="shared" si="426"/>
        <v>1.73</v>
      </c>
      <c r="T838" s="2">
        <v>0</v>
      </c>
      <c r="U838" s="2">
        <v>0</v>
      </c>
      <c r="V838" s="2">
        <v>0</v>
      </c>
      <c r="W838" s="2">
        <v>-10</v>
      </c>
      <c r="X838" s="2">
        <v>0</v>
      </c>
      <c r="Y838" s="25">
        <v>122051</v>
      </c>
      <c r="Z838" s="26" t="s">
        <v>481</v>
      </c>
      <c r="AA838" s="4">
        <v>1</v>
      </c>
      <c r="AB838" s="4">
        <v>0</v>
      </c>
      <c r="AC838" s="4"/>
      <c r="AD838" s="4">
        <f t="shared" si="438"/>
        <v>1809.6171508800003</v>
      </c>
      <c r="AF838" s="1" t="str">
        <f t="shared" si="439"/>
        <v>5</v>
      </c>
      <c r="AG838">
        <v>1</v>
      </c>
      <c r="AH838">
        <f t="shared" si="427"/>
        <v>86.4</v>
      </c>
      <c r="AI838">
        <f t="shared" si="428"/>
        <v>8.64</v>
      </c>
      <c r="AJ838">
        <f t="shared" si="429"/>
        <v>1066.6666666666667</v>
      </c>
      <c r="AK838">
        <f t="shared" si="430"/>
        <v>106.66666666666669</v>
      </c>
      <c r="AL838">
        <f t="shared" si="431"/>
        <v>17.28</v>
      </c>
      <c r="AM838">
        <f t="shared" si="432"/>
        <v>1.7280000000000002</v>
      </c>
      <c r="AN838">
        <f t="shared" si="433"/>
        <v>1.8</v>
      </c>
      <c r="AO838">
        <f t="shared" si="435"/>
        <v>2</v>
      </c>
      <c r="AP838">
        <f t="shared" si="434"/>
        <v>3</v>
      </c>
      <c r="AQ838">
        <v>205</v>
      </c>
      <c r="AR838">
        <v>1</v>
      </c>
    </row>
    <row r="839" spans="1:44" x14ac:dyDescent="0.15">
      <c r="A839">
        <f t="shared" si="436"/>
        <v>1405004</v>
      </c>
      <c r="B839" s="6" t="s">
        <v>250</v>
      </c>
      <c r="C839">
        <v>1</v>
      </c>
      <c r="D839">
        <v>4</v>
      </c>
      <c r="E839">
        <v>4</v>
      </c>
      <c r="F839" s="6" t="s">
        <v>331</v>
      </c>
      <c r="G839" s="6" t="s">
        <v>332</v>
      </c>
      <c r="H839">
        <v>0</v>
      </c>
      <c r="I839" s="2" t="s">
        <v>106</v>
      </c>
      <c r="J839" s="2">
        <f t="shared" si="418"/>
        <v>6</v>
      </c>
      <c r="K839" s="2">
        <f t="shared" si="419"/>
        <v>1.5</v>
      </c>
      <c r="L839" s="2">
        <f t="shared" si="420"/>
        <v>1.5</v>
      </c>
      <c r="M839" s="2">
        <v>10</v>
      </c>
      <c r="N839" s="2">
        <f t="shared" si="421"/>
        <v>100</v>
      </c>
      <c r="O839" s="2">
        <f t="shared" si="422"/>
        <v>10</v>
      </c>
      <c r="P839" s="2">
        <f t="shared" si="437"/>
        <v>153.60000000000002</v>
      </c>
      <c r="Q839" s="2">
        <f t="shared" si="424"/>
        <v>76.8</v>
      </c>
      <c r="R839" s="2">
        <f t="shared" si="425"/>
        <v>10</v>
      </c>
      <c r="S839" s="2">
        <f t="shared" si="426"/>
        <v>1</v>
      </c>
      <c r="T839" s="2">
        <v>0</v>
      </c>
      <c r="U839" s="2">
        <v>0</v>
      </c>
      <c r="V839" s="2">
        <v>0</v>
      </c>
      <c r="W839" s="2">
        <v>-10</v>
      </c>
      <c r="X839" s="2">
        <v>0</v>
      </c>
      <c r="Y839" s="25">
        <v>124051</v>
      </c>
      <c r="Z839" s="26" t="s">
        <v>481</v>
      </c>
      <c r="AA839" s="4">
        <v>1</v>
      </c>
      <c r="AB839" s="4">
        <v>0</v>
      </c>
      <c r="AC839" s="4"/>
      <c r="AD839" s="4">
        <f t="shared" si="438"/>
        <v>1809.5616</v>
      </c>
      <c r="AF839" s="1" t="str">
        <f t="shared" si="439"/>
        <v>5</v>
      </c>
      <c r="AG839">
        <v>1</v>
      </c>
      <c r="AH839">
        <f t="shared" si="427"/>
        <v>100</v>
      </c>
      <c r="AI839">
        <f t="shared" si="428"/>
        <v>10</v>
      </c>
      <c r="AJ839">
        <f t="shared" si="429"/>
        <v>768</v>
      </c>
      <c r="AK839">
        <f t="shared" si="430"/>
        <v>76.800000000000011</v>
      </c>
      <c r="AL839">
        <f t="shared" si="431"/>
        <v>10</v>
      </c>
      <c r="AM839">
        <f t="shared" si="432"/>
        <v>1</v>
      </c>
      <c r="AN839">
        <f t="shared" si="433"/>
        <v>1.5</v>
      </c>
      <c r="AO839">
        <f t="shared" si="435"/>
        <v>1.5</v>
      </c>
      <c r="AP839">
        <f t="shared" si="434"/>
        <v>6</v>
      </c>
      <c r="AQ839">
        <v>405</v>
      </c>
      <c r="AR839">
        <v>1</v>
      </c>
    </row>
    <row r="840" spans="1:44" x14ac:dyDescent="0.15">
      <c r="A840">
        <f t="shared" si="436"/>
        <v>1303004</v>
      </c>
      <c r="B840" s="6" t="s">
        <v>253</v>
      </c>
      <c r="C840">
        <v>1</v>
      </c>
      <c r="D840">
        <v>3</v>
      </c>
      <c r="E840">
        <v>4</v>
      </c>
      <c r="F840" s="6" t="s">
        <v>333</v>
      </c>
      <c r="G840" s="6" t="s">
        <v>334</v>
      </c>
      <c r="H840" s="2">
        <v>0</v>
      </c>
      <c r="I840" s="2">
        <v>0</v>
      </c>
      <c r="J840" s="2">
        <f t="shared" si="418"/>
        <v>3</v>
      </c>
      <c r="K840" s="2">
        <f t="shared" si="419"/>
        <v>1.3</v>
      </c>
      <c r="L840" s="2">
        <f t="shared" si="420"/>
        <v>1.4000000000000001</v>
      </c>
      <c r="M840" s="2">
        <v>10</v>
      </c>
      <c r="N840" s="2">
        <f t="shared" si="421"/>
        <v>76.27</v>
      </c>
      <c r="O840" s="2">
        <f t="shared" si="422"/>
        <v>7.63</v>
      </c>
      <c r="P840" s="2">
        <f t="shared" si="437"/>
        <v>174.54600000000002</v>
      </c>
      <c r="Q840" s="2">
        <f t="shared" si="424"/>
        <v>87.27</v>
      </c>
      <c r="R840" s="2">
        <f t="shared" si="425"/>
        <v>9.5299999999999994</v>
      </c>
      <c r="S840" s="2">
        <f t="shared" si="426"/>
        <v>0.95</v>
      </c>
      <c r="T840" s="2">
        <v>0</v>
      </c>
      <c r="U840" s="2">
        <v>0</v>
      </c>
      <c r="V840" s="2">
        <v>0</v>
      </c>
      <c r="W840" s="2">
        <v>-10</v>
      </c>
      <c r="X840" s="2">
        <v>0</v>
      </c>
      <c r="Y840" s="25">
        <v>133031</v>
      </c>
      <c r="Z840" s="26" t="s">
        <v>481</v>
      </c>
      <c r="AA840" s="4">
        <v>1</v>
      </c>
      <c r="AB840" s="4">
        <v>0</v>
      </c>
      <c r="AC840" s="4"/>
      <c r="AD840" s="4">
        <f t="shared" si="438"/>
        <v>1810.2324316133074</v>
      </c>
      <c r="AF840" s="1" t="str">
        <f t="shared" si="439"/>
        <v>3</v>
      </c>
      <c r="AG840">
        <v>1</v>
      </c>
      <c r="AH840">
        <f t="shared" si="427"/>
        <v>76.26666666666668</v>
      </c>
      <c r="AI840">
        <f t="shared" si="428"/>
        <v>7.6266666666666687</v>
      </c>
      <c r="AJ840">
        <f t="shared" si="429"/>
        <v>872.72727272727275</v>
      </c>
      <c r="AK840">
        <f t="shared" si="430"/>
        <v>87.27272727272728</v>
      </c>
      <c r="AL840">
        <f t="shared" si="431"/>
        <v>9.533333333333335</v>
      </c>
      <c r="AM840">
        <f t="shared" si="432"/>
        <v>0.95333333333333359</v>
      </c>
      <c r="AN840">
        <f t="shared" si="433"/>
        <v>1.3</v>
      </c>
      <c r="AO840">
        <f t="shared" si="435"/>
        <v>1.4</v>
      </c>
      <c r="AP840">
        <f t="shared" si="434"/>
        <v>3</v>
      </c>
      <c r="AQ840">
        <v>303</v>
      </c>
      <c r="AR840">
        <v>1</v>
      </c>
    </row>
    <row r="841" spans="1:44" x14ac:dyDescent="0.15">
      <c r="A841">
        <f t="shared" si="436"/>
        <v>1504004</v>
      </c>
      <c r="B841" s="6" t="s">
        <v>256</v>
      </c>
      <c r="C841">
        <v>1</v>
      </c>
      <c r="D841">
        <v>5</v>
      </c>
      <c r="E841">
        <v>4</v>
      </c>
      <c r="F841" s="6" t="s">
        <v>335</v>
      </c>
      <c r="G841" s="6" t="s">
        <v>336</v>
      </c>
      <c r="H841">
        <v>0</v>
      </c>
      <c r="I841" s="2">
        <v>0</v>
      </c>
      <c r="J841" s="2">
        <f t="shared" si="418"/>
        <v>3</v>
      </c>
      <c r="K841" s="2">
        <f t="shared" si="419"/>
        <v>1.8</v>
      </c>
      <c r="L841" s="2">
        <f t="shared" si="420"/>
        <v>1.5</v>
      </c>
      <c r="M841" s="2">
        <v>10</v>
      </c>
      <c r="N841" s="2">
        <f t="shared" si="421"/>
        <v>105.6</v>
      </c>
      <c r="O841" s="2">
        <f t="shared" si="422"/>
        <v>10.56</v>
      </c>
      <c r="P841" s="2">
        <f t="shared" si="437"/>
        <v>174.54600000000002</v>
      </c>
      <c r="Q841" s="2">
        <f t="shared" si="424"/>
        <v>87.27</v>
      </c>
      <c r="R841" s="2">
        <f t="shared" si="425"/>
        <v>17.600000000000001</v>
      </c>
      <c r="S841" s="2">
        <f t="shared" si="426"/>
        <v>1.76</v>
      </c>
      <c r="T841" s="2">
        <v>0</v>
      </c>
      <c r="U841" s="2">
        <v>0</v>
      </c>
      <c r="V841" s="2">
        <v>0</v>
      </c>
      <c r="W841" s="2">
        <v>-10</v>
      </c>
      <c r="X841" s="2">
        <v>0</v>
      </c>
      <c r="Y841" s="25">
        <v>135041</v>
      </c>
      <c r="Z841" s="26" t="s">
        <v>481</v>
      </c>
      <c r="AA841" s="4">
        <v>1</v>
      </c>
      <c r="AB841" s="4">
        <v>0.5</v>
      </c>
      <c r="AC841" s="4"/>
      <c r="AD841" s="4">
        <f t="shared" si="438"/>
        <v>1809.5062708800001</v>
      </c>
      <c r="AF841" s="1" t="str">
        <f t="shared" si="439"/>
        <v>4</v>
      </c>
      <c r="AG841">
        <v>1</v>
      </c>
      <c r="AH841">
        <f t="shared" si="427"/>
        <v>105.60000000000001</v>
      </c>
      <c r="AI841">
        <f t="shared" si="428"/>
        <v>10.560000000000002</v>
      </c>
      <c r="AJ841">
        <f t="shared" si="429"/>
        <v>872.72727272727275</v>
      </c>
      <c r="AK841">
        <f t="shared" si="430"/>
        <v>87.27272727272728</v>
      </c>
      <c r="AL841">
        <f t="shared" si="431"/>
        <v>17.600000000000001</v>
      </c>
      <c r="AM841">
        <f t="shared" si="432"/>
        <v>1.7600000000000002</v>
      </c>
      <c r="AN841">
        <f t="shared" si="433"/>
        <v>1.8</v>
      </c>
      <c r="AO841">
        <f t="shared" si="435"/>
        <v>1.5</v>
      </c>
      <c r="AP841">
        <f t="shared" si="434"/>
        <v>3</v>
      </c>
      <c r="AQ841">
        <v>504</v>
      </c>
      <c r="AR841">
        <v>1</v>
      </c>
    </row>
    <row r="842" spans="1:44" x14ac:dyDescent="0.15">
      <c r="A842">
        <f t="shared" si="436"/>
        <v>1206004</v>
      </c>
      <c r="B842" s="21" t="s">
        <v>259</v>
      </c>
      <c r="C842">
        <v>1</v>
      </c>
      <c r="D842">
        <v>2</v>
      </c>
      <c r="E842">
        <v>4</v>
      </c>
      <c r="F842" s="6" t="s">
        <v>337</v>
      </c>
      <c r="G842" s="6" t="s">
        <v>338</v>
      </c>
      <c r="H842" s="2">
        <v>0</v>
      </c>
      <c r="I842" s="2">
        <v>0</v>
      </c>
      <c r="J842" s="2">
        <f t="shared" si="418"/>
        <v>3</v>
      </c>
      <c r="K842" s="2">
        <f t="shared" si="419"/>
        <v>1.6</v>
      </c>
      <c r="L842" s="2">
        <f t="shared" si="420"/>
        <v>2</v>
      </c>
      <c r="M842" s="2">
        <v>10</v>
      </c>
      <c r="N842" s="2">
        <f t="shared" si="421"/>
        <v>76.8</v>
      </c>
      <c r="O842" s="2">
        <f t="shared" si="422"/>
        <v>7.68</v>
      </c>
      <c r="P842" s="2">
        <f t="shared" si="437"/>
        <v>213.33400000000003</v>
      </c>
      <c r="Q842" s="2">
        <f t="shared" si="424"/>
        <v>106.67</v>
      </c>
      <c r="R842" s="2">
        <f t="shared" si="425"/>
        <v>15.36</v>
      </c>
      <c r="S842" s="2">
        <f t="shared" si="426"/>
        <v>1.54</v>
      </c>
      <c r="T842" s="2">
        <v>0</v>
      </c>
      <c r="U842" s="2">
        <v>0</v>
      </c>
      <c r="V842" s="2">
        <v>0</v>
      </c>
      <c r="W842" s="2">
        <v>-10</v>
      </c>
      <c r="X842" s="2">
        <v>0</v>
      </c>
      <c r="Y842" s="25">
        <v>212061</v>
      </c>
      <c r="Z842" s="26" t="s">
        <v>481</v>
      </c>
      <c r="AA842" s="4">
        <v>1</v>
      </c>
      <c r="AB842" s="4">
        <v>0</v>
      </c>
      <c r="AC842" s="4"/>
      <c r="AD842" s="4">
        <f t="shared" si="438"/>
        <v>1809.6171508799998</v>
      </c>
      <c r="AF842" s="1" t="str">
        <f t="shared" si="439"/>
        <v>6</v>
      </c>
      <c r="AG842">
        <v>1</v>
      </c>
      <c r="AH842">
        <f t="shared" si="427"/>
        <v>76.800000000000011</v>
      </c>
      <c r="AI842">
        <f t="shared" si="428"/>
        <v>7.6800000000000015</v>
      </c>
      <c r="AJ842">
        <f t="shared" si="429"/>
        <v>1066.6666666666667</v>
      </c>
      <c r="AK842">
        <f t="shared" si="430"/>
        <v>106.66666666666669</v>
      </c>
      <c r="AL842">
        <f t="shared" si="431"/>
        <v>15.360000000000003</v>
      </c>
      <c r="AM842">
        <f t="shared" si="432"/>
        <v>1.5360000000000005</v>
      </c>
      <c r="AN842">
        <f t="shared" si="433"/>
        <v>1.6</v>
      </c>
      <c r="AO842">
        <f t="shared" si="435"/>
        <v>2</v>
      </c>
      <c r="AP842">
        <f t="shared" si="434"/>
        <v>3</v>
      </c>
      <c r="AQ842">
        <v>206</v>
      </c>
      <c r="AR842">
        <v>1</v>
      </c>
    </row>
    <row r="843" spans="1:44" x14ac:dyDescent="0.15">
      <c r="A843">
        <f t="shared" si="436"/>
        <v>1406004</v>
      </c>
      <c r="B843" s="21" t="s">
        <v>262</v>
      </c>
      <c r="C843">
        <v>1</v>
      </c>
      <c r="D843">
        <v>4</v>
      </c>
      <c r="E843">
        <v>4</v>
      </c>
      <c r="F843" s="6" t="s">
        <v>339</v>
      </c>
      <c r="G843" s="6" t="s">
        <v>340</v>
      </c>
      <c r="H843" s="2">
        <v>0</v>
      </c>
      <c r="I843" s="2" t="s">
        <v>106</v>
      </c>
      <c r="J843" s="2">
        <f t="shared" si="418"/>
        <v>6</v>
      </c>
      <c r="K843" s="2">
        <f t="shared" si="419"/>
        <v>1.4000000000000001</v>
      </c>
      <c r="L843" s="2">
        <f t="shared" si="420"/>
        <v>1.2</v>
      </c>
      <c r="M843" s="2">
        <v>10</v>
      </c>
      <c r="N843" s="2">
        <f t="shared" si="421"/>
        <v>97.07</v>
      </c>
      <c r="O843" s="2">
        <f t="shared" si="422"/>
        <v>9.7100000000000009</v>
      </c>
      <c r="P843" s="2">
        <f t="shared" si="437"/>
        <v>147.69200000000001</v>
      </c>
      <c r="Q843" s="2">
        <f t="shared" si="424"/>
        <v>73.849999999999994</v>
      </c>
      <c r="R843" s="2">
        <f t="shared" si="425"/>
        <v>9.7100000000000009</v>
      </c>
      <c r="S843" s="2">
        <f t="shared" si="426"/>
        <v>0.97</v>
      </c>
      <c r="T843" s="2">
        <v>0</v>
      </c>
      <c r="U843" s="2">
        <v>0</v>
      </c>
      <c r="V843" s="2">
        <v>0</v>
      </c>
      <c r="W843" s="2">
        <v>-10</v>
      </c>
      <c r="X843" s="2">
        <v>0</v>
      </c>
      <c r="Y843" s="25">
        <v>214061</v>
      </c>
      <c r="Z843" s="26" t="s">
        <v>481</v>
      </c>
      <c r="AA843" s="4">
        <v>1</v>
      </c>
      <c r="AB843" s="4">
        <v>0</v>
      </c>
      <c r="AC843" s="4"/>
      <c r="AD843" s="4">
        <f t="shared" si="438"/>
        <v>1810.224527499</v>
      </c>
      <c r="AF843" s="1" t="str">
        <f t="shared" si="439"/>
        <v>6</v>
      </c>
      <c r="AG843">
        <v>1</v>
      </c>
      <c r="AH843">
        <f t="shared" si="427"/>
        <v>97.066666666666649</v>
      </c>
      <c r="AI843">
        <f t="shared" si="428"/>
        <v>9.7066666666666652</v>
      </c>
      <c r="AJ843">
        <f t="shared" si="429"/>
        <v>738.46153846153834</v>
      </c>
      <c r="AK843">
        <f t="shared" si="430"/>
        <v>73.84615384615384</v>
      </c>
      <c r="AL843">
        <f t="shared" si="431"/>
        <v>9.7066666666666652</v>
      </c>
      <c r="AM843">
        <f t="shared" si="432"/>
        <v>0.97066666666666657</v>
      </c>
      <c r="AN843">
        <f t="shared" si="433"/>
        <v>1.4</v>
      </c>
      <c r="AO843">
        <f t="shared" si="435"/>
        <v>1.2</v>
      </c>
      <c r="AP843">
        <f t="shared" si="434"/>
        <v>6</v>
      </c>
      <c r="AQ843">
        <v>406</v>
      </c>
      <c r="AR843">
        <v>1</v>
      </c>
    </row>
    <row r="844" spans="1:44" x14ac:dyDescent="0.15">
      <c r="A844">
        <f t="shared" si="436"/>
        <v>1204004</v>
      </c>
      <c r="B844" s="21" t="s">
        <v>265</v>
      </c>
      <c r="C844">
        <v>1</v>
      </c>
      <c r="D844">
        <v>2</v>
      </c>
      <c r="E844">
        <v>4</v>
      </c>
      <c r="F844" s="6" t="s">
        <v>341</v>
      </c>
      <c r="G844" s="6" t="s">
        <v>342</v>
      </c>
      <c r="H844" s="2">
        <v>0</v>
      </c>
      <c r="I844" s="2">
        <v>0</v>
      </c>
      <c r="J844" s="2">
        <f t="shared" si="418"/>
        <v>3</v>
      </c>
      <c r="K844" s="2">
        <f t="shared" si="419"/>
        <v>1.4000000000000001</v>
      </c>
      <c r="L844" s="2">
        <f t="shared" si="420"/>
        <v>1.2</v>
      </c>
      <c r="M844" s="2">
        <v>10</v>
      </c>
      <c r="N844" s="2">
        <f t="shared" si="421"/>
        <v>67.2</v>
      </c>
      <c r="O844" s="2">
        <f t="shared" si="422"/>
        <v>6.72</v>
      </c>
      <c r="P844" s="2">
        <f t="shared" si="437"/>
        <v>213.33400000000003</v>
      </c>
      <c r="Q844" s="2">
        <f t="shared" si="424"/>
        <v>106.67</v>
      </c>
      <c r="R844" s="2">
        <f t="shared" si="425"/>
        <v>13.44</v>
      </c>
      <c r="S844" s="2">
        <f t="shared" si="426"/>
        <v>1.34</v>
      </c>
      <c r="T844" s="2">
        <v>0</v>
      </c>
      <c r="U844" s="2">
        <v>0</v>
      </c>
      <c r="V844" s="2">
        <v>0</v>
      </c>
      <c r="W844" s="2">
        <v>-10</v>
      </c>
      <c r="X844" s="2">
        <v>0</v>
      </c>
      <c r="Y844" s="25">
        <v>222041</v>
      </c>
      <c r="Z844" s="26" t="s">
        <v>481</v>
      </c>
      <c r="AA844" s="4">
        <v>1</v>
      </c>
      <c r="AB844" s="4">
        <v>0</v>
      </c>
      <c r="AC844" s="4"/>
      <c r="AD844" s="4">
        <f t="shared" si="438"/>
        <v>1809.6171508800003</v>
      </c>
      <c r="AF844" s="1" t="str">
        <f t="shared" si="439"/>
        <v>4</v>
      </c>
      <c r="AG844">
        <v>1</v>
      </c>
      <c r="AH844">
        <f t="shared" si="427"/>
        <v>67.2</v>
      </c>
      <c r="AI844">
        <f t="shared" si="428"/>
        <v>6.7200000000000006</v>
      </c>
      <c r="AJ844">
        <f t="shared" si="429"/>
        <v>1066.6666666666667</v>
      </c>
      <c r="AK844">
        <f t="shared" si="430"/>
        <v>106.66666666666669</v>
      </c>
      <c r="AL844">
        <f t="shared" si="431"/>
        <v>13.440000000000001</v>
      </c>
      <c r="AM844">
        <f t="shared" si="432"/>
        <v>1.3440000000000003</v>
      </c>
      <c r="AN844">
        <f t="shared" si="433"/>
        <v>1.4</v>
      </c>
      <c r="AO844">
        <f t="shared" si="435"/>
        <v>1.2</v>
      </c>
      <c r="AP844">
        <f t="shared" si="434"/>
        <v>3</v>
      </c>
      <c r="AQ844">
        <v>204</v>
      </c>
      <c r="AR844">
        <v>1</v>
      </c>
    </row>
    <row r="845" spans="1:44" x14ac:dyDescent="0.15">
      <c r="A845">
        <f t="shared" si="436"/>
        <v>1404004</v>
      </c>
      <c r="B845" s="21" t="s">
        <v>268</v>
      </c>
      <c r="C845">
        <v>1</v>
      </c>
      <c r="D845">
        <v>4</v>
      </c>
      <c r="E845">
        <v>4</v>
      </c>
      <c r="F845" s="6" t="s">
        <v>343</v>
      </c>
      <c r="G845" s="6" t="s">
        <v>344</v>
      </c>
      <c r="H845" s="2">
        <v>0</v>
      </c>
      <c r="I845" s="2" t="s">
        <v>106</v>
      </c>
      <c r="J845" s="2">
        <f t="shared" si="418"/>
        <v>6</v>
      </c>
      <c r="K845" s="2">
        <f t="shared" si="419"/>
        <v>1.6</v>
      </c>
      <c r="L845" s="2">
        <f t="shared" si="420"/>
        <v>1.9000000000000001</v>
      </c>
      <c r="M845" s="2">
        <v>10</v>
      </c>
      <c r="N845" s="2">
        <f t="shared" si="421"/>
        <v>110.93</v>
      </c>
      <c r="O845" s="2">
        <f t="shared" si="422"/>
        <v>11.09</v>
      </c>
      <c r="P845" s="2">
        <f t="shared" si="437"/>
        <v>147.69200000000001</v>
      </c>
      <c r="Q845" s="2">
        <f t="shared" si="424"/>
        <v>73.849999999999994</v>
      </c>
      <c r="R845" s="2">
        <f t="shared" si="425"/>
        <v>11.09</v>
      </c>
      <c r="S845" s="2">
        <f t="shared" si="426"/>
        <v>1.1100000000000001</v>
      </c>
      <c r="T845" s="2">
        <v>0</v>
      </c>
      <c r="U845" s="2">
        <v>0</v>
      </c>
      <c r="V845" s="2">
        <v>0</v>
      </c>
      <c r="W845" s="2">
        <v>-10</v>
      </c>
      <c r="X845" s="2">
        <v>0</v>
      </c>
      <c r="Y845" s="25">
        <v>224041</v>
      </c>
      <c r="Z845" s="26" t="s">
        <v>481</v>
      </c>
      <c r="AA845" s="4">
        <v>1</v>
      </c>
      <c r="AB845" s="4">
        <v>0</v>
      </c>
      <c r="AC845" s="4"/>
      <c r="AD845" s="4">
        <f t="shared" si="438"/>
        <v>1809.154649838375</v>
      </c>
      <c r="AF845" s="1" t="str">
        <f t="shared" si="439"/>
        <v>4</v>
      </c>
      <c r="AG845">
        <v>1</v>
      </c>
      <c r="AH845">
        <f t="shared" si="427"/>
        <v>110.93333333333334</v>
      </c>
      <c r="AI845">
        <f t="shared" si="428"/>
        <v>11.093333333333334</v>
      </c>
      <c r="AJ845">
        <f t="shared" si="429"/>
        <v>738.46153846153834</v>
      </c>
      <c r="AK845">
        <f t="shared" si="430"/>
        <v>73.84615384615384</v>
      </c>
      <c r="AL845">
        <f t="shared" si="431"/>
        <v>11.093333333333334</v>
      </c>
      <c r="AM845">
        <f t="shared" si="432"/>
        <v>1.1093333333333335</v>
      </c>
      <c r="AN845">
        <f t="shared" si="433"/>
        <v>1.6</v>
      </c>
      <c r="AO845">
        <f t="shared" si="435"/>
        <v>1.9</v>
      </c>
      <c r="AP845">
        <f t="shared" si="434"/>
        <v>6</v>
      </c>
      <c r="AQ845">
        <v>404</v>
      </c>
      <c r="AR845">
        <v>1</v>
      </c>
    </row>
    <row r="846" spans="1:44" x14ac:dyDescent="0.15">
      <c r="A846">
        <f t="shared" si="436"/>
        <v>1503004</v>
      </c>
      <c r="B846" s="21" t="s">
        <v>271</v>
      </c>
      <c r="C846">
        <v>1</v>
      </c>
      <c r="D846">
        <v>5</v>
      </c>
      <c r="E846">
        <v>4</v>
      </c>
      <c r="F846" s="6" t="s">
        <v>345</v>
      </c>
      <c r="G846" s="6" t="s">
        <v>346</v>
      </c>
      <c r="H846" s="2">
        <v>0</v>
      </c>
      <c r="I846" s="2">
        <v>0</v>
      </c>
      <c r="J846" s="2">
        <f t="shared" ref="J846:J861" si="440">AP846</f>
        <v>3</v>
      </c>
      <c r="K846" s="2">
        <f t="shared" ref="K846:K861" si="441">FLOOR(AN846/1,0.01)</f>
        <v>1.6</v>
      </c>
      <c r="L846" s="2">
        <f t="shared" ref="L846:L861" si="442">FLOOR(AO846/1,0.01)</f>
        <v>1.5</v>
      </c>
      <c r="M846" s="2">
        <v>10</v>
      </c>
      <c r="N846" s="2">
        <f t="shared" ref="N846:N859" si="443">ROUND(AH846,2)</f>
        <v>102.4</v>
      </c>
      <c r="O846" s="2">
        <f t="shared" ref="O846:O859" si="444">ROUND(AI846,2)</f>
        <v>10.24</v>
      </c>
      <c r="P846" s="2">
        <f t="shared" si="437"/>
        <v>160</v>
      </c>
      <c r="Q846" s="2">
        <f t="shared" ref="Q846:Q859" si="445">ROUND(AK846,2)</f>
        <v>80</v>
      </c>
      <c r="R846" s="2">
        <f t="shared" ref="R846:R859" si="446">ROUND(AL846,2)</f>
        <v>17.07</v>
      </c>
      <c r="S846" s="2">
        <f t="shared" ref="S846:S859" si="447">ROUND(AM846,2)</f>
        <v>1.71</v>
      </c>
      <c r="T846" s="2">
        <v>0</v>
      </c>
      <c r="U846" s="2">
        <v>0</v>
      </c>
      <c r="V846" s="2">
        <v>0</v>
      </c>
      <c r="W846" s="2">
        <v>-10</v>
      </c>
      <c r="X846" s="2">
        <v>0</v>
      </c>
      <c r="Y846" s="25">
        <v>235031</v>
      </c>
      <c r="Z846" s="26" t="s">
        <v>481</v>
      </c>
      <c r="AA846" s="4">
        <v>1</v>
      </c>
      <c r="AB846" s="4">
        <v>0</v>
      </c>
      <c r="AC846" s="4"/>
      <c r="AD846" s="4">
        <f t="shared" si="438"/>
        <v>1809.5616</v>
      </c>
      <c r="AF846" s="1" t="str">
        <f t="shared" si="439"/>
        <v>3</v>
      </c>
      <c r="AG846">
        <v>1</v>
      </c>
      <c r="AH846">
        <f t="shared" ref="AH846:AH862" si="448">INDEX($AV$5:$AV$50,MATCH($AQ846,$AT$5:$AT$50))*$AN846/1.5*$AZ$4*INDEX($AV$87:$BI$87,MATCH($AG846,$AV$86:$BI$86))</f>
        <v>102.4</v>
      </c>
      <c r="AI846">
        <f t="shared" ref="AI846:AI862" si="449">(INDEX($AV$5:$AV$50,MATCH($AQ846,$AT$5:$AT$50))*$AN846/1.5*$AZ$4*INDEX($AV$87:$BI$87,MATCH($AG846,$AV$86:$BI$86)))*0.1</f>
        <v>10.240000000000002</v>
      </c>
      <c r="AJ846">
        <f t="shared" ref="AJ846:AJ862" si="450">INDEX($AW$5:$AW$50,MATCH($AQ846,$AT$5:$AT$50))*$BA$4*INDEX($AV$87:$BI$87,MATCH($AG846,$AV$86:$BI$86))</f>
        <v>800</v>
      </c>
      <c r="AK846">
        <f t="shared" ref="AK846:AK862" si="451">(INDEX($AW$5:$AW$50,MATCH($AQ846,$AT$5:$AT$50))*$BA$4*INDEX($AV$87:$BI$87,MATCH($AG846,$AV$86:$BI$86)))*0.1</f>
        <v>80</v>
      </c>
      <c r="AL846">
        <f t="shared" ref="AL846:AL862" si="452">$AH846/INDEX($AX$5:$AX$50,MATCH($AQ846,$AT$5:$AT$50))</f>
        <v>17.066666666666666</v>
      </c>
      <c r="AM846">
        <f t="shared" ref="AM846:AM861" si="453">AL846*0.1</f>
        <v>1.7066666666666668</v>
      </c>
      <c r="AN846">
        <f t="shared" ref="AN846:AN862" si="454">INDEX($AY$5:$AY$50,MATCH($AQ846,$AT$5:$AT$50,0))</f>
        <v>1.6</v>
      </c>
      <c r="AO846">
        <f t="shared" si="435"/>
        <v>1.5</v>
      </c>
      <c r="AP846">
        <f t="shared" ref="AP846:AP862" si="455">INDEX($BC$5:$BC$50,MATCH($AQ846,$AT$5:$AT$50,0))</f>
        <v>3</v>
      </c>
      <c r="AQ846">
        <v>503</v>
      </c>
      <c r="AR846">
        <v>1</v>
      </c>
    </row>
    <row r="847" spans="1:44" x14ac:dyDescent="0.15">
      <c r="A847">
        <f t="shared" si="436"/>
        <v>1304004</v>
      </c>
      <c r="B847" s="21" t="s">
        <v>274</v>
      </c>
      <c r="C847">
        <v>1</v>
      </c>
      <c r="D847">
        <v>3</v>
      </c>
      <c r="E847">
        <v>4</v>
      </c>
      <c r="F847" s="6" t="s">
        <v>347</v>
      </c>
      <c r="G847" s="6" t="s">
        <v>348</v>
      </c>
      <c r="H847">
        <v>0</v>
      </c>
      <c r="I847" s="2">
        <v>0</v>
      </c>
      <c r="J847" s="2">
        <f t="shared" si="440"/>
        <v>3</v>
      </c>
      <c r="K847" s="2">
        <f t="shared" si="441"/>
        <v>1.4000000000000001</v>
      </c>
      <c r="L847" s="2">
        <f t="shared" si="442"/>
        <v>2</v>
      </c>
      <c r="M847" s="2">
        <v>10</v>
      </c>
      <c r="N847" s="2">
        <f t="shared" si="443"/>
        <v>85.87</v>
      </c>
      <c r="O847" s="2">
        <f t="shared" si="444"/>
        <v>8.59</v>
      </c>
      <c r="P847" s="2">
        <f t="shared" si="437"/>
        <v>166.95600000000002</v>
      </c>
      <c r="Q847" s="2">
        <f t="shared" si="445"/>
        <v>83.48</v>
      </c>
      <c r="R847" s="2">
        <f t="shared" si="446"/>
        <v>10.73</v>
      </c>
      <c r="S847" s="2">
        <f t="shared" si="447"/>
        <v>1.07</v>
      </c>
      <c r="T847" s="2">
        <v>0</v>
      </c>
      <c r="U847" s="2">
        <v>0</v>
      </c>
      <c r="V847" s="2">
        <v>0</v>
      </c>
      <c r="W847" s="2">
        <v>-10</v>
      </c>
      <c r="X847" s="2">
        <v>0</v>
      </c>
      <c r="Y847" s="25">
        <v>233041</v>
      </c>
      <c r="Z847" s="26" t="s">
        <v>481</v>
      </c>
      <c r="AA847" s="4">
        <v>1</v>
      </c>
      <c r="AB847" s="4">
        <v>0</v>
      </c>
      <c r="AC847" s="4"/>
      <c r="AD847" s="4">
        <f t="shared" si="438"/>
        <v>1810.2434570370001</v>
      </c>
      <c r="AF847" s="1" t="str">
        <f t="shared" si="439"/>
        <v>4</v>
      </c>
      <c r="AG847">
        <v>1</v>
      </c>
      <c r="AH847">
        <f t="shared" si="448"/>
        <v>85.86666666666666</v>
      </c>
      <c r="AI847">
        <f t="shared" si="449"/>
        <v>8.586666666666666</v>
      </c>
      <c r="AJ847">
        <f t="shared" si="450"/>
        <v>834.78260869565224</v>
      </c>
      <c r="AK847">
        <f t="shared" si="451"/>
        <v>83.478260869565233</v>
      </c>
      <c r="AL847">
        <f t="shared" si="452"/>
        <v>10.733333333333333</v>
      </c>
      <c r="AM847">
        <f t="shared" si="453"/>
        <v>1.0733333333333333</v>
      </c>
      <c r="AN847">
        <f t="shared" si="454"/>
        <v>1.4</v>
      </c>
      <c r="AO847">
        <f t="shared" si="435"/>
        <v>2</v>
      </c>
      <c r="AP847">
        <f t="shared" si="455"/>
        <v>3</v>
      </c>
      <c r="AQ847">
        <v>304</v>
      </c>
      <c r="AR847">
        <v>1</v>
      </c>
    </row>
    <row r="848" spans="1:44" x14ac:dyDescent="0.15">
      <c r="A848">
        <f t="shared" si="436"/>
        <v>1203005</v>
      </c>
      <c r="B848" s="6" t="s">
        <v>241</v>
      </c>
      <c r="C848">
        <v>1</v>
      </c>
      <c r="D848">
        <v>2</v>
      </c>
      <c r="E848">
        <v>5</v>
      </c>
      <c r="F848" s="6" t="s">
        <v>349</v>
      </c>
      <c r="G848" s="20" t="s">
        <v>350</v>
      </c>
      <c r="H848">
        <v>0</v>
      </c>
      <c r="I848" s="2">
        <v>0</v>
      </c>
      <c r="J848" s="2">
        <f t="shared" si="440"/>
        <v>3</v>
      </c>
      <c r="K848" s="2">
        <f t="shared" si="441"/>
        <v>1.3</v>
      </c>
      <c r="L848" s="2">
        <f t="shared" si="442"/>
        <v>1.9000000000000001</v>
      </c>
      <c r="M848" s="2">
        <v>10</v>
      </c>
      <c r="N848" s="2">
        <f t="shared" si="443"/>
        <v>62.4</v>
      </c>
      <c r="O848" s="2">
        <f t="shared" si="444"/>
        <v>6.24</v>
      </c>
      <c r="P848" s="2">
        <f t="shared" si="437"/>
        <v>213.33400000000003</v>
      </c>
      <c r="Q848" s="2">
        <f t="shared" si="445"/>
        <v>106.67</v>
      </c>
      <c r="R848" s="2">
        <f t="shared" si="446"/>
        <v>12.48</v>
      </c>
      <c r="S848" s="2">
        <f t="shared" si="447"/>
        <v>1.25</v>
      </c>
      <c r="T848" s="2">
        <v>0</v>
      </c>
      <c r="U848" s="2">
        <v>0</v>
      </c>
      <c r="V848" s="2">
        <v>0</v>
      </c>
      <c r="W848" s="2">
        <v>-10</v>
      </c>
      <c r="X848" s="2">
        <v>0</v>
      </c>
      <c r="Y848" s="25">
        <v>112031</v>
      </c>
      <c r="Z848" s="26" t="s">
        <v>481</v>
      </c>
      <c r="AA848" s="4">
        <v>1</v>
      </c>
      <c r="AB848" s="4">
        <v>0</v>
      </c>
      <c r="AC848" s="4"/>
      <c r="AD848" s="4">
        <f t="shared" si="438"/>
        <v>1809.6171508799998</v>
      </c>
      <c r="AF848" s="1" t="str">
        <f t="shared" si="439"/>
        <v>3</v>
      </c>
      <c r="AG848">
        <v>1</v>
      </c>
      <c r="AH848">
        <f t="shared" si="448"/>
        <v>62.400000000000013</v>
      </c>
      <c r="AI848">
        <f t="shared" si="449"/>
        <v>6.240000000000002</v>
      </c>
      <c r="AJ848">
        <f t="shared" si="450"/>
        <v>1066.6666666666667</v>
      </c>
      <c r="AK848">
        <f t="shared" si="451"/>
        <v>106.66666666666669</v>
      </c>
      <c r="AL848">
        <f t="shared" si="452"/>
        <v>12.480000000000002</v>
      </c>
      <c r="AM848">
        <f t="shared" si="453"/>
        <v>1.2480000000000002</v>
      </c>
      <c r="AN848">
        <f t="shared" si="454"/>
        <v>1.3</v>
      </c>
      <c r="AO848">
        <f t="shared" si="435"/>
        <v>1.9</v>
      </c>
      <c r="AP848">
        <f t="shared" si="455"/>
        <v>3</v>
      </c>
      <c r="AQ848">
        <v>203</v>
      </c>
      <c r="AR848">
        <v>1</v>
      </c>
    </row>
    <row r="849" spans="1:44" x14ac:dyDescent="0.15">
      <c r="A849">
        <f t="shared" si="436"/>
        <v>1403005</v>
      </c>
      <c r="B849" s="6" t="s">
        <v>244</v>
      </c>
      <c r="C849">
        <v>1</v>
      </c>
      <c r="D849">
        <v>4</v>
      </c>
      <c r="E849">
        <v>5</v>
      </c>
      <c r="F849" s="6" t="s">
        <v>351</v>
      </c>
      <c r="G849" s="20" t="s">
        <v>352</v>
      </c>
      <c r="H849" s="2">
        <v>0</v>
      </c>
      <c r="I849" s="2" t="s">
        <v>161</v>
      </c>
      <c r="J849" s="2">
        <f t="shared" si="440"/>
        <v>6</v>
      </c>
      <c r="K849" s="2">
        <f t="shared" si="441"/>
        <v>1.3</v>
      </c>
      <c r="L849" s="2">
        <f t="shared" si="442"/>
        <v>1.9000000000000001</v>
      </c>
      <c r="M849" s="2">
        <v>10</v>
      </c>
      <c r="N849" s="2">
        <f t="shared" si="443"/>
        <v>83.2</v>
      </c>
      <c r="O849" s="2">
        <f t="shared" si="444"/>
        <v>8.32</v>
      </c>
      <c r="P849" s="2">
        <f t="shared" si="437"/>
        <v>160</v>
      </c>
      <c r="Q849" s="2">
        <f t="shared" si="445"/>
        <v>80</v>
      </c>
      <c r="R849" s="2">
        <f t="shared" si="446"/>
        <v>8.32</v>
      </c>
      <c r="S849" s="2">
        <f t="shared" si="447"/>
        <v>0.83</v>
      </c>
      <c r="T849" s="2">
        <v>0</v>
      </c>
      <c r="U849" s="2">
        <v>0</v>
      </c>
      <c r="V849" s="2">
        <v>0</v>
      </c>
      <c r="W849" s="2">
        <v>-10</v>
      </c>
      <c r="X849" s="2">
        <v>0</v>
      </c>
      <c r="Y849" s="25">
        <v>114031</v>
      </c>
      <c r="Z849" s="26" t="s">
        <v>481</v>
      </c>
      <c r="AA849" s="4">
        <v>1</v>
      </c>
      <c r="AB849" s="4">
        <v>0</v>
      </c>
      <c r="AC849" s="4"/>
      <c r="AD849" s="4">
        <f t="shared" si="438"/>
        <v>1809.5616</v>
      </c>
      <c r="AF849" s="1" t="str">
        <f t="shared" si="439"/>
        <v>3</v>
      </c>
      <c r="AG849">
        <v>1</v>
      </c>
      <c r="AH849">
        <f t="shared" si="448"/>
        <v>83.2</v>
      </c>
      <c r="AI849">
        <f t="shared" si="449"/>
        <v>8.32</v>
      </c>
      <c r="AJ849">
        <f t="shared" si="450"/>
        <v>800</v>
      </c>
      <c r="AK849">
        <f t="shared" si="451"/>
        <v>80</v>
      </c>
      <c r="AL849">
        <f t="shared" si="452"/>
        <v>8.32</v>
      </c>
      <c r="AM849">
        <f t="shared" si="453"/>
        <v>0.83200000000000007</v>
      </c>
      <c r="AN849">
        <f t="shared" si="454"/>
        <v>1.3</v>
      </c>
      <c r="AO849">
        <f t="shared" si="435"/>
        <v>1.9</v>
      </c>
      <c r="AP849">
        <f t="shared" si="455"/>
        <v>6</v>
      </c>
      <c r="AQ849">
        <v>403</v>
      </c>
      <c r="AR849">
        <v>1</v>
      </c>
    </row>
    <row r="850" spans="1:44" x14ac:dyDescent="0.15">
      <c r="A850">
        <f t="shared" si="436"/>
        <v>1205005</v>
      </c>
      <c r="B850" s="6" t="s">
        <v>247</v>
      </c>
      <c r="C850">
        <v>1</v>
      </c>
      <c r="D850">
        <v>2</v>
      </c>
      <c r="E850">
        <v>5</v>
      </c>
      <c r="F850" s="6" t="s">
        <v>353</v>
      </c>
      <c r="G850" s="20" t="s">
        <v>354</v>
      </c>
      <c r="H850">
        <v>0</v>
      </c>
      <c r="I850" s="2">
        <v>0</v>
      </c>
      <c r="J850" s="2">
        <f t="shared" si="440"/>
        <v>3</v>
      </c>
      <c r="K850" s="2">
        <f t="shared" si="441"/>
        <v>1.8</v>
      </c>
      <c r="L850" s="2">
        <f t="shared" si="442"/>
        <v>2</v>
      </c>
      <c r="M850" s="2">
        <v>10</v>
      </c>
      <c r="N850" s="2">
        <f t="shared" si="443"/>
        <v>86.4</v>
      </c>
      <c r="O850" s="2">
        <f t="shared" si="444"/>
        <v>8.64</v>
      </c>
      <c r="P850" s="2">
        <f t="shared" si="437"/>
        <v>213.33400000000003</v>
      </c>
      <c r="Q850" s="2">
        <f t="shared" si="445"/>
        <v>106.67</v>
      </c>
      <c r="R850" s="2">
        <f t="shared" si="446"/>
        <v>17.28</v>
      </c>
      <c r="S850" s="2">
        <f t="shared" si="447"/>
        <v>1.73</v>
      </c>
      <c r="T850" s="2">
        <v>0</v>
      </c>
      <c r="U850" s="2">
        <v>0</v>
      </c>
      <c r="V850" s="2">
        <v>0</v>
      </c>
      <c r="W850" s="2">
        <v>-10</v>
      </c>
      <c r="X850" s="2">
        <v>0</v>
      </c>
      <c r="Y850" s="25">
        <v>122051</v>
      </c>
      <c r="Z850" s="26" t="s">
        <v>481</v>
      </c>
      <c r="AA850" s="4">
        <v>1</v>
      </c>
      <c r="AB850" s="4">
        <v>0</v>
      </c>
      <c r="AC850" s="4"/>
      <c r="AD850" s="4">
        <f t="shared" si="438"/>
        <v>1809.6171508800003</v>
      </c>
      <c r="AF850" s="1" t="str">
        <f t="shared" si="439"/>
        <v>5</v>
      </c>
      <c r="AG850">
        <v>1</v>
      </c>
      <c r="AH850">
        <f t="shared" si="448"/>
        <v>86.4</v>
      </c>
      <c r="AI850">
        <f t="shared" si="449"/>
        <v>8.64</v>
      </c>
      <c r="AJ850">
        <f t="shared" si="450"/>
        <v>1066.6666666666667</v>
      </c>
      <c r="AK850">
        <f t="shared" si="451"/>
        <v>106.66666666666669</v>
      </c>
      <c r="AL850">
        <f t="shared" si="452"/>
        <v>17.28</v>
      </c>
      <c r="AM850">
        <f t="shared" si="453"/>
        <v>1.7280000000000002</v>
      </c>
      <c r="AN850">
        <f t="shared" si="454"/>
        <v>1.8</v>
      </c>
      <c r="AO850">
        <f t="shared" si="435"/>
        <v>2</v>
      </c>
      <c r="AP850">
        <f t="shared" si="455"/>
        <v>3</v>
      </c>
      <c r="AQ850">
        <v>205</v>
      </c>
      <c r="AR850">
        <v>1</v>
      </c>
    </row>
    <row r="851" spans="1:44" x14ac:dyDescent="0.15">
      <c r="A851">
        <f t="shared" si="436"/>
        <v>1405005</v>
      </c>
      <c r="B851" s="6" t="s">
        <v>250</v>
      </c>
      <c r="C851">
        <v>1</v>
      </c>
      <c r="D851">
        <v>4</v>
      </c>
      <c r="E851">
        <v>5</v>
      </c>
      <c r="F851" s="6" t="s">
        <v>355</v>
      </c>
      <c r="G851" s="6" t="s">
        <v>356</v>
      </c>
      <c r="H851">
        <v>0</v>
      </c>
      <c r="I851" s="2" t="s">
        <v>161</v>
      </c>
      <c r="J851" s="2">
        <f t="shared" si="440"/>
        <v>6</v>
      </c>
      <c r="K851" s="2">
        <f t="shared" si="441"/>
        <v>1.5</v>
      </c>
      <c r="L851" s="2">
        <f t="shared" si="442"/>
        <v>1.5</v>
      </c>
      <c r="M851" s="2">
        <v>10</v>
      </c>
      <c r="N851" s="2">
        <f t="shared" si="443"/>
        <v>100</v>
      </c>
      <c r="O851" s="2">
        <f t="shared" si="444"/>
        <v>10</v>
      </c>
      <c r="P851" s="2">
        <f t="shared" si="437"/>
        <v>153.60000000000002</v>
      </c>
      <c r="Q851" s="2">
        <f t="shared" si="445"/>
        <v>76.8</v>
      </c>
      <c r="R851" s="2">
        <f t="shared" si="446"/>
        <v>10</v>
      </c>
      <c r="S851" s="2">
        <f t="shared" si="447"/>
        <v>1</v>
      </c>
      <c r="T851" s="2">
        <v>0</v>
      </c>
      <c r="U851" s="2">
        <v>0</v>
      </c>
      <c r="V851" s="2">
        <v>0</v>
      </c>
      <c r="W851" s="2">
        <v>-10</v>
      </c>
      <c r="X851" s="2">
        <v>0</v>
      </c>
      <c r="Y851" s="25">
        <v>124051</v>
      </c>
      <c r="Z851" s="26" t="s">
        <v>481</v>
      </c>
      <c r="AA851" s="4">
        <v>1</v>
      </c>
      <c r="AB851" s="4">
        <v>0</v>
      </c>
      <c r="AC851" s="4"/>
      <c r="AD851" s="4">
        <f t="shared" si="438"/>
        <v>1809.5616</v>
      </c>
      <c r="AF851" s="1" t="str">
        <f t="shared" si="439"/>
        <v>5</v>
      </c>
      <c r="AG851">
        <v>1</v>
      </c>
      <c r="AH851">
        <f t="shared" si="448"/>
        <v>100</v>
      </c>
      <c r="AI851">
        <f t="shared" si="449"/>
        <v>10</v>
      </c>
      <c r="AJ851">
        <f t="shared" si="450"/>
        <v>768</v>
      </c>
      <c r="AK851">
        <f t="shared" si="451"/>
        <v>76.800000000000011</v>
      </c>
      <c r="AL851">
        <f t="shared" si="452"/>
        <v>10</v>
      </c>
      <c r="AM851">
        <f t="shared" si="453"/>
        <v>1</v>
      </c>
      <c r="AN851">
        <f t="shared" si="454"/>
        <v>1.5</v>
      </c>
      <c r="AO851">
        <f t="shared" si="435"/>
        <v>1.5</v>
      </c>
      <c r="AP851">
        <f t="shared" si="455"/>
        <v>6</v>
      </c>
      <c r="AQ851">
        <v>405</v>
      </c>
      <c r="AR851">
        <v>1</v>
      </c>
    </row>
    <row r="852" spans="1:44" x14ac:dyDescent="0.15">
      <c r="A852">
        <f t="shared" si="436"/>
        <v>1303005</v>
      </c>
      <c r="B852" s="6" t="s">
        <v>253</v>
      </c>
      <c r="C852">
        <v>1</v>
      </c>
      <c r="D852">
        <v>3</v>
      </c>
      <c r="E852">
        <v>5</v>
      </c>
      <c r="F852" s="6" t="s">
        <v>357</v>
      </c>
      <c r="G852" s="6" t="s">
        <v>358</v>
      </c>
      <c r="H852" s="2">
        <v>0</v>
      </c>
      <c r="I852" s="2">
        <v>0</v>
      </c>
      <c r="J852" s="2">
        <f t="shared" si="440"/>
        <v>3</v>
      </c>
      <c r="K852" s="2">
        <f t="shared" si="441"/>
        <v>1.3</v>
      </c>
      <c r="L852" s="2">
        <f t="shared" si="442"/>
        <v>1.4000000000000001</v>
      </c>
      <c r="M852" s="2">
        <v>10</v>
      </c>
      <c r="N852" s="2">
        <f t="shared" si="443"/>
        <v>76.27</v>
      </c>
      <c r="O852" s="2">
        <f t="shared" si="444"/>
        <v>7.63</v>
      </c>
      <c r="P852" s="2">
        <f t="shared" si="437"/>
        <v>174.54600000000002</v>
      </c>
      <c r="Q852" s="2">
        <f t="shared" si="445"/>
        <v>87.27</v>
      </c>
      <c r="R852" s="2">
        <f t="shared" si="446"/>
        <v>9.5299999999999994</v>
      </c>
      <c r="S852" s="2">
        <f t="shared" si="447"/>
        <v>0.95</v>
      </c>
      <c r="T852" s="2">
        <v>0</v>
      </c>
      <c r="U852" s="2">
        <v>0</v>
      </c>
      <c r="V852" s="2">
        <v>0</v>
      </c>
      <c r="W852" s="2">
        <v>-10</v>
      </c>
      <c r="X852" s="2">
        <v>0</v>
      </c>
      <c r="Y852" s="25">
        <v>133031</v>
      </c>
      <c r="Z852" s="26" t="s">
        <v>481</v>
      </c>
      <c r="AA852" s="4">
        <v>1</v>
      </c>
      <c r="AB852" s="4">
        <v>0</v>
      </c>
      <c r="AC852" s="4"/>
      <c r="AD852" s="4">
        <f t="shared" si="438"/>
        <v>1810.2324316133074</v>
      </c>
      <c r="AF852" s="1" t="str">
        <f t="shared" si="439"/>
        <v>3</v>
      </c>
      <c r="AG852">
        <v>1</v>
      </c>
      <c r="AH852">
        <f t="shared" si="448"/>
        <v>76.26666666666668</v>
      </c>
      <c r="AI852">
        <f t="shared" si="449"/>
        <v>7.6266666666666687</v>
      </c>
      <c r="AJ852">
        <f t="shared" si="450"/>
        <v>872.72727272727275</v>
      </c>
      <c r="AK852">
        <f t="shared" si="451"/>
        <v>87.27272727272728</v>
      </c>
      <c r="AL852">
        <f t="shared" si="452"/>
        <v>9.533333333333335</v>
      </c>
      <c r="AM852">
        <f t="shared" si="453"/>
        <v>0.95333333333333359</v>
      </c>
      <c r="AN852">
        <f t="shared" si="454"/>
        <v>1.3</v>
      </c>
      <c r="AO852">
        <f t="shared" si="435"/>
        <v>1.4</v>
      </c>
      <c r="AP852">
        <f t="shared" si="455"/>
        <v>3</v>
      </c>
      <c r="AQ852">
        <v>303</v>
      </c>
      <c r="AR852">
        <v>1</v>
      </c>
    </row>
    <row r="853" spans="1:44" x14ac:dyDescent="0.15">
      <c r="A853">
        <f t="shared" si="436"/>
        <v>1504005</v>
      </c>
      <c r="B853" s="6" t="s">
        <v>256</v>
      </c>
      <c r="C853">
        <v>1</v>
      </c>
      <c r="D853">
        <v>5</v>
      </c>
      <c r="E853">
        <v>5</v>
      </c>
      <c r="F853" s="6" t="s">
        <v>359</v>
      </c>
      <c r="G853" s="6" t="s">
        <v>360</v>
      </c>
      <c r="H853">
        <v>0</v>
      </c>
      <c r="I853" s="2">
        <v>0</v>
      </c>
      <c r="J853" s="2">
        <f t="shared" si="440"/>
        <v>3</v>
      </c>
      <c r="K853" s="2">
        <f t="shared" si="441"/>
        <v>1.8</v>
      </c>
      <c r="L853" s="2">
        <f t="shared" si="442"/>
        <v>1.5</v>
      </c>
      <c r="M853" s="2">
        <v>10</v>
      </c>
      <c r="N853" s="2">
        <f t="shared" si="443"/>
        <v>105.6</v>
      </c>
      <c r="O853" s="2">
        <f t="shared" si="444"/>
        <v>10.56</v>
      </c>
      <c r="P853" s="2">
        <f t="shared" si="437"/>
        <v>174.54600000000002</v>
      </c>
      <c r="Q853" s="2">
        <f t="shared" si="445"/>
        <v>87.27</v>
      </c>
      <c r="R853" s="2">
        <f t="shared" si="446"/>
        <v>17.600000000000001</v>
      </c>
      <c r="S853" s="2">
        <f t="shared" si="447"/>
        <v>1.76</v>
      </c>
      <c r="T853" s="2">
        <v>0</v>
      </c>
      <c r="U853" s="2">
        <v>0</v>
      </c>
      <c r="V853" s="2">
        <v>0</v>
      </c>
      <c r="W853" s="2">
        <v>-10</v>
      </c>
      <c r="X853" s="2">
        <v>0</v>
      </c>
      <c r="Y853" s="25">
        <v>135041</v>
      </c>
      <c r="Z853" s="26" t="s">
        <v>481</v>
      </c>
      <c r="AA853" s="4">
        <v>1</v>
      </c>
      <c r="AB853" s="4">
        <v>0.5</v>
      </c>
      <c r="AC853" s="4"/>
      <c r="AD853" s="4">
        <f t="shared" si="438"/>
        <v>1809.5062708800001</v>
      </c>
      <c r="AF853" s="1" t="str">
        <f t="shared" si="439"/>
        <v>4</v>
      </c>
      <c r="AG853">
        <v>1</v>
      </c>
      <c r="AH853">
        <f t="shared" si="448"/>
        <v>105.60000000000001</v>
      </c>
      <c r="AI853">
        <f t="shared" si="449"/>
        <v>10.560000000000002</v>
      </c>
      <c r="AJ853">
        <f t="shared" si="450"/>
        <v>872.72727272727275</v>
      </c>
      <c r="AK853">
        <f t="shared" si="451"/>
        <v>87.27272727272728</v>
      </c>
      <c r="AL853">
        <f t="shared" si="452"/>
        <v>17.600000000000001</v>
      </c>
      <c r="AM853">
        <f t="shared" si="453"/>
        <v>1.7600000000000002</v>
      </c>
      <c r="AN853">
        <f t="shared" si="454"/>
        <v>1.8</v>
      </c>
      <c r="AO853">
        <f t="shared" si="435"/>
        <v>1.5</v>
      </c>
      <c r="AP853">
        <f t="shared" si="455"/>
        <v>3</v>
      </c>
      <c r="AQ853">
        <v>504</v>
      </c>
      <c r="AR853">
        <v>1</v>
      </c>
    </row>
    <row r="854" spans="1:44" x14ac:dyDescent="0.15">
      <c r="A854">
        <f t="shared" si="436"/>
        <v>1206005</v>
      </c>
      <c r="B854" s="21" t="s">
        <v>259</v>
      </c>
      <c r="C854">
        <v>1</v>
      </c>
      <c r="D854">
        <v>2</v>
      </c>
      <c r="E854">
        <v>5</v>
      </c>
      <c r="F854" s="6" t="s">
        <v>361</v>
      </c>
      <c r="G854" s="6" t="s">
        <v>362</v>
      </c>
      <c r="H854" s="2">
        <v>0</v>
      </c>
      <c r="I854" s="2">
        <v>0</v>
      </c>
      <c r="J854" s="2">
        <f t="shared" si="440"/>
        <v>3</v>
      </c>
      <c r="K854" s="2">
        <f t="shared" si="441"/>
        <v>1.6</v>
      </c>
      <c r="L854" s="2">
        <f t="shared" si="442"/>
        <v>2</v>
      </c>
      <c r="M854" s="2">
        <v>10</v>
      </c>
      <c r="N854" s="2">
        <f t="shared" si="443"/>
        <v>76.8</v>
      </c>
      <c r="O854" s="2">
        <f t="shared" si="444"/>
        <v>7.68</v>
      </c>
      <c r="P854" s="2">
        <f t="shared" si="437"/>
        <v>213.33400000000003</v>
      </c>
      <c r="Q854" s="2">
        <f t="shared" si="445"/>
        <v>106.67</v>
      </c>
      <c r="R854" s="2">
        <f t="shared" si="446"/>
        <v>15.36</v>
      </c>
      <c r="S854" s="2">
        <f t="shared" si="447"/>
        <v>1.54</v>
      </c>
      <c r="T854" s="2">
        <v>0</v>
      </c>
      <c r="U854" s="2">
        <v>0</v>
      </c>
      <c r="V854" s="2">
        <v>0</v>
      </c>
      <c r="W854" s="2">
        <v>-10</v>
      </c>
      <c r="X854" s="2">
        <v>0</v>
      </c>
      <c r="Y854" s="25">
        <v>212061</v>
      </c>
      <c r="Z854" s="26" t="s">
        <v>481</v>
      </c>
      <c r="AA854" s="4">
        <v>1</v>
      </c>
      <c r="AB854" s="4">
        <v>0</v>
      </c>
      <c r="AC854" s="4"/>
      <c r="AD854" s="4">
        <f t="shared" si="438"/>
        <v>1809.6171508799998</v>
      </c>
      <c r="AF854" s="1" t="str">
        <f t="shared" si="439"/>
        <v>6</v>
      </c>
      <c r="AG854">
        <v>1</v>
      </c>
      <c r="AH854">
        <f t="shared" si="448"/>
        <v>76.800000000000011</v>
      </c>
      <c r="AI854">
        <f t="shared" si="449"/>
        <v>7.6800000000000015</v>
      </c>
      <c r="AJ854">
        <f t="shared" si="450"/>
        <v>1066.6666666666667</v>
      </c>
      <c r="AK854">
        <f t="shared" si="451"/>
        <v>106.66666666666669</v>
      </c>
      <c r="AL854">
        <f t="shared" si="452"/>
        <v>15.360000000000003</v>
      </c>
      <c r="AM854">
        <f t="shared" si="453"/>
        <v>1.5360000000000005</v>
      </c>
      <c r="AN854">
        <f t="shared" si="454"/>
        <v>1.6</v>
      </c>
      <c r="AO854">
        <f t="shared" si="435"/>
        <v>2</v>
      </c>
      <c r="AP854">
        <f t="shared" si="455"/>
        <v>3</v>
      </c>
      <c r="AQ854">
        <v>206</v>
      </c>
      <c r="AR854">
        <v>1</v>
      </c>
    </row>
    <row r="855" spans="1:44" x14ac:dyDescent="0.15">
      <c r="A855">
        <f t="shared" si="436"/>
        <v>1406005</v>
      </c>
      <c r="B855" s="21" t="s">
        <v>262</v>
      </c>
      <c r="C855">
        <v>1</v>
      </c>
      <c r="D855">
        <v>4</v>
      </c>
      <c r="E855">
        <v>5</v>
      </c>
      <c r="F855" s="6" t="s">
        <v>363</v>
      </c>
      <c r="G855" s="6" t="s">
        <v>364</v>
      </c>
      <c r="H855" s="2">
        <v>0</v>
      </c>
      <c r="I855" s="2" t="s">
        <v>161</v>
      </c>
      <c r="J855" s="2">
        <f t="shared" si="440"/>
        <v>6</v>
      </c>
      <c r="K855" s="2">
        <f t="shared" si="441"/>
        <v>1.4000000000000001</v>
      </c>
      <c r="L855" s="2">
        <f t="shared" si="442"/>
        <v>1.2</v>
      </c>
      <c r="M855" s="2">
        <v>10</v>
      </c>
      <c r="N855" s="2">
        <f t="shared" si="443"/>
        <v>97.07</v>
      </c>
      <c r="O855" s="2">
        <f t="shared" si="444"/>
        <v>9.7100000000000009</v>
      </c>
      <c r="P855" s="2">
        <f t="shared" si="437"/>
        <v>147.69200000000001</v>
      </c>
      <c r="Q855" s="2">
        <f t="shared" si="445"/>
        <v>73.849999999999994</v>
      </c>
      <c r="R855" s="2">
        <f t="shared" si="446"/>
        <v>9.7100000000000009</v>
      </c>
      <c r="S855" s="2">
        <f t="shared" si="447"/>
        <v>0.97</v>
      </c>
      <c r="T855" s="2">
        <v>0</v>
      </c>
      <c r="U855" s="2">
        <v>0</v>
      </c>
      <c r="V855" s="2">
        <v>0</v>
      </c>
      <c r="W855" s="2">
        <v>-10</v>
      </c>
      <c r="X855" s="2">
        <v>0</v>
      </c>
      <c r="Y855" s="25">
        <v>214061</v>
      </c>
      <c r="Z855" s="26" t="s">
        <v>481</v>
      </c>
      <c r="AA855" s="4">
        <v>1</v>
      </c>
      <c r="AB855" s="4">
        <v>0</v>
      </c>
      <c r="AC855" s="4"/>
      <c r="AD855" s="4">
        <f t="shared" si="438"/>
        <v>1810.224527499</v>
      </c>
      <c r="AF855" s="1" t="str">
        <f t="shared" si="439"/>
        <v>6</v>
      </c>
      <c r="AG855">
        <v>1</v>
      </c>
      <c r="AH855">
        <f t="shared" si="448"/>
        <v>97.066666666666649</v>
      </c>
      <c r="AI855">
        <f t="shared" si="449"/>
        <v>9.7066666666666652</v>
      </c>
      <c r="AJ855">
        <f t="shared" si="450"/>
        <v>738.46153846153834</v>
      </c>
      <c r="AK855">
        <f t="shared" si="451"/>
        <v>73.84615384615384</v>
      </c>
      <c r="AL855">
        <f t="shared" si="452"/>
        <v>9.7066666666666652</v>
      </c>
      <c r="AM855">
        <f t="shared" si="453"/>
        <v>0.97066666666666657</v>
      </c>
      <c r="AN855">
        <f t="shared" si="454"/>
        <v>1.4</v>
      </c>
      <c r="AO855">
        <f t="shared" si="435"/>
        <v>1.2</v>
      </c>
      <c r="AP855">
        <f t="shared" si="455"/>
        <v>6</v>
      </c>
      <c r="AQ855">
        <v>406</v>
      </c>
      <c r="AR855">
        <v>1</v>
      </c>
    </row>
    <row r="856" spans="1:44" x14ac:dyDescent="0.15">
      <c r="A856">
        <f t="shared" si="436"/>
        <v>1204005</v>
      </c>
      <c r="B856" s="21" t="s">
        <v>265</v>
      </c>
      <c r="C856">
        <v>1</v>
      </c>
      <c r="D856">
        <v>2</v>
      </c>
      <c r="E856">
        <v>5</v>
      </c>
      <c r="F856" s="6" t="s">
        <v>365</v>
      </c>
      <c r="G856" s="6" t="s">
        <v>366</v>
      </c>
      <c r="H856" s="2">
        <v>0</v>
      </c>
      <c r="I856" s="2">
        <v>0</v>
      </c>
      <c r="J856" s="2">
        <f t="shared" si="440"/>
        <v>3</v>
      </c>
      <c r="K856" s="2">
        <f t="shared" si="441"/>
        <v>1.4000000000000001</v>
      </c>
      <c r="L856" s="2">
        <f t="shared" si="442"/>
        <v>1.2</v>
      </c>
      <c r="M856" s="2">
        <v>10</v>
      </c>
      <c r="N856" s="2">
        <f t="shared" si="443"/>
        <v>67.2</v>
      </c>
      <c r="O856" s="2">
        <f t="shared" si="444"/>
        <v>6.72</v>
      </c>
      <c r="P856" s="2">
        <f t="shared" si="437"/>
        <v>213.33400000000003</v>
      </c>
      <c r="Q856" s="2">
        <f t="shared" si="445"/>
        <v>106.67</v>
      </c>
      <c r="R856" s="2">
        <f t="shared" si="446"/>
        <v>13.44</v>
      </c>
      <c r="S856" s="2">
        <f t="shared" si="447"/>
        <v>1.34</v>
      </c>
      <c r="T856" s="2">
        <v>0</v>
      </c>
      <c r="U856" s="2">
        <v>0</v>
      </c>
      <c r="V856" s="2">
        <v>0</v>
      </c>
      <c r="W856" s="2">
        <v>-10</v>
      </c>
      <c r="X856" s="2">
        <v>0</v>
      </c>
      <c r="Y856" s="25">
        <v>222041</v>
      </c>
      <c r="Z856" s="26" t="s">
        <v>481</v>
      </c>
      <c r="AA856" s="4">
        <v>1</v>
      </c>
      <c r="AB856" s="4">
        <v>0</v>
      </c>
      <c r="AC856" s="4"/>
      <c r="AD856" s="4">
        <f t="shared" si="438"/>
        <v>1809.6171508800003</v>
      </c>
      <c r="AF856" s="1" t="str">
        <f t="shared" si="439"/>
        <v>4</v>
      </c>
      <c r="AG856">
        <v>1</v>
      </c>
      <c r="AH856">
        <f t="shared" si="448"/>
        <v>67.2</v>
      </c>
      <c r="AI856">
        <f t="shared" si="449"/>
        <v>6.7200000000000006</v>
      </c>
      <c r="AJ856">
        <f t="shared" si="450"/>
        <v>1066.6666666666667</v>
      </c>
      <c r="AK856">
        <f t="shared" si="451"/>
        <v>106.66666666666669</v>
      </c>
      <c r="AL856">
        <f t="shared" si="452"/>
        <v>13.440000000000001</v>
      </c>
      <c r="AM856">
        <f t="shared" si="453"/>
        <v>1.3440000000000003</v>
      </c>
      <c r="AN856">
        <f t="shared" si="454"/>
        <v>1.4</v>
      </c>
      <c r="AO856">
        <f t="shared" si="435"/>
        <v>1.2</v>
      </c>
      <c r="AP856">
        <f t="shared" si="455"/>
        <v>3</v>
      </c>
      <c r="AQ856">
        <v>204</v>
      </c>
      <c r="AR856">
        <v>1</v>
      </c>
    </row>
    <row r="857" spans="1:44" x14ac:dyDescent="0.15">
      <c r="A857">
        <f t="shared" si="436"/>
        <v>1404005</v>
      </c>
      <c r="B857" s="21" t="s">
        <v>268</v>
      </c>
      <c r="C857">
        <v>1</v>
      </c>
      <c r="D857">
        <v>4</v>
      </c>
      <c r="E857">
        <v>5</v>
      </c>
      <c r="F857" s="6" t="s">
        <v>367</v>
      </c>
      <c r="G857" s="6" t="s">
        <v>368</v>
      </c>
      <c r="H857" s="2">
        <v>0</v>
      </c>
      <c r="I857" s="2" t="s">
        <v>161</v>
      </c>
      <c r="J857" s="2">
        <f t="shared" si="440"/>
        <v>6</v>
      </c>
      <c r="K857" s="2">
        <f t="shared" si="441"/>
        <v>1.6</v>
      </c>
      <c r="L857" s="2">
        <f t="shared" si="442"/>
        <v>1.9000000000000001</v>
      </c>
      <c r="M857" s="2">
        <v>10</v>
      </c>
      <c r="N857" s="2">
        <f t="shared" si="443"/>
        <v>110.93</v>
      </c>
      <c r="O857" s="2">
        <f t="shared" si="444"/>
        <v>11.09</v>
      </c>
      <c r="P857" s="2">
        <f t="shared" si="437"/>
        <v>147.69200000000001</v>
      </c>
      <c r="Q857" s="2">
        <f t="shared" si="445"/>
        <v>73.849999999999994</v>
      </c>
      <c r="R857" s="2">
        <f t="shared" si="446"/>
        <v>11.09</v>
      </c>
      <c r="S857" s="2">
        <f t="shared" si="447"/>
        <v>1.1100000000000001</v>
      </c>
      <c r="T857" s="2">
        <v>0</v>
      </c>
      <c r="U857" s="2">
        <v>0</v>
      </c>
      <c r="V857" s="2">
        <v>0</v>
      </c>
      <c r="W857" s="2">
        <v>-10</v>
      </c>
      <c r="X857" s="2">
        <v>0</v>
      </c>
      <c r="Y857" s="25">
        <v>224041</v>
      </c>
      <c r="Z857" s="26" t="s">
        <v>481</v>
      </c>
      <c r="AA857" s="4">
        <v>1</v>
      </c>
      <c r="AB857" s="4">
        <v>0</v>
      </c>
      <c r="AC857" s="4"/>
      <c r="AD857" s="4">
        <f t="shared" si="438"/>
        <v>1809.154649838375</v>
      </c>
      <c r="AF857" s="1" t="str">
        <f t="shared" si="439"/>
        <v>4</v>
      </c>
      <c r="AG857">
        <v>1</v>
      </c>
      <c r="AH857">
        <f t="shared" si="448"/>
        <v>110.93333333333334</v>
      </c>
      <c r="AI857">
        <f t="shared" si="449"/>
        <v>11.093333333333334</v>
      </c>
      <c r="AJ857">
        <f t="shared" si="450"/>
        <v>738.46153846153834</v>
      </c>
      <c r="AK857">
        <f t="shared" si="451"/>
        <v>73.84615384615384</v>
      </c>
      <c r="AL857">
        <f t="shared" si="452"/>
        <v>11.093333333333334</v>
      </c>
      <c r="AM857">
        <f t="shared" si="453"/>
        <v>1.1093333333333335</v>
      </c>
      <c r="AN857">
        <f t="shared" si="454"/>
        <v>1.6</v>
      </c>
      <c r="AO857">
        <f t="shared" si="435"/>
        <v>1.9</v>
      </c>
      <c r="AP857">
        <f t="shared" si="455"/>
        <v>6</v>
      </c>
      <c r="AQ857">
        <v>404</v>
      </c>
      <c r="AR857">
        <v>1</v>
      </c>
    </row>
    <row r="858" spans="1:44" x14ac:dyDescent="0.15">
      <c r="A858">
        <f t="shared" si="436"/>
        <v>1503005</v>
      </c>
      <c r="B858" s="21" t="s">
        <v>271</v>
      </c>
      <c r="C858">
        <v>1</v>
      </c>
      <c r="D858">
        <v>5</v>
      </c>
      <c r="E858">
        <v>5</v>
      </c>
      <c r="F858" s="6" t="s">
        <v>369</v>
      </c>
      <c r="G858" s="6" t="s">
        <v>370</v>
      </c>
      <c r="H858" s="2">
        <v>0</v>
      </c>
      <c r="I858" s="2">
        <v>0</v>
      </c>
      <c r="J858" s="2">
        <f t="shared" si="440"/>
        <v>3</v>
      </c>
      <c r="K858" s="2">
        <f t="shared" si="441"/>
        <v>1.6</v>
      </c>
      <c r="L858" s="2">
        <f t="shared" si="442"/>
        <v>1.5</v>
      </c>
      <c r="M858" s="2">
        <v>10</v>
      </c>
      <c r="N858" s="2">
        <f t="shared" si="443"/>
        <v>102.4</v>
      </c>
      <c r="O858" s="2">
        <f t="shared" si="444"/>
        <v>10.24</v>
      </c>
      <c r="P858" s="2">
        <f t="shared" si="437"/>
        <v>160</v>
      </c>
      <c r="Q858" s="2">
        <f t="shared" si="445"/>
        <v>80</v>
      </c>
      <c r="R858" s="2">
        <f t="shared" si="446"/>
        <v>17.07</v>
      </c>
      <c r="S858" s="2">
        <f t="shared" si="447"/>
        <v>1.71</v>
      </c>
      <c r="T858" s="2">
        <v>0</v>
      </c>
      <c r="U858" s="2">
        <v>0</v>
      </c>
      <c r="V858" s="2">
        <v>0</v>
      </c>
      <c r="W858" s="2">
        <v>-10</v>
      </c>
      <c r="X858" s="2">
        <v>0</v>
      </c>
      <c r="Y858" s="25">
        <v>235031</v>
      </c>
      <c r="Z858" s="26" t="s">
        <v>481</v>
      </c>
      <c r="AA858" s="4">
        <v>1</v>
      </c>
      <c r="AB858" s="4">
        <v>0</v>
      </c>
      <c r="AC858" s="4"/>
      <c r="AD858" s="4">
        <f t="shared" si="438"/>
        <v>1809.5616</v>
      </c>
      <c r="AF858" s="1" t="str">
        <f t="shared" si="439"/>
        <v>3</v>
      </c>
      <c r="AG858">
        <v>1</v>
      </c>
      <c r="AH858">
        <f t="shared" si="448"/>
        <v>102.4</v>
      </c>
      <c r="AI858">
        <f t="shared" si="449"/>
        <v>10.240000000000002</v>
      </c>
      <c r="AJ858">
        <f t="shared" si="450"/>
        <v>800</v>
      </c>
      <c r="AK858">
        <f t="shared" si="451"/>
        <v>80</v>
      </c>
      <c r="AL858">
        <f t="shared" si="452"/>
        <v>17.066666666666666</v>
      </c>
      <c r="AM858">
        <f t="shared" si="453"/>
        <v>1.7066666666666668</v>
      </c>
      <c r="AN858">
        <f t="shared" si="454"/>
        <v>1.6</v>
      </c>
      <c r="AO858">
        <f t="shared" si="435"/>
        <v>1.5</v>
      </c>
      <c r="AP858">
        <f t="shared" si="455"/>
        <v>3</v>
      </c>
      <c r="AQ858">
        <v>503</v>
      </c>
      <c r="AR858">
        <v>1</v>
      </c>
    </row>
    <row r="859" spans="1:44" x14ac:dyDescent="0.15">
      <c r="A859">
        <f t="shared" si="436"/>
        <v>1304005</v>
      </c>
      <c r="B859" s="21" t="s">
        <v>274</v>
      </c>
      <c r="C859">
        <v>1</v>
      </c>
      <c r="D859">
        <v>3</v>
      </c>
      <c r="E859">
        <v>5</v>
      </c>
      <c r="F859" s="6" t="s">
        <v>371</v>
      </c>
      <c r="G859" s="6" t="s">
        <v>372</v>
      </c>
      <c r="H859">
        <v>0</v>
      </c>
      <c r="I859" s="2">
        <v>0</v>
      </c>
      <c r="J859" s="2">
        <f t="shared" si="440"/>
        <v>3</v>
      </c>
      <c r="K859" s="2">
        <f t="shared" si="441"/>
        <v>1.4000000000000001</v>
      </c>
      <c r="L859" s="2">
        <f t="shared" si="442"/>
        <v>2</v>
      </c>
      <c r="M859" s="2">
        <v>10</v>
      </c>
      <c r="N859" s="2">
        <f t="shared" si="443"/>
        <v>85.87</v>
      </c>
      <c r="O859" s="2">
        <f t="shared" si="444"/>
        <v>8.59</v>
      </c>
      <c r="P859" s="2">
        <f t="shared" si="437"/>
        <v>166.95600000000002</v>
      </c>
      <c r="Q859" s="2">
        <f t="shared" si="445"/>
        <v>83.48</v>
      </c>
      <c r="R859" s="2">
        <f t="shared" si="446"/>
        <v>10.73</v>
      </c>
      <c r="S859" s="2">
        <f t="shared" si="447"/>
        <v>1.07</v>
      </c>
      <c r="T859" s="2">
        <v>0</v>
      </c>
      <c r="U859" s="2">
        <v>0</v>
      </c>
      <c r="V859" s="2">
        <v>0</v>
      </c>
      <c r="W859" s="2">
        <v>-10</v>
      </c>
      <c r="X859" s="2">
        <v>0</v>
      </c>
      <c r="Y859" s="25">
        <v>233041</v>
      </c>
      <c r="Z859" s="26" t="s">
        <v>481</v>
      </c>
      <c r="AA859" s="4">
        <v>1</v>
      </c>
      <c r="AB859" s="4">
        <v>0</v>
      </c>
      <c r="AC859" s="4"/>
      <c r="AD859" s="4">
        <f t="shared" si="438"/>
        <v>1810.2434570370001</v>
      </c>
      <c r="AF859" s="1" t="str">
        <f t="shared" si="439"/>
        <v>4</v>
      </c>
      <c r="AG859">
        <v>1</v>
      </c>
      <c r="AH859">
        <f t="shared" si="448"/>
        <v>85.86666666666666</v>
      </c>
      <c r="AI859">
        <f t="shared" si="449"/>
        <v>8.586666666666666</v>
      </c>
      <c r="AJ859">
        <f t="shared" si="450"/>
        <v>834.78260869565224</v>
      </c>
      <c r="AK859">
        <f t="shared" si="451"/>
        <v>83.478260869565233</v>
      </c>
      <c r="AL859">
        <f t="shared" si="452"/>
        <v>10.733333333333333</v>
      </c>
      <c r="AM859">
        <f t="shared" si="453"/>
        <v>1.0733333333333333</v>
      </c>
      <c r="AN859">
        <f t="shared" si="454"/>
        <v>1.4</v>
      </c>
      <c r="AO859">
        <f t="shared" si="435"/>
        <v>2</v>
      </c>
      <c r="AP859">
        <f t="shared" si="455"/>
        <v>3</v>
      </c>
      <c r="AQ859">
        <v>304</v>
      </c>
      <c r="AR859">
        <v>1</v>
      </c>
    </row>
    <row r="860" spans="1:44" x14ac:dyDescent="0.15">
      <c r="A860">
        <f t="shared" si="436"/>
        <v>1103002</v>
      </c>
      <c r="B860" s="21" t="s">
        <v>265</v>
      </c>
      <c r="C860">
        <v>3</v>
      </c>
      <c r="D860">
        <v>2</v>
      </c>
      <c r="E860">
        <v>2</v>
      </c>
      <c r="F860" s="6" t="s">
        <v>396</v>
      </c>
      <c r="G860" s="6" t="s">
        <v>397</v>
      </c>
      <c r="H860" s="2">
        <v>0</v>
      </c>
      <c r="I860" s="2" t="s">
        <v>395</v>
      </c>
      <c r="J860" s="2">
        <v>3</v>
      </c>
      <c r="K860" s="2">
        <f t="shared" si="441"/>
        <v>1.6</v>
      </c>
      <c r="L860" s="2">
        <f t="shared" si="442"/>
        <v>2</v>
      </c>
      <c r="M860" s="2">
        <v>10</v>
      </c>
      <c r="N860" s="2">
        <v>299</v>
      </c>
      <c r="O860" s="2">
        <v>1</v>
      </c>
      <c r="P860" s="2">
        <v>799</v>
      </c>
      <c r="Q860" s="2">
        <v>1</v>
      </c>
      <c r="R860" s="2">
        <v>1</v>
      </c>
      <c r="S860" s="2">
        <v>1</v>
      </c>
      <c r="T860" s="2">
        <v>0</v>
      </c>
      <c r="U860" s="2">
        <v>0</v>
      </c>
      <c r="V860" s="2">
        <v>0</v>
      </c>
      <c r="W860" s="2">
        <v>-10</v>
      </c>
      <c r="X860" s="2">
        <v>0</v>
      </c>
      <c r="Y860">
        <v>0</v>
      </c>
      <c r="Z860" s="26" t="s">
        <v>481</v>
      </c>
      <c r="AA860" s="4">
        <v>1</v>
      </c>
      <c r="AB860" s="4">
        <v>0</v>
      </c>
      <c r="AC860" s="4"/>
      <c r="AD860" s="4">
        <f t="shared" si="438"/>
        <v>70.619259374999999</v>
      </c>
      <c r="AF860" s="1" t="str">
        <f t="shared" si="439"/>
        <v>3</v>
      </c>
      <c r="AG860">
        <v>3</v>
      </c>
      <c r="AH860">
        <f t="shared" si="448"/>
        <v>102.39999999999999</v>
      </c>
      <c r="AI860">
        <f t="shared" si="449"/>
        <v>10.24</v>
      </c>
      <c r="AJ860">
        <f t="shared" si="450"/>
        <v>1152</v>
      </c>
      <c r="AK860">
        <f t="shared" si="451"/>
        <v>115.2</v>
      </c>
      <c r="AL860">
        <f t="shared" si="452"/>
        <v>34.133333333333333</v>
      </c>
      <c r="AM860">
        <f t="shared" si="453"/>
        <v>3.4133333333333336</v>
      </c>
      <c r="AN860">
        <f t="shared" si="454"/>
        <v>1.6</v>
      </c>
      <c r="AO860">
        <f t="shared" ref="AO860" si="456">ROUND(IF(INDEX($BG$5:$BG$50,MATCH($AQ860,$AT$5:$AT$50,0))&lt;2,INDEX($BG$5:$BG$50,MATCH($AQ860,$AT$5:$AT$50,0))+0.2,2),1)</f>
        <v>2</v>
      </c>
      <c r="AP860">
        <f t="shared" si="455"/>
        <v>6</v>
      </c>
      <c r="AQ860">
        <v>103</v>
      </c>
      <c r="AR860">
        <v>1</v>
      </c>
    </row>
    <row r="861" spans="1:44" x14ac:dyDescent="0.15">
      <c r="A861">
        <f>AR861*1000000+AQ861*1000+13*10+E861</f>
        <v>1304133</v>
      </c>
      <c r="B861" s="21" t="s">
        <v>274</v>
      </c>
      <c r="C861">
        <v>1</v>
      </c>
      <c r="D861">
        <v>3</v>
      </c>
      <c r="E861">
        <v>3</v>
      </c>
      <c r="F861" s="6" t="s">
        <v>323</v>
      </c>
      <c r="G861" s="6" t="s">
        <v>324</v>
      </c>
      <c r="H861">
        <v>0</v>
      </c>
      <c r="I861" s="2">
        <v>0</v>
      </c>
      <c r="J861" s="2">
        <f t="shared" si="440"/>
        <v>3</v>
      </c>
      <c r="K861" s="2">
        <f t="shared" si="441"/>
        <v>1.4000000000000001</v>
      </c>
      <c r="L861" s="2">
        <f t="shared" si="442"/>
        <v>2</v>
      </c>
      <c r="M861" s="2">
        <v>10</v>
      </c>
      <c r="N861" s="2">
        <v>200</v>
      </c>
      <c r="O861" s="2">
        <v>1</v>
      </c>
      <c r="P861" s="2">
        <v>1000</v>
      </c>
      <c r="Q861" s="2">
        <v>1</v>
      </c>
      <c r="R861" s="2">
        <v>1</v>
      </c>
      <c r="S861" s="2">
        <v>1</v>
      </c>
      <c r="T861" s="2">
        <v>0</v>
      </c>
      <c r="U861" s="2">
        <v>0</v>
      </c>
      <c r="V861" s="2">
        <v>0</v>
      </c>
      <c r="W861" s="2">
        <v>0</v>
      </c>
      <c r="X861" s="2">
        <v>0</v>
      </c>
      <c r="Y861" s="25">
        <v>233041</v>
      </c>
      <c r="Z861" s="26" t="s">
        <v>481</v>
      </c>
      <c r="AA861" s="4">
        <v>1</v>
      </c>
      <c r="AB861" s="4">
        <v>0</v>
      </c>
      <c r="AC861" s="4"/>
      <c r="AD861" s="4">
        <f t="shared" si="438"/>
        <v>74.249999999999986</v>
      </c>
      <c r="AF861" s="1" t="str">
        <f t="shared" si="439"/>
        <v>4</v>
      </c>
      <c r="AG861">
        <v>3</v>
      </c>
      <c r="AH861">
        <f t="shared" si="448"/>
        <v>103.03999999999999</v>
      </c>
      <c r="AI861">
        <f t="shared" si="449"/>
        <v>10.304</v>
      </c>
      <c r="AJ861">
        <f t="shared" si="450"/>
        <v>1001.7391304347826</v>
      </c>
      <c r="AK861">
        <f t="shared" si="451"/>
        <v>100.17391304347827</v>
      </c>
      <c r="AL861">
        <f t="shared" si="452"/>
        <v>12.879999999999999</v>
      </c>
      <c r="AM861">
        <f t="shared" si="453"/>
        <v>1.288</v>
      </c>
      <c r="AN861">
        <f t="shared" si="454"/>
        <v>1.4</v>
      </c>
      <c r="AO861">
        <f t="shared" ref="AO861:AO862" si="457">ROUND(IF(INDEX($BG$5:$BG$50,MATCH($AQ861,$AT$5:$AT$50,0))&lt;2,INDEX($BG$5:$BG$49,MATCH($AQ861,$AT$5:$AT$49,0))+0.2,2),1)</f>
        <v>2</v>
      </c>
      <c r="AP861">
        <f t="shared" si="455"/>
        <v>3</v>
      </c>
      <c r="AQ861">
        <v>304</v>
      </c>
      <c r="AR861">
        <v>1</v>
      </c>
    </row>
    <row r="862" spans="1:44" x14ac:dyDescent="0.15">
      <c r="A862">
        <f>AR862*1000000+AQ862*1000+13*10+E862</f>
        <v>1205132</v>
      </c>
      <c r="B862" s="21" t="s">
        <v>274</v>
      </c>
      <c r="C862">
        <v>1</v>
      </c>
      <c r="D862">
        <v>2</v>
      </c>
      <c r="E862">
        <v>2</v>
      </c>
      <c r="F862" s="22" t="s">
        <v>734</v>
      </c>
      <c r="G862" s="22" t="s">
        <v>735</v>
      </c>
      <c r="H862">
        <v>0</v>
      </c>
      <c r="I862" s="2">
        <v>0</v>
      </c>
      <c r="J862" s="2">
        <f t="shared" ref="J862" si="458">AP862</f>
        <v>3</v>
      </c>
      <c r="K862" s="2">
        <f t="shared" ref="K862" si="459">FLOOR(AN862/1,0.01)</f>
        <v>1.8</v>
      </c>
      <c r="L862" s="2">
        <f t="shared" ref="L862" si="460">FLOOR(AO862/1,0.01)</f>
        <v>2</v>
      </c>
      <c r="M862" s="2">
        <v>10</v>
      </c>
      <c r="N862" s="2">
        <v>200</v>
      </c>
      <c r="O862" s="2">
        <v>1</v>
      </c>
      <c r="P862" s="2">
        <v>1000</v>
      </c>
      <c r="Q862" s="2">
        <v>1</v>
      </c>
      <c r="R862" s="2">
        <v>1</v>
      </c>
      <c r="S862" s="2">
        <v>1</v>
      </c>
      <c r="T862" s="2">
        <v>0</v>
      </c>
      <c r="U862" s="2">
        <v>0</v>
      </c>
      <c r="V862" s="2">
        <v>0</v>
      </c>
      <c r="W862" s="2">
        <v>0</v>
      </c>
      <c r="X862" s="2">
        <v>0</v>
      </c>
      <c r="Y862" s="25">
        <v>233041</v>
      </c>
      <c r="Z862" s="26" t="s">
        <v>481</v>
      </c>
      <c r="AA862" s="4">
        <v>1</v>
      </c>
      <c r="AB862" s="4">
        <v>0</v>
      </c>
      <c r="AC862" s="4"/>
      <c r="AD862" s="4">
        <f t="shared" ref="AD862" si="461">(N862+O862*$AD$2)*(P862+Q862*$AD$2)/K862*0.945/3000</f>
        <v>57.75</v>
      </c>
      <c r="AF862" s="1" t="str">
        <f t="shared" ref="AF862" si="462">RIGHT(AQ862,1)</f>
        <v>5</v>
      </c>
      <c r="AG862">
        <v>3</v>
      </c>
      <c r="AH862">
        <f t="shared" si="448"/>
        <v>103.68</v>
      </c>
      <c r="AI862">
        <f t="shared" si="449"/>
        <v>10.368000000000002</v>
      </c>
      <c r="AJ862">
        <f t="shared" si="450"/>
        <v>1280</v>
      </c>
      <c r="AK862">
        <f t="shared" si="451"/>
        <v>128</v>
      </c>
      <c r="AL862">
        <f t="shared" si="452"/>
        <v>20.736000000000001</v>
      </c>
      <c r="AM862">
        <f t="shared" ref="AM862" si="463">AL862*0.1</f>
        <v>2.0736000000000003</v>
      </c>
      <c r="AN862">
        <f t="shared" si="454"/>
        <v>1.8</v>
      </c>
      <c r="AO862">
        <f t="shared" si="457"/>
        <v>2</v>
      </c>
      <c r="AP862">
        <f t="shared" si="455"/>
        <v>3</v>
      </c>
      <c r="AQ862">
        <v>205</v>
      </c>
      <c r="AR862">
        <v>1</v>
      </c>
    </row>
  </sheetData>
  <autoFilter ref="A3:BP907" xr:uid="{00000000-0009-0000-0000-000000000000}"/>
  <phoneticPr fontId="5" type="noConversion"/>
  <conditionalFormatting sqref="A439:A450">
    <cfRule type="duplicateValues" dxfId="62" priority="95"/>
  </conditionalFormatting>
  <conditionalFormatting sqref="A451:A462">
    <cfRule type="duplicateValues" dxfId="61" priority="94"/>
  </conditionalFormatting>
  <conditionalFormatting sqref="A463:A474">
    <cfRule type="duplicateValues" dxfId="60" priority="93"/>
  </conditionalFormatting>
  <conditionalFormatting sqref="A475:A486">
    <cfRule type="duplicateValues" dxfId="59" priority="92"/>
  </conditionalFormatting>
  <conditionalFormatting sqref="A487:A498">
    <cfRule type="duplicateValues" dxfId="58" priority="91"/>
  </conditionalFormatting>
  <conditionalFormatting sqref="A499:A510">
    <cfRule type="duplicateValues" dxfId="57" priority="90"/>
  </conditionalFormatting>
  <conditionalFormatting sqref="A511:A522">
    <cfRule type="duplicateValues" dxfId="56" priority="89"/>
  </conditionalFormatting>
  <conditionalFormatting sqref="A523:A534">
    <cfRule type="duplicateValues" dxfId="55" priority="88"/>
  </conditionalFormatting>
  <conditionalFormatting sqref="A535:A546">
    <cfRule type="duplicateValues" dxfId="54" priority="87"/>
  </conditionalFormatting>
  <conditionalFormatting sqref="A547:A558">
    <cfRule type="duplicateValues" dxfId="53" priority="86"/>
  </conditionalFormatting>
  <conditionalFormatting sqref="A559:A570">
    <cfRule type="duplicateValues" dxfId="52" priority="85"/>
  </conditionalFormatting>
  <conditionalFormatting sqref="A571:A582">
    <cfRule type="duplicateValues" dxfId="51" priority="84"/>
  </conditionalFormatting>
  <conditionalFormatting sqref="A583:A594">
    <cfRule type="duplicateValues" dxfId="50" priority="83"/>
  </conditionalFormatting>
  <conditionalFormatting sqref="A595:A606">
    <cfRule type="duplicateValues" dxfId="49" priority="82"/>
  </conditionalFormatting>
  <conditionalFormatting sqref="A607:A611">
    <cfRule type="duplicateValues" dxfId="48" priority="81"/>
  </conditionalFormatting>
  <conditionalFormatting sqref="A612:A616">
    <cfRule type="duplicateValues" dxfId="47" priority="80"/>
  </conditionalFormatting>
  <conditionalFormatting sqref="A617:A621">
    <cfRule type="duplicateValues" dxfId="46" priority="79"/>
  </conditionalFormatting>
  <conditionalFormatting sqref="A622:A626">
    <cfRule type="duplicateValues" dxfId="45" priority="78"/>
  </conditionalFormatting>
  <conditionalFormatting sqref="A627:A631">
    <cfRule type="duplicateValues" dxfId="44" priority="77"/>
  </conditionalFormatting>
  <conditionalFormatting sqref="A632:A636">
    <cfRule type="duplicateValues" dxfId="43" priority="76"/>
  </conditionalFormatting>
  <conditionalFormatting sqref="A637:A641">
    <cfRule type="duplicateValues" dxfId="42" priority="75"/>
  </conditionalFormatting>
  <conditionalFormatting sqref="A642:A646">
    <cfRule type="duplicateValues" dxfId="41" priority="74"/>
  </conditionalFormatting>
  <conditionalFormatting sqref="A647:A651">
    <cfRule type="duplicateValues" dxfId="40" priority="73"/>
  </conditionalFormatting>
  <conditionalFormatting sqref="A652:A656">
    <cfRule type="duplicateValues" dxfId="39" priority="72"/>
  </conditionalFormatting>
  <conditionalFormatting sqref="A657:A661">
    <cfRule type="duplicateValues" dxfId="38" priority="71"/>
  </conditionalFormatting>
  <conditionalFormatting sqref="A662:A666">
    <cfRule type="duplicateValues" dxfId="37" priority="70"/>
  </conditionalFormatting>
  <conditionalFormatting sqref="A667:A671">
    <cfRule type="duplicateValues" dxfId="36" priority="69"/>
  </conditionalFormatting>
  <conditionalFormatting sqref="A672:A676">
    <cfRule type="duplicateValues" dxfId="35" priority="67"/>
  </conditionalFormatting>
  <conditionalFormatting sqref="A677:A681">
    <cfRule type="duplicateValues" dxfId="34" priority="66"/>
  </conditionalFormatting>
  <conditionalFormatting sqref="A682:A686">
    <cfRule type="duplicateValues" dxfId="33" priority="65"/>
  </conditionalFormatting>
  <conditionalFormatting sqref="A687:A691">
    <cfRule type="duplicateValues" dxfId="32" priority="64"/>
  </conditionalFormatting>
  <conditionalFormatting sqref="A692:A696">
    <cfRule type="duplicateValues" dxfId="31" priority="63"/>
  </conditionalFormatting>
  <conditionalFormatting sqref="A697:A701">
    <cfRule type="duplicateValues" dxfId="30" priority="62"/>
  </conditionalFormatting>
  <conditionalFormatting sqref="A702:A706">
    <cfRule type="duplicateValues" dxfId="29" priority="61"/>
  </conditionalFormatting>
  <conditionalFormatting sqref="A707:A711">
    <cfRule type="duplicateValues" dxfId="28" priority="60"/>
  </conditionalFormatting>
  <conditionalFormatting sqref="A712:A716">
    <cfRule type="duplicateValues" dxfId="27" priority="59"/>
  </conditionalFormatting>
  <conditionalFormatting sqref="A717:A721">
    <cfRule type="duplicateValues" dxfId="26" priority="58"/>
  </conditionalFormatting>
  <conditionalFormatting sqref="A722:A726">
    <cfRule type="duplicateValues" dxfId="25" priority="57"/>
  </conditionalFormatting>
  <conditionalFormatting sqref="A727:A731">
    <cfRule type="duplicateValues" dxfId="24" priority="56"/>
  </conditionalFormatting>
  <conditionalFormatting sqref="A732:A736">
    <cfRule type="duplicateValues" dxfId="23" priority="55"/>
  </conditionalFormatting>
  <conditionalFormatting sqref="A737:A741">
    <cfRule type="duplicateValues" dxfId="22" priority="54"/>
  </conditionalFormatting>
  <conditionalFormatting sqref="A742:A746">
    <cfRule type="duplicateValues" dxfId="21" priority="53"/>
  </conditionalFormatting>
  <conditionalFormatting sqref="A747:A751">
    <cfRule type="duplicateValues" dxfId="20" priority="52"/>
  </conditionalFormatting>
  <conditionalFormatting sqref="A752:A756">
    <cfRule type="duplicateValues" dxfId="19" priority="51"/>
  </conditionalFormatting>
  <conditionalFormatting sqref="A757:A761">
    <cfRule type="duplicateValues" dxfId="18" priority="50"/>
  </conditionalFormatting>
  <conditionalFormatting sqref="A762:A766">
    <cfRule type="duplicateValues" dxfId="17" priority="49"/>
  </conditionalFormatting>
  <conditionalFormatting sqref="A767:A771">
    <cfRule type="duplicateValues" dxfId="16" priority="48"/>
  </conditionalFormatting>
  <conditionalFormatting sqref="A772:A776">
    <cfRule type="duplicateValues" dxfId="15" priority="47"/>
  </conditionalFormatting>
  <conditionalFormatting sqref="A777:A781">
    <cfRule type="duplicateValues" dxfId="14" priority="46"/>
  </conditionalFormatting>
  <conditionalFormatting sqref="A782:A786">
    <cfRule type="duplicateValues" dxfId="13" priority="45"/>
  </conditionalFormatting>
  <conditionalFormatting sqref="A787:A791">
    <cfRule type="duplicateValues" dxfId="12" priority="44"/>
  </conditionalFormatting>
  <conditionalFormatting sqref="A792:A796">
    <cfRule type="duplicateValues" dxfId="11" priority="43"/>
  </conditionalFormatting>
  <conditionalFormatting sqref="A863:A1048576 A1:A3">
    <cfRule type="duplicateValues" dxfId="10" priority="206"/>
    <cfRule type="duplicateValues" dxfId="9" priority="209"/>
  </conditionalFormatting>
  <conditionalFormatting sqref="A168:A204">
    <cfRule type="duplicateValues" dxfId="8" priority="39"/>
  </conditionalFormatting>
  <conditionalFormatting sqref="A205:A241">
    <cfRule type="duplicateValues" dxfId="7" priority="38"/>
  </conditionalFormatting>
  <conditionalFormatting sqref="A242:A278">
    <cfRule type="duplicateValues" dxfId="6" priority="37"/>
  </conditionalFormatting>
  <conditionalFormatting sqref="A279:A426 A4:A167">
    <cfRule type="duplicateValues" dxfId="5" priority="210"/>
  </conditionalFormatting>
  <conditionalFormatting sqref="A427:A438">
    <cfRule type="duplicateValues" dxfId="4" priority="214"/>
  </conditionalFormatting>
  <conditionalFormatting sqref="A797:A799">
    <cfRule type="duplicateValues" dxfId="3" priority="215"/>
  </conditionalFormatting>
  <conditionalFormatting sqref="A800:A860">
    <cfRule type="duplicateValues" dxfId="2" priority="8"/>
  </conditionalFormatting>
  <conditionalFormatting sqref="A861">
    <cfRule type="duplicateValues" dxfId="1" priority="2"/>
  </conditionalFormatting>
  <conditionalFormatting sqref="A862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monsters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2020-09-25T03:31:01Z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